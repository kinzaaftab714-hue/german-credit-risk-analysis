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Dashboard" sheetId="1" state="visible" r:id="rId3"/>
    <sheet name="Raw Data" sheetId="2" state="visible" r:id="rId4"/>
    <sheet name="Assumptions" sheetId="3" state="visible" r:id="rId5"/>
    <sheet name="Risk Scorin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<sst xmlns="http://schemas.openxmlformats.org/spreadsheetml/2006/main" count="5109" uniqueCount="80">
  <si>
    <t xml:space="preserve">German Credit Risk — Summary Dashboard</t>
  </si>
  <si>
    <t xml:space="preserve">Analysis of 1,000 loan applicants using a weighted, multi-factor credit risk scoring model.</t>
  </si>
  <si>
    <t xml:space="preserve">1. Risk Category Distribution</t>
  </si>
  <si>
    <t xml:space="preserve">4. Portfolio Snapshot</t>
  </si>
  <si>
    <t xml:space="preserve">Risk Category</t>
  </si>
  <si>
    <t xml:space="preserve">Count</t>
  </si>
  <si>
    <t xml:space="preserve">% of Total</t>
  </si>
  <si>
    <t xml:space="preserve">Total Applicants</t>
  </si>
  <si>
    <t xml:space="preserve">High Risk</t>
  </si>
  <si>
    <t xml:space="preserve">Average Weighted Score</t>
  </si>
  <si>
    <t xml:space="preserve">Medium Risk</t>
  </si>
  <si>
    <t xml:space="preserve">Average Credit Amount</t>
  </si>
  <si>
    <t xml:space="preserve">Low Risk</t>
  </si>
  <si>
    <t xml:space="preserve">Average Loan Duration (months)</t>
  </si>
  <si>
    <t xml:space="preserve">Total</t>
  </si>
  <si>
    <t xml:space="preserve">Highest Risk Score (Safest)</t>
  </si>
  <si>
    <t xml:space="preserve">Lowest Risk Score (Riskiest)</t>
  </si>
  <si>
    <t xml:space="preserve">2. Average Profile by Risk Category</t>
  </si>
  <si>
    <t xml:space="preserve">Avg Credit Amount</t>
  </si>
  <si>
    <t xml:space="preserve">Avg Duration (months)</t>
  </si>
  <si>
    <t xml:space="preserve">Avg Age</t>
  </si>
  <si>
    <t xml:space="preserve">3. Top Loan Purposes</t>
  </si>
  <si>
    <t xml:space="preserve">Purpose</t>
  </si>
  <si>
    <t xml:space="preserve">car</t>
  </si>
  <si>
    <t xml:space="preserve">radio/TV</t>
  </si>
  <si>
    <t xml:space="preserve">furniture/equipment</t>
  </si>
  <si>
    <t xml:space="preserve">business</t>
  </si>
  <si>
    <t xml:space="preserve">education</t>
  </si>
  <si>
    <t xml:space="preserve">repairs</t>
  </si>
  <si>
    <t xml:space="preserve">domestic appliances</t>
  </si>
  <si>
    <t xml:space="preserve">vacation/others</t>
  </si>
  <si>
    <t xml:space="preserve">ID</t>
  </si>
  <si>
    <t xml:space="preserve">Age</t>
  </si>
  <si>
    <t xml:space="preserve">Sex</t>
  </si>
  <si>
    <t xml:space="preserve">Job</t>
  </si>
  <si>
    <t xml:space="preserve">Housing</t>
  </si>
  <si>
    <t xml:space="preserve">Saving accounts</t>
  </si>
  <si>
    <t xml:space="preserve">Checking account</t>
  </si>
  <si>
    <t xml:space="preserve">Credit amount</t>
  </si>
  <si>
    <t xml:space="preserve">Duration</t>
  </si>
  <si>
    <t xml:space="preserve">male</t>
  </si>
  <si>
    <t xml:space="preserve">own</t>
  </si>
  <si>
    <t xml:space="preserve">none</t>
  </si>
  <si>
    <t xml:space="preserve">little</t>
  </si>
  <si>
    <t xml:space="preserve">female</t>
  </si>
  <si>
    <t xml:space="preserve">moderate</t>
  </si>
  <si>
    <t xml:space="preserve">free</t>
  </si>
  <si>
    <t xml:space="preserve">quite rich</t>
  </si>
  <si>
    <t xml:space="preserve">rent</t>
  </si>
  <si>
    <t xml:space="preserve">rich</t>
  </si>
  <si>
    <t xml:space="preserve">Risk Scoring Model — Assumptions &amp; Weights</t>
  </si>
  <si>
    <t xml:space="preserve">Edit the blue cells below to change how the model scores risk. All formulas in the Risk Scoring sheet update automatically.</t>
  </si>
  <si>
    <t xml:space="preserve">Component Weights</t>
  </si>
  <si>
    <t xml:space="preserve">Risk Component</t>
  </si>
  <si>
    <t xml:space="preserve">Weight</t>
  </si>
  <si>
    <t xml:space="preserve">Loan Burden (Credit Amount / Duration)</t>
  </si>
  <si>
    <t xml:space="preserve">Savings Account Strength</t>
  </si>
  <si>
    <t xml:space="preserve">Checking Account Strength</t>
  </si>
  <si>
    <t xml:space="preserve">Job Skill Level</t>
  </si>
  <si>
    <t xml:space="preserve">Housing Stability</t>
  </si>
  <si>
    <t xml:space="preserve">Loan Burden Normalization Cap (monthly amount treated as max risk)</t>
  </si>
  <si>
    <t xml:space="preserve">Saving Accounts — Strength Score (0=weakest, 100=strongest)</t>
  </si>
  <si>
    <t xml:space="preserve">Category</t>
  </si>
  <si>
    <t xml:space="preserve">Strength Score</t>
  </si>
  <si>
    <t xml:space="preserve">Checking Account — Strength Score (0=weakest, 100=strongest)</t>
  </si>
  <si>
    <t xml:space="preserve">Job Skill Level — Strength Score</t>
  </si>
  <si>
    <t xml:space="preserve">Job Code</t>
  </si>
  <si>
    <t xml:space="preserve">Housing — Strength Score</t>
  </si>
  <si>
    <t xml:space="preserve">Risk Category Thresholds (Weighted Score)</t>
  </si>
  <si>
    <t xml:space="preserve">Score Range</t>
  </si>
  <si>
    <t xml:space="preserve">0 - 33</t>
  </si>
  <si>
    <t xml:space="preserve">34 - 66</t>
  </si>
  <si>
    <t xml:space="preserve">67 - 100</t>
  </si>
  <si>
    <t xml:space="preserve">Loan Burden</t>
  </si>
  <si>
    <t xml:space="preserve">Loan Burden Strength</t>
  </si>
  <si>
    <t xml:space="preserve">Savings Strength</t>
  </si>
  <si>
    <t xml:space="preserve">Checking Strength</t>
  </si>
  <si>
    <t xml:space="preserve">Job Strength</t>
  </si>
  <si>
    <t xml:space="preserve">Housing Strength</t>
  </si>
  <si>
    <t xml:space="preserve">Weighted Score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</si>
</sst>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General"/>
    <numFmt numFmtId="167" formatCode="0.0%"/>
    <numFmt numFmtId="168" formatCode="0.0"/>
    <numFmt numFmtId="169" formatCode="\$#,##0"/>
    <numFmt numFmtId="170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F4E78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BBB59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Risk Category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'Summary Dashboard'!B5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'Summary Dashboard'!$A$6:$A$8</c:f>
              <c:strCache>
                <c:ptCount val="3"/>
                <c:pt idx="0">
                  <c:v>High Risk</c:v>
                </c:pt>
                <c:pt idx="1">
                  <c:v>Medium Risk</c:v>
                </c:pt>
                <c:pt idx="2">
                  <c:v>Low Risk</c:v>
                </c:pt>
              </c:strCache>
            </c:strRef>
          </c:cat>
          <c:val>
            <c:numRef>
              <c:f>'Summary Dashboard'!$B$6:$B$8</c:f>
              <c:numCache>
                <c:formatCode>General</c:formatCode>
                <c:ptCount val="3"/>
                <c:pt idx="0">
                  <c:v>23</c:v>
                </c:pt>
                <c:pt idx="1">
                  <c:v>854</c:v>
                </c:pt>
                <c:pt idx="2">
                  <c:v>123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Credit Amount by Risk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Dashboard'!B13</c:f>
              <c:strCache>
                <c:ptCount val="1"/>
                <c:pt idx="0">
                  <c:v>Avg Credit 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Dashboard'!$A$14:$A$16</c:f>
              <c:strCache>
                <c:ptCount val="3"/>
                <c:pt idx="0">
                  <c:v>High Risk</c:v>
                </c:pt>
                <c:pt idx="1">
                  <c:v>Medium Risk</c:v>
                </c:pt>
                <c:pt idx="2">
                  <c:v>Low Risk</c:v>
                </c:pt>
              </c:strCache>
            </c:strRef>
          </c:cat>
          <c:val>
            <c:numRef>
              <c:f>'Summary Dashboard'!$B$14:$B$16</c:f>
              <c:numCache>
                <c:formatCode>\$#,##0</c:formatCode>
                <c:ptCount val="3"/>
                <c:pt idx="0">
                  <c:v>5516.47826086957</c:v>
                </c:pt>
                <c:pt idx="1">
                  <c:v>3386.91100702576</c:v>
                </c:pt>
                <c:pt idx="2">
                  <c:v>2048.43089430894</c:v>
                </c:pt>
              </c:numCache>
            </c:numRef>
          </c:val>
        </c:ser>
        <c:gapWidth val="150"/>
        <c:overlap val="0"/>
        <c:axId val="52993632"/>
        <c:axId val="8029561"/>
      </c:barChart>
      <c:catAx>
        <c:axId val="529936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Risk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29561"/>
        <c:crosses val="autoZero"/>
        <c:auto val="1"/>
        <c:lblAlgn val="ctr"/>
        <c:lblOffset val="100"/>
        <c:noMultiLvlLbl val="0"/>
      </c:catAx>
      <c:valAx>
        <c:axId val="802956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Credit 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936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Loan Applications by Purpose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Dashboard'!B19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Dashboard'!$A$20:$A$27</c:f>
              <c:strCache>
                <c:ptCount val="8"/>
                <c:pt idx="0">
                  <c:v>car</c:v>
                </c:pt>
                <c:pt idx="1">
                  <c:v>radio/TV</c:v>
                </c:pt>
                <c:pt idx="2">
                  <c:v>furniture/equipment</c:v>
                </c:pt>
                <c:pt idx="3">
                  <c:v>business</c:v>
                </c:pt>
                <c:pt idx="4">
                  <c:v>education</c:v>
                </c:pt>
                <c:pt idx="5">
                  <c:v>repairs</c:v>
                </c:pt>
                <c:pt idx="6">
                  <c:v>domestic appliances</c:v>
                </c:pt>
                <c:pt idx="7">
                  <c:v>vacation/others</c:v>
                </c:pt>
              </c:strCache>
            </c:strRef>
          </c:cat>
          <c:val>
            <c:numRef>
              <c:f>'Summary Dashboard'!$B$20:$B$27</c:f>
              <c:numCache>
                <c:formatCode>General</c:formatCode>
                <c:ptCount val="8"/>
                <c:pt idx="0">
                  <c:v>337</c:v>
                </c:pt>
                <c:pt idx="1">
                  <c:v>280</c:v>
                </c:pt>
                <c:pt idx="2">
                  <c:v>181</c:v>
                </c:pt>
                <c:pt idx="3">
                  <c:v>97</c:v>
                </c:pt>
                <c:pt idx="4">
                  <c:v>59</c:v>
                </c:pt>
                <c:pt idx="5">
                  <c:v>22</c:v>
                </c:pt>
                <c:pt idx="6">
                  <c:v>12</c:v>
                </c:pt>
                <c:pt idx="7">
                  <c:v>12</c:v>
                </c:pt>
              </c:numCache>
            </c:numRef>
          </c:val>
        </c:ser>
        <c:gapWidth val="150"/>
        <c:overlap val="0"/>
        <c:axId val="74853093"/>
        <c:axId val="10163733"/>
      </c:barChart>
      <c:catAx>
        <c:axId val="748530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163733"/>
        <c:crosses val="autoZero"/>
        <c:auto val="1"/>
        <c:lblAlgn val="ctr"/>
        <c:lblOffset val="100"/>
        <c:noMultiLvlLbl val="0"/>
      </c:catAx>
      <c:valAx>
        <c:axId val="101637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8530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131040</xdr:rowOff>
    </xdr:from>
    <xdr:to>
      <xdr:col>15</xdr:col>
      <xdr:colOff>39240</xdr:colOff>
      <xdr:row>17</xdr:row>
      <xdr:rowOff>153000</xdr:rowOff>
    </xdr:to>
    <xdr:graphicFrame>
      <xdr:nvGraphicFramePr>
        <xdr:cNvPr id="0" name="Chart 1"/>
        <xdr:cNvGraphicFramePr/>
      </xdr:nvGraphicFramePr>
      <xdr:xfrm>
        <a:off x="9069840" y="5716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18</xdr:row>
      <xdr:rowOff>130680</xdr:rowOff>
    </xdr:from>
    <xdr:to>
      <xdr:col>15</xdr:col>
      <xdr:colOff>39240</xdr:colOff>
      <xdr:row>33</xdr:row>
      <xdr:rowOff>153000</xdr:rowOff>
    </xdr:to>
    <xdr:graphicFrame>
      <xdr:nvGraphicFramePr>
        <xdr:cNvPr id="1" name="Chart 2"/>
        <xdr:cNvGraphicFramePr/>
      </xdr:nvGraphicFramePr>
      <xdr:xfrm>
        <a:off x="9069840" y="361944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34</xdr:row>
      <xdr:rowOff>131040</xdr:rowOff>
    </xdr:from>
    <xdr:to>
      <xdr:col>16</xdr:col>
      <xdr:colOff>147600</xdr:colOff>
      <xdr:row>49</xdr:row>
      <xdr:rowOff>153000</xdr:rowOff>
    </xdr:to>
    <xdr:graphicFrame>
      <xdr:nvGraphicFramePr>
        <xdr:cNvPr id="2" name="Chart 3"/>
        <xdr:cNvGraphicFramePr/>
      </xdr:nvGraphicFramePr>
      <xdr:xfrm>
        <a:off x="9069840" y="66675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4"/>
    <col collapsed="false" customWidth="true" hidden="false" outlineLevel="0" max="6" min="6" style="0" width="30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F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  <c r="C5" s="4" t="s">
        <v>6</v>
      </c>
      <c r="F5" s="5" t="s">
        <v>7</v>
      </c>
      <c r="G5" s="6" t="n">
        <f aca="false">COUNTA('Risk Scoring'!$A$2:$A$1001)</f>
        <v>1000</v>
      </c>
    </row>
    <row r="6" customFormat="false" ht="15" hidden="false" customHeight="false" outlineLevel="0" collapsed="false">
      <c r="A6" s="5" t="s">
        <v>8</v>
      </c>
      <c r="B6" s="7" t="n">
        <f aca="false">COUNTIF('Risk Scoring'!$R$2:$R$1001,A6)</f>
        <v>23</v>
      </c>
      <c r="C6" s="8" t="n">
        <f aca="false">B6/SUM($B$6:$B$8)</f>
        <v>0.023</v>
      </c>
      <c r="F6" s="5" t="s">
        <v>9</v>
      </c>
      <c r="G6" s="9" t="n">
        <f aca="false">AVERAGE('Risk Scoring'!$Q$2:$Q$1001)</f>
        <v>55.0107250981163</v>
      </c>
    </row>
    <row r="7" customFormat="false" ht="15" hidden="false" customHeight="false" outlineLevel="0" collapsed="false">
      <c r="A7" s="5" t="s">
        <v>10</v>
      </c>
      <c r="B7" s="7" t="n">
        <f aca="false">COUNTIF('Risk Scoring'!$R$2:$R$1001,A7)</f>
        <v>854</v>
      </c>
      <c r="C7" s="8" t="n">
        <f aca="false">B7/SUM($B$6:$B$8)</f>
        <v>0.854</v>
      </c>
      <c r="F7" s="5" t="s">
        <v>11</v>
      </c>
      <c r="G7" s="10" t="n">
        <f aca="false">AVERAGE('Risk Scoring'!$H$2:$H$1001)</f>
        <v>3271.258</v>
      </c>
    </row>
    <row r="8" customFormat="false" ht="15" hidden="false" customHeight="false" outlineLevel="0" collapsed="false">
      <c r="A8" s="5" t="s">
        <v>12</v>
      </c>
      <c r="B8" s="7" t="n">
        <f aca="false">COUNTIF('Risk Scoring'!$R$2:$R$1001,A8)</f>
        <v>123</v>
      </c>
      <c r="C8" s="8" t="n">
        <f aca="false">B8/SUM($B$6:$B$8)</f>
        <v>0.123</v>
      </c>
      <c r="F8" s="5" t="s">
        <v>13</v>
      </c>
      <c r="G8" s="9" t="n">
        <f aca="false">AVERAGE('Risk Scoring'!$I$2:$I$1001)</f>
        <v>20.903</v>
      </c>
    </row>
    <row r="9" customFormat="false" ht="15" hidden="false" customHeight="false" outlineLevel="0" collapsed="false">
      <c r="A9" s="3" t="s">
        <v>14</v>
      </c>
      <c r="B9" s="3" t="n">
        <f aca="false">SUM(B6:B8)</f>
        <v>1000</v>
      </c>
      <c r="F9" s="5" t="s">
        <v>15</v>
      </c>
      <c r="G9" s="9" t="n">
        <f aca="false">MAX('Risk Scoring'!$Q$2:$Q$1001)</f>
        <v>90.915625</v>
      </c>
    </row>
    <row r="10" customFormat="false" ht="15" hidden="false" customHeight="false" outlineLevel="0" collapsed="false">
      <c r="F10" s="5" t="s">
        <v>16</v>
      </c>
      <c r="G10" s="9" t="n">
        <f aca="false">MIN('Risk Scoring'!$Q$2:$Q$1001)</f>
        <v>24.15</v>
      </c>
    </row>
    <row r="12" customFormat="false" ht="15" hidden="false" customHeight="false" outlineLevel="0" collapsed="false">
      <c r="A12" s="3" t="s">
        <v>17</v>
      </c>
    </row>
    <row r="13" customFormat="false" ht="15" hidden="false" customHeight="false" outlineLevel="0" collapsed="false">
      <c r="A13" s="4" t="s">
        <v>4</v>
      </c>
      <c r="B13" s="4" t="s">
        <v>18</v>
      </c>
      <c r="C13" s="4" t="s">
        <v>19</v>
      </c>
      <c r="D13" s="4" t="s">
        <v>20</v>
      </c>
    </row>
    <row r="14" customFormat="false" ht="15" hidden="false" customHeight="false" outlineLevel="0" collapsed="false">
      <c r="A14" s="5" t="s">
        <v>8</v>
      </c>
      <c r="B14" s="10" t="n">
        <f aca="false">AVERAGEIF('Risk Scoring'!$R$2:$R$1001,A14,'Risk Scoring'!$H$2:$H$1001)</f>
        <v>5516.47826086957</v>
      </c>
      <c r="C14" s="9" t="n">
        <f aca="false">AVERAGEIF('Risk Scoring'!$R$2:$R$1001,A14,'Risk Scoring'!$I$2:$I$1001)</f>
        <v>10.8260869565217</v>
      </c>
      <c r="D14" s="9" t="n">
        <f aca="false">AVERAGEIF('Risk Scoring'!$R$2:$R$1001,A14,'Risk Scoring'!$B$2:$B$1001)</f>
        <v>38.6956521739131</v>
      </c>
    </row>
    <row r="15" customFormat="false" ht="15" hidden="false" customHeight="false" outlineLevel="0" collapsed="false">
      <c r="A15" s="5" t="s">
        <v>10</v>
      </c>
      <c r="B15" s="10" t="n">
        <f aca="false">AVERAGEIF('Risk Scoring'!$R$2:$R$1001,A15,'Risk Scoring'!$H$2:$H$1001)</f>
        <v>3386.91100702576</v>
      </c>
      <c r="C15" s="9" t="n">
        <f aca="false">AVERAGEIF('Risk Scoring'!$R$2:$R$1001,A15,'Risk Scoring'!$I$2:$I$1001)</f>
        <v>21.1791569086651</v>
      </c>
      <c r="D15" s="9" t="n">
        <f aca="false">AVERAGEIF('Risk Scoring'!$R$2:$R$1001,A15,'Risk Scoring'!$B$2:$B$1001)</f>
        <v>35.271662763466</v>
      </c>
    </row>
    <row r="16" customFormat="false" ht="15" hidden="false" customHeight="false" outlineLevel="0" collapsed="false">
      <c r="A16" s="5" t="s">
        <v>12</v>
      </c>
      <c r="B16" s="10" t="n">
        <f aca="false">AVERAGEIF('Risk Scoring'!$R$2:$R$1001,A16,'Risk Scoring'!$H$2:$H$1001)</f>
        <v>2048.43089430894</v>
      </c>
      <c r="C16" s="9" t="n">
        <f aca="false">AVERAGEIF('Risk Scoring'!$R$2:$R$1001,A16,'Risk Scoring'!$I$2:$I$1001)</f>
        <v>20.869918699187</v>
      </c>
      <c r="D16" s="9" t="n">
        <f aca="false">AVERAGEIF('Risk Scoring'!$R$2:$R$1001,A16,'Risk Scoring'!$B$2:$B$1001)</f>
        <v>36.8617886178862</v>
      </c>
    </row>
    <row r="18" customFormat="false" ht="15" hidden="false" customHeight="false" outlineLevel="0" collapsed="false">
      <c r="A18" s="3" t="s">
        <v>21</v>
      </c>
    </row>
    <row r="19" customFormat="false" ht="15" hidden="false" customHeight="false" outlineLevel="0" collapsed="false">
      <c r="A19" s="4" t="s">
        <v>22</v>
      </c>
      <c r="B19" s="4" t="s">
        <v>5</v>
      </c>
    </row>
    <row r="20" customFormat="false" ht="15" hidden="false" customHeight="false" outlineLevel="0" collapsed="false">
      <c r="A20" s="5" t="s">
        <v>23</v>
      </c>
      <c r="B20" s="7" t="n">
        <f aca="false">COUNTIF('Risk Scoring'!$J$2:$J$1001,A20)</f>
        <v>337</v>
      </c>
    </row>
    <row r="21" customFormat="false" ht="15" hidden="false" customHeight="false" outlineLevel="0" collapsed="false">
      <c r="A21" s="5" t="s">
        <v>24</v>
      </c>
      <c r="B21" s="7" t="n">
        <f aca="false">COUNTIF('Risk Scoring'!$J$2:$J$1001,A21)</f>
        <v>280</v>
      </c>
    </row>
    <row r="22" customFormat="false" ht="15" hidden="false" customHeight="false" outlineLevel="0" collapsed="false">
      <c r="A22" s="5" t="s">
        <v>25</v>
      </c>
      <c r="B22" s="7" t="n">
        <f aca="false">COUNTIF('Risk Scoring'!$J$2:$J$1001,A22)</f>
        <v>181</v>
      </c>
    </row>
    <row r="23" customFormat="false" ht="15" hidden="false" customHeight="false" outlineLevel="0" collapsed="false">
      <c r="A23" s="5" t="s">
        <v>26</v>
      </c>
      <c r="B23" s="7" t="n">
        <f aca="false">COUNTIF('Risk Scoring'!$J$2:$J$1001,A23)</f>
        <v>97</v>
      </c>
    </row>
    <row r="24" customFormat="false" ht="15" hidden="false" customHeight="false" outlineLevel="0" collapsed="false">
      <c r="A24" s="5" t="s">
        <v>27</v>
      </c>
      <c r="B24" s="7" t="n">
        <f aca="false">COUNTIF('Risk Scoring'!$J$2:$J$1001,A24)</f>
        <v>59</v>
      </c>
    </row>
    <row r="25" customFormat="false" ht="15" hidden="false" customHeight="false" outlineLevel="0" collapsed="false">
      <c r="A25" s="5" t="s">
        <v>28</v>
      </c>
      <c r="B25" s="7" t="n">
        <f aca="false">COUNTIF('Risk Scoring'!$J$2:$J$1001,A25)</f>
        <v>22</v>
      </c>
    </row>
    <row r="26" customFormat="false" ht="15" hidden="false" customHeight="false" outlineLevel="0" collapsed="false">
      <c r="A26" s="5" t="s">
        <v>29</v>
      </c>
      <c r="B26" s="7" t="n">
        <f aca="false">COUNTIF('Risk Scoring'!$J$2:$J$1001,A26)</f>
        <v>12</v>
      </c>
    </row>
    <row r="27" customFormat="false" ht="15" hidden="false" customHeight="false" outlineLevel="0" collapsed="false">
      <c r="A27" s="5" t="s">
        <v>30</v>
      </c>
      <c r="B27" s="7" t="n">
        <f aca="false">COUNTIF('Risk Scoring'!$J$2:$J$1001,A27)</f>
        <v>12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11" width="16"/>
  </cols>
  <sheetData>
    <row r="1" customFormat="false" ht="15" hidden="false" customHeight="true" outlineLevel="0" collapsed="fals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22</v>
      </c>
    </row>
    <row r="2" customFormat="false" ht="15" hidden="false" customHeight="true" outlineLevel="0" collapsed="false">
      <c r="A2" s="12" t="n">
        <v>1</v>
      </c>
      <c r="B2" s="12" t="n">
        <v>67</v>
      </c>
      <c r="C2" s="12" t="s">
        <v>40</v>
      </c>
      <c r="D2" s="12" t="n">
        <v>2</v>
      </c>
      <c r="E2" s="12" t="s">
        <v>41</v>
      </c>
      <c r="F2" s="12" t="s">
        <v>42</v>
      </c>
      <c r="G2" s="12" t="s">
        <v>43</v>
      </c>
      <c r="H2" s="12" t="n">
        <v>1169</v>
      </c>
      <c r="I2" s="12" t="n">
        <v>6</v>
      </c>
      <c r="J2" s="12" t="s">
        <v>24</v>
      </c>
    </row>
    <row r="3" customFormat="false" ht="15" hidden="false" customHeight="true" outlineLevel="0" collapsed="false">
      <c r="A3" s="12" t="n">
        <v>2</v>
      </c>
      <c r="B3" s="12" t="n">
        <v>22</v>
      </c>
      <c r="C3" s="12" t="s">
        <v>44</v>
      </c>
      <c r="D3" s="12" t="n">
        <v>2</v>
      </c>
      <c r="E3" s="12" t="s">
        <v>41</v>
      </c>
      <c r="F3" s="12" t="s">
        <v>43</v>
      </c>
      <c r="G3" s="12" t="s">
        <v>45</v>
      </c>
      <c r="H3" s="12" t="n">
        <v>5951</v>
      </c>
      <c r="I3" s="12" t="n">
        <v>48</v>
      </c>
      <c r="J3" s="12" t="s">
        <v>24</v>
      </c>
    </row>
    <row r="4" customFormat="false" ht="15" hidden="false" customHeight="true" outlineLevel="0" collapsed="false">
      <c r="A4" s="12" t="n">
        <v>3</v>
      </c>
      <c r="B4" s="12" t="n">
        <v>49</v>
      </c>
      <c r="C4" s="12" t="s">
        <v>40</v>
      </c>
      <c r="D4" s="12" t="n">
        <v>1</v>
      </c>
      <c r="E4" s="12" t="s">
        <v>41</v>
      </c>
      <c r="F4" s="12" t="s">
        <v>43</v>
      </c>
      <c r="G4" s="12" t="s">
        <v>42</v>
      </c>
      <c r="H4" s="12" t="n">
        <v>2096</v>
      </c>
      <c r="I4" s="12" t="n">
        <v>12</v>
      </c>
      <c r="J4" s="12" t="s">
        <v>27</v>
      </c>
    </row>
    <row r="5" customFormat="false" ht="15" hidden="false" customHeight="true" outlineLevel="0" collapsed="false">
      <c r="A5" s="12" t="n">
        <v>4</v>
      </c>
      <c r="B5" s="12" t="n">
        <v>45</v>
      </c>
      <c r="C5" s="12" t="s">
        <v>40</v>
      </c>
      <c r="D5" s="12" t="n">
        <v>2</v>
      </c>
      <c r="E5" s="12" t="s">
        <v>46</v>
      </c>
      <c r="F5" s="12" t="s">
        <v>43</v>
      </c>
      <c r="G5" s="12" t="s">
        <v>43</v>
      </c>
      <c r="H5" s="12" t="n">
        <v>7882</v>
      </c>
      <c r="I5" s="12" t="n">
        <v>42</v>
      </c>
      <c r="J5" s="12" t="s">
        <v>25</v>
      </c>
    </row>
    <row r="6" customFormat="false" ht="15" hidden="false" customHeight="true" outlineLevel="0" collapsed="false">
      <c r="A6" s="12" t="n">
        <v>5</v>
      </c>
      <c r="B6" s="12" t="n">
        <v>53</v>
      </c>
      <c r="C6" s="12" t="s">
        <v>40</v>
      </c>
      <c r="D6" s="12" t="n">
        <v>2</v>
      </c>
      <c r="E6" s="12" t="s">
        <v>46</v>
      </c>
      <c r="F6" s="12" t="s">
        <v>43</v>
      </c>
      <c r="G6" s="12" t="s">
        <v>43</v>
      </c>
      <c r="H6" s="12" t="n">
        <v>4870</v>
      </c>
      <c r="I6" s="12" t="n">
        <v>24</v>
      </c>
      <c r="J6" s="12" t="s">
        <v>23</v>
      </c>
    </row>
    <row r="7" customFormat="false" ht="15" hidden="false" customHeight="true" outlineLevel="0" collapsed="false">
      <c r="A7" s="12" t="n">
        <v>6</v>
      </c>
      <c r="B7" s="12" t="n">
        <v>35</v>
      </c>
      <c r="C7" s="12" t="s">
        <v>40</v>
      </c>
      <c r="D7" s="12" t="n">
        <v>1</v>
      </c>
      <c r="E7" s="12" t="s">
        <v>46</v>
      </c>
      <c r="F7" s="12" t="s">
        <v>42</v>
      </c>
      <c r="G7" s="12" t="s">
        <v>42</v>
      </c>
      <c r="H7" s="12" t="n">
        <v>9055</v>
      </c>
      <c r="I7" s="12" t="n">
        <v>36</v>
      </c>
      <c r="J7" s="12" t="s">
        <v>27</v>
      </c>
    </row>
    <row r="8" customFormat="false" ht="15" hidden="false" customHeight="true" outlineLevel="0" collapsed="false">
      <c r="A8" s="12" t="n">
        <v>7</v>
      </c>
      <c r="B8" s="12" t="n">
        <v>53</v>
      </c>
      <c r="C8" s="12" t="s">
        <v>40</v>
      </c>
      <c r="D8" s="12" t="n">
        <v>2</v>
      </c>
      <c r="E8" s="12" t="s">
        <v>41</v>
      </c>
      <c r="F8" s="12" t="s">
        <v>47</v>
      </c>
      <c r="G8" s="12" t="s">
        <v>42</v>
      </c>
      <c r="H8" s="12" t="n">
        <v>2835</v>
      </c>
      <c r="I8" s="12" t="n">
        <v>24</v>
      </c>
      <c r="J8" s="12" t="s">
        <v>25</v>
      </c>
    </row>
    <row r="9" customFormat="false" ht="15" hidden="false" customHeight="true" outlineLevel="0" collapsed="false">
      <c r="A9" s="12" t="n">
        <v>8</v>
      </c>
      <c r="B9" s="12" t="n">
        <v>35</v>
      </c>
      <c r="C9" s="12" t="s">
        <v>40</v>
      </c>
      <c r="D9" s="12" t="n">
        <v>3</v>
      </c>
      <c r="E9" s="12" t="s">
        <v>48</v>
      </c>
      <c r="F9" s="12" t="s">
        <v>43</v>
      </c>
      <c r="G9" s="12" t="s">
        <v>45</v>
      </c>
      <c r="H9" s="12" t="n">
        <v>6948</v>
      </c>
      <c r="I9" s="12" t="n">
        <v>36</v>
      </c>
      <c r="J9" s="12" t="s">
        <v>23</v>
      </c>
    </row>
    <row r="10" customFormat="false" ht="15" hidden="false" customHeight="true" outlineLevel="0" collapsed="false">
      <c r="A10" s="12" t="n">
        <v>9</v>
      </c>
      <c r="B10" s="12" t="n">
        <v>61</v>
      </c>
      <c r="C10" s="12" t="s">
        <v>40</v>
      </c>
      <c r="D10" s="12" t="n">
        <v>1</v>
      </c>
      <c r="E10" s="12" t="s">
        <v>41</v>
      </c>
      <c r="F10" s="12" t="s">
        <v>49</v>
      </c>
      <c r="G10" s="12" t="s">
        <v>42</v>
      </c>
      <c r="H10" s="12" t="n">
        <v>3059</v>
      </c>
      <c r="I10" s="12" t="n">
        <v>12</v>
      </c>
      <c r="J10" s="12" t="s">
        <v>24</v>
      </c>
    </row>
    <row r="11" customFormat="false" ht="15" hidden="false" customHeight="true" outlineLevel="0" collapsed="false">
      <c r="A11" s="12" t="n">
        <v>10</v>
      </c>
      <c r="B11" s="12" t="n">
        <v>28</v>
      </c>
      <c r="C11" s="12" t="s">
        <v>40</v>
      </c>
      <c r="D11" s="12" t="n">
        <v>3</v>
      </c>
      <c r="E11" s="12" t="s">
        <v>41</v>
      </c>
      <c r="F11" s="12" t="s">
        <v>43</v>
      </c>
      <c r="G11" s="12" t="s">
        <v>45</v>
      </c>
      <c r="H11" s="12" t="n">
        <v>5234</v>
      </c>
      <c r="I11" s="12" t="n">
        <v>30</v>
      </c>
      <c r="J11" s="12" t="s">
        <v>23</v>
      </c>
    </row>
    <row r="12" customFormat="false" ht="15" hidden="false" customHeight="true" outlineLevel="0" collapsed="false">
      <c r="A12" s="12" t="n">
        <v>11</v>
      </c>
      <c r="B12" s="12" t="n">
        <v>25</v>
      </c>
      <c r="C12" s="12" t="s">
        <v>44</v>
      </c>
      <c r="D12" s="12" t="n">
        <v>2</v>
      </c>
      <c r="E12" s="12" t="s">
        <v>48</v>
      </c>
      <c r="F12" s="12" t="s">
        <v>43</v>
      </c>
      <c r="G12" s="12" t="s">
        <v>45</v>
      </c>
      <c r="H12" s="12" t="n">
        <v>1295</v>
      </c>
      <c r="I12" s="12" t="n">
        <v>12</v>
      </c>
      <c r="J12" s="12" t="s">
        <v>23</v>
      </c>
    </row>
    <row r="13" customFormat="false" ht="15" hidden="false" customHeight="true" outlineLevel="0" collapsed="false">
      <c r="A13" s="12" t="n">
        <v>12</v>
      </c>
      <c r="B13" s="12" t="n">
        <v>24</v>
      </c>
      <c r="C13" s="12" t="s">
        <v>44</v>
      </c>
      <c r="D13" s="12" t="n">
        <v>2</v>
      </c>
      <c r="E13" s="12" t="s">
        <v>48</v>
      </c>
      <c r="F13" s="12" t="s">
        <v>43</v>
      </c>
      <c r="G13" s="12" t="s">
        <v>43</v>
      </c>
      <c r="H13" s="12" t="n">
        <v>4308</v>
      </c>
      <c r="I13" s="12" t="n">
        <v>48</v>
      </c>
      <c r="J13" s="12" t="s">
        <v>26</v>
      </c>
    </row>
    <row r="14" customFormat="false" ht="15" hidden="false" customHeight="true" outlineLevel="0" collapsed="false">
      <c r="A14" s="12" t="n">
        <v>13</v>
      </c>
      <c r="B14" s="12" t="n">
        <v>22</v>
      </c>
      <c r="C14" s="12" t="s">
        <v>44</v>
      </c>
      <c r="D14" s="12" t="n">
        <v>2</v>
      </c>
      <c r="E14" s="12" t="s">
        <v>41</v>
      </c>
      <c r="F14" s="12" t="s">
        <v>43</v>
      </c>
      <c r="G14" s="12" t="s">
        <v>45</v>
      </c>
      <c r="H14" s="12" t="n">
        <v>1567</v>
      </c>
      <c r="I14" s="12" t="n">
        <v>12</v>
      </c>
      <c r="J14" s="12" t="s">
        <v>24</v>
      </c>
    </row>
    <row r="15" customFormat="false" ht="15" hidden="false" customHeight="true" outlineLevel="0" collapsed="false">
      <c r="A15" s="12" t="n">
        <v>14</v>
      </c>
      <c r="B15" s="12" t="n">
        <v>60</v>
      </c>
      <c r="C15" s="12" t="s">
        <v>40</v>
      </c>
      <c r="D15" s="12" t="n">
        <v>1</v>
      </c>
      <c r="E15" s="12" t="s">
        <v>41</v>
      </c>
      <c r="F15" s="12" t="s">
        <v>43</v>
      </c>
      <c r="G15" s="12" t="s">
        <v>43</v>
      </c>
      <c r="H15" s="12" t="n">
        <v>1199</v>
      </c>
      <c r="I15" s="12" t="n">
        <v>24</v>
      </c>
      <c r="J15" s="12" t="s">
        <v>23</v>
      </c>
    </row>
    <row r="16" customFormat="false" ht="15" hidden="false" customHeight="true" outlineLevel="0" collapsed="false">
      <c r="A16" s="12" t="n">
        <v>15</v>
      </c>
      <c r="B16" s="12" t="n">
        <v>28</v>
      </c>
      <c r="C16" s="12" t="s">
        <v>44</v>
      </c>
      <c r="D16" s="12" t="n">
        <v>2</v>
      </c>
      <c r="E16" s="12" t="s">
        <v>48</v>
      </c>
      <c r="F16" s="12" t="s">
        <v>43</v>
      </c>
      <c r="G16" s="12" t="s">
        <v>43</v>
      </c>
      <c r="H16" s="12" t="n">
        <v>1403</v>
      </c>
      <c r="I16" s="12" t="n">
        <v>15</v>
      </c>
      <c r="J16" s="12" t="s">
        <v>23</v>
      </c>
    </row>
    <row r="17" customFormat="false" ht="15" hidden="false" customHeight="true" outlineLevel="0" collapsed="false">
      <c r="A17" s="12" t="n">
        <v>16</v>
      </c>
      <c r="B17" s="12" t="n">
        <v>32</v>
      </c>
      <c r="C17" s="12" t="s">
        <v>44</v>
      </c>
      <c r="D17" s="12" t="n">
        <v>1</v>
      </c>
      <c r="E17" s="12" t="s">
        <v>41</v>
      </c>
      <c r="F17" s="12" t="s">
        <v>45</v>
      </c>
      <c r="G17" s="12" t="s">
        <v>43</v>
      </c>
      <c r="H17" s="12" t="n">
        <v>1282</v>
      </c>
      <c r="I17" s="12" t="n">
        <v>24</v>
      </c>
      <c r="J17" s="12" t="s">
        <v>24</v>
      </c>
    </row>
    <row r="18" customFormat="false" ht="15" hidden="false" customHeight="true" outlineLevel="0" collapsed="false">
      <c r="A18" s="12" t="n">
        <v>17</v>
      </c>
      <c r="B18" s="12" t="n">
        <v>53</v>
      </c>
      <c r="C18" s="12" t="s">
        <v>40</v>
      </c>
      <c r="D18" s="12" t="n">
        <v>2</v>
      </c>
      <c r="E18" s="12" t="s">
        <v>41</v>
      </c>
      <c r="F18" s="12" t="s">
        <v>42</v>
      </c>
      <c r="G18" s="12" t="s">
        <v>42</v>
      </c>
      <c r="H18" s="12" t="n">
        <v>2424</v>
      </c>
      <c r="I18" s="12" t="n">
        <v>24</v>
      </c>
      <c r="J18" s="12" t="s">
        <v>24</v>
      </c>
    </row>
    <row r="19" customFormat="false" ht="15" hidden="false" customHeight="true" outlineLevel="0" collapsed="false">
      <c r="A19" s="12" t="n">
        <v>18</v>
      </c>
      <c r="B19" s="12" t="n">
        <v>25</v>
      </c>
      <c r="C19" s="12" t="s">
        <v>40</v>
      </c>
      <c r="D19" s="12" t="n">
        <v>2</v>
      </c>
      <c r="E19" s="12" t="s">
        <v>41</v>
      </c>
      <c r="F19" s="12" t="s">
        <v>42</v>
      </c>
      <c r="G19" s="12" t="s">
        <v>43</v>
      </c>
      <c r="H19" s="12" t="n">
        <v>8072</v>
      </c>
      <c r="I19" s="12" t="n">
        <v>30</v>
      </c>
      <c r="J19" s="12" t="s">
        <v>26</v>
      </c>
    </row>
    <row r="20" customFormat="false" ht="15" hidden="false" customHeight="true" outlineLevel="0" collapsed="false">
      <c r="A20" s="12" t="n">
        <v>19</v>
      </c>
      <c r="B20" s="12" t="n">
        <v>44</v>
      </c>
      <c r="C20" s="12" t="s">
        <v>44</v>
      </c>
      <c r="D20" s="12" t="n">
        <v>3</v>
      </c>
      <c r="E20" s="12" t="s">
        <v>46</v>
      </c>
      <c r="F20" s="12" t="s">
        <v>43</v>
      </c>
      <c r="G20" s="12" t="s">
        <v>45</v>
      </c>
      <c r="H20" s="12" t="n">
        <v>12579</v>
      </c>
      <c r="I20" s="12" t="n">
        <v>24</v>
      </c>
      <c r="J20" s="12" t="s">
        <v>23</v>
      </c>
    </row>
    <row r="21" customFormat="false" ht="15" hidden="false" customHeight="true" outlineLevel="0" collapsed="false">
      <c r="A21" s="12" t="n">
        <v>20</v>
      </c>
      <c r="B21" s="12" t="n">
        <v>31</v>
      </c>
      <c r="C21" s="12" t="s">
        <v>40</v>
      </c>
      <c r="D21" s="12" t="n">
        <v>2</v>
      </c>
      <c r="E21" s="12" t="s">
        <v>41</v>
      </c>
      <c r="F21" s="12" t="s">
        <v>47</v>
      </c>
      <c r="G21" s="12" t="s">
        <v>42</v>
      </c>
      <c r="H21" s="12" t="n">
        <v>3430</v>
      </c>
      <c r="I21" s="12" t="n">
        <v>24</v>
      </c>
      <c r="J21" s="12" t="s">
        <v>24</v>
      </c>
    </row>
    <row r="22" customFormat="false" ht="15" hidden="false" customHeight="true" outlineLevel="0" collapsed="false">
      <c r="A22" s="12" t="n">
        <v>21</v>
      </c>
      <c r="B22" s="12" t="n">
        <v>48</v>
      </c>
      <c r="C22" s="12" t="s">
        <v>40</v>
      </c>
      <c r="D22" s="12" t="n">
        <v>2</v>
      </c>
      <c r="E22" s="12" t="s">
        <v>41</v>
      </c>
      <c r="F22" s="12" t="s">
        <v>43</v>
      </c>
      <c r="G22" s="12" t="s">
        <v>42</v>
      </c>
      <c r="H22" s="12" t="n">
        <v>2134</v>
      </c>
      <c r="I22" s="12" t="n">
        <v>9</v>
      </c>
      <c r="J22" s="12" t="s">
        <v>23</v>
      </c>
    </row>
    <row r="23" customFormat="false" ht="15" hidden="false" customHeight="true" outlineLevel="0" collapsed="false">
      <c r="A23" s="12" t="n">
        <v>22</v>
      </c>
      <c r="B23" s="12" t="n">
        <v>44</v>
      </c>
      <c r="C23" s="12" t="s">
        <v>40</v>
      </c>
      <c r="D23" s="12" t="n">
        <v>2</v>
      </c>
      <c r="E23" s="12" t="s">
        <v>48</v>
      </c>
      <c r="F23" s="12" t="s">
        <v>47</v>
      </c>
      <c r="G23" s="12" t="s">
        <v>43</v>
      </c>
      <c r="H23" s="12" t="n">
        <v>2647</v>
      </c>
      <c r="I23" s="12" t="n">
        <v>6</v>
      </c>
      <c r="J23" s="12" t="s">
        <v>24</v>
      </c>
    </row>
    <row r="24" customFormat="false" ht="15" hidden="false" customHeight="true" outlineLevel="0" collapsed="false">
      <c r="A24" s="12" t="n">
        <v>23</v>
      </c>
      <c r="B24" s="12" t="n">
        <v>48</v>
      </c>
      <c r="C24" s="12" t="s">
        <v>40</v>
      </c>
      <c r="D24" s="12" t="n">
        <v>1</v>
      </c>
      <c r="E24" s="12" t="s">
        <v>48</v>
      </c>
      <c r="F24" s="12" t="s">
        <v>43</v>
      </c>
      <c r="G24" s="12" t="s">
        <v>43</v>
      </c>
      <c r="H24" s="12" t="n">
        <v>2241</v>
      </c>
      <c r="I24" s="12" t="n">
        <v>10</v>
      </c>
      <c r="J24" s="12" t="s">
        <v>23</v>
      </c>
    </row>
    <row r="25" customFormat="false" ht="15" hidden="false" customHeight="true" outlineLevel="0" collapsed="false">
      <c r="A25" s="12" t="n">
        <v>24</v>
      </c>
      <c r="B25" s="12" t="n">
        <v>44</v>
      </c>
      <c r="C25" s="12" t="s">
        <v>40</v>
      </c>
      <c r="D25" s="12" t="n">
        <v>2</v>
      </c>
      <c r="E25" s="12" t="s">
        <v>41</v>
      </c>
      <c r="F25" s="12" t="s">
        <v>45</v>
      </c>
      <c r="G25" s="12" t="s">
        <v>45</v>
      </c>
      <c r="H25" s="12" t="n">
        <v>1804</v>
      </c>
      <c r="I25" s="12" t="n">
        <v>12</v>
      </c>
      <c r="J25" s="12" t="s">
        <v>23</v>
      </c>
    </row>
    <row r="26" customFormat="false" ht="15" hidden="false" customHeight="true" outlineLevel="0" collapsed="false">
      <c r="A26" s="12" t="n">
        <v>25</v>
      </c>
      <c r="B26" s="12" t="n">
        <v>26</v>
      </c>
      <c r="C26" s="12" t="s">
        <v>40</v>
      </c>
      <c r="D26" s="12" t="n">
        <v>2</v>
      </c>
      <c r="E26" s="12" t="s">
        <v>41</v>
      </c>
      <c r="F26" s="12" t="s">
        <v>42</v>
      </c>
      <c r="G26" s="12" t="s">
        <v>42</v>
      </c>
      <c r="H26" s="12" t="n">
        <v>2069</v>
      </c>
      <c r="I26" s="12" t="n">
        <v>10</v>
      </c>
      <c r="J26" s="12" t="s">
        <v>25</v>
      </c>
    </row>
    <row r="27" customFormat="false" ht="15" hidden="false" customHeight="true" outlineLevel="0" collapsed="false">
      <c r="A27" s="12" t="n">
        <v>26</v>
      </c>
      <c r="B27" s="12" t="n">
        <v>36</v>
      </c>
      <c r="C27" s="12" t="s">
        <v>40</v>
      </c>
      <c r="D27" s="12" t="n">
        <v>1</v>
      </c>
      <c r="E27" s="12" t="s">
        <v>41</v>
      </c>
      <c r="F27" s="12" t="s">
        <v>43</v>
      </c>
      <c r="G27" s="12" t="s">
        <v>43</v>
      </c>
      <c r="H27" s="12" t="n">
        <v>1374</v>
      </c>
      <c r="I27" s="12" t="n">
        <v>6</v>
      </c>
      <c r="J27" s="12" t="s">
        <v>25</v>
      </c>
    </row>
    <row r="28" customFormat="false" ht="15" hidden="false" customHeight="true" outlineLevel="0" collapsed="false">
      <c r="A28" s="12" t="n">
        <v>27</v>
      </c>
      <c r="B28" s="12" t="n">
        <v>39</v>
      </c>
      <c r="C28" s="12" t="s">
        <v>40</v>
      </c>
      <c r="D28" s="12" t="n">
        <v>1</v>
      </c>
      <c r="E28" s="12" t="s">
        <v>41</v>
      </c>
      <c r="F28" s="12" t="s">
        <v>43</v>
      </c>
      <c r="G28" s="12" t="s">
        <v>42</v>
      </c>
      <c r="H28" s="12" t="n">
        <v>426</v>
      </c>
      <c r="I28" s="12" t="n">
        <v>6</v>
      </c>
      <c r="J28" s="12" t="s">
        <v>24</v>
      </c>
    </row>
    <row r="29" customFormat="false" ht="15" hidden="false" customHeight="true" outlineLevel="0" collapsed="false">
      <c r="A29" s="12" t="n">
        <v>28</v>
      </c>
      <c r="B29" s="12" t="n">
        <v>42</v>
      </c>
      <c r="C29" s="12" t="s">
        <v>44</v>
      </c>
      <c r="D29" s="12" t="n">
        <v>2</v>
      </c>
      <c r="E29" s="12" t="s">
        <v>48</v>
      </c>
      <c r="F29" s="12" t="s">
        <v>49</v>
      </c>
      <c r="G29" s="12" t="s">
        <v>49</v>
      </c>
      <c r="H29" s="12" t="n">
        <v>409</v>
      </c>
      <c r="I29" s="12" t="n">
        <v>12</v>
      </c>
      <c r="J29" s="12" t="s">
        <v>24</v>
      </c>
    </row>
    <row r="30" customFormat="false" ht="15" hidden="false" customHeight="true" outlineLevel="0" collapsed="false">
      <c r="A30" s="12" t="n">
        <v>29</v>
      </c>
      <c r="B30" s="12" t="n">
        <v>34</v>
      </c>
      <c r="C30" s="12" t="s">
        <v>40</v>
      </c>
      <c r="D30" s="12" t="n">
        <v>2</v>
      </c>
      <c r="E30" s="12" t="s">
        <v>41</v>
      </c>
      <c r="F30" s="12" t="s">
        <v>43</v>
      </c>
      <c r="G30" s="12" t="s">
        <v>45</v>
      </c>
      <c r="H30" s="12" t="n">
        <v>2415</v>
      </c>
      <c r="I30" s="12" t="n">
        <v>7</v>
      </c>
      <c r="J30" s="12" t="s">
        <v>24</v>
      </c>
    </row>
    <row r="31" customFormat="false" ht="15" hidden="false" customHeight="true" outlineLevel="0" collapsed="false">
      <c r="A31" s="12" t="n">
        <v>30</v>
      </c>
      <c r="B31" s="12" t="n">
        <v>63</v>
      </c>
      <c r="C31" s="12" t="s">
        <v>40</v>
      </c>
      <c r="D31" s="12" t="n">
        <v>2</v>
      </c>
      <c r="E31" s="12" t="s">
        <v>41</v>
      </c>
      <c r="F31" s="12" t="s">
        <v>43</v>
      </c>
      <c r="G31" s="12" t="s">
        <v>43</v>
      </c>
      <c r="H31" s="12" t="n">
        <v>6836</v>
      </c>
      <c r="I31" s="12" t="n">
        <v>60</v>
      </c>
      <c r="J31" s="12" t="s">
        <v>26</v>
      </c>
    </row>
    <row r="32" customFormat="false" ht="15" hidden="false" customHeight="true" outlineLevel="0" collapsed="false">
      <c r="A32" s="12" t="n">
        <v>31</v>
      </c>
      <c r="B32" s="12" t="n">
        <v>36</v>
      </c>
      <c r="C32" s="12" t="s">
        <v>40</v>
      </c>
      <c r="D32" s="12" t="n">
        <v>2</v>
      </c>
      <c r="E32" s="12" t="s">
        <v>41</v>
      </c>
      <c r="F32" s="12" t="s">
        <v>49</v>
      </c>
      <c r="G32" s="12" t="s">
        <v>45</v>
      </c>
      <c r="H32" s="12" t="n">
        <v>1913</v>
      </c>
      <c r="I32" s="12" t="n">
        <v>18</v>
      </c>
      <c r="J32" s="12" t="s">
        <v>26</v>
      </c>
    </row>
    <row r="33" customFormat="false" ht="15" hidden="false" customHeight="true" outlineLevel="0" collapsed="false">
      <c r="A33" s="12" t="n">
        <v>32</v>
      </c>
      <c r="B33" s="12" t="n">
        <v>27</v>
      </c>
      <c r="C33" s="12" t="s">
        <v>40</v>
      </c>
      <c r="D33" s="12" t="n">
        <v>2</v>
      </c>
      <c r="E33" s="12" t="s">
        <v>41</v>
      </c>
      <c r="F33" s="12" t="s">
        <v>43</v>
      </c>
      <c r="G33" s="12" t="s">
        <v>43</v>
      </c>
      <c r="H33" s="12" t="n">
        <v>4020</v>
      </c>
      <c r="I33" s="12" t="n">
        <v>24</v>
      </c>
      <c r="J33" s="12" t="s">
        <v>25</v>
      </c>
    </row>
    <row r="34" customFormat="false" ht="15" hidden="false" customHeight="true" outlineLevel="0" collapsed="false">
      <c r="A34" s="12" t="n">
        <v>33</v>
      </c>
      <c r="B34" s="12" t="n">
        <v>30</v>
      </c>
      <c r="C34" s="12" t="s">
        <v>40</v>
      </c>
      <c r="D34" s="12" t="n">
        <v>2</v>
      </c>
      <c r="E34" s="12" t="s">
        <v>41</v>
      </c>
      <c r="F34" s="12" t="s">
        <v>45</v>
      </c>
      <c r="G34" s="12" t="s">
        <v>45</v>
      </c>
      <c r="H34" s="12" t="n">
        <v>5866</v>
      </c>
      <c r="I34" s="12" t="n">
        <v>18</v>
      </c>
      <c r="J34" s="12" t="s">
        <v>23</v>
      </c>
    </row>
    <row r="35" customFormat="false" ht="15" hidden="false" customHeight="true" outlineLevel="0" collapsed="false">
      <c r="A35" s="12" t="n">
        <v>34</v>
      </c>
      <c r="B35" s="12" t="n">
        <v>57</v>
      </c>
      <c r="C35" s="12" t="s">
        <v>40</v>
      </c>
      <c r="D35" s="12" t="n">
        <v>1</v>
      </c>
      <c r="E35" s="12" t="s">
        <v>48</v>
      </c>
      <c r="F35" s="12" t="s">
        <v>42</v>
      </c>
      <c r="G35" s="12" t="s">
        <v>42</v>
      </c>
      <c r="H35" s="12" t="n">
        <v>1264</v>
      </c>
      <c r="I35" s="12" t="n">
        <v>12</v>
      </c>
      <c r="J35" s="12" t="s">
        <v>26</v>
      </c>
    </row>
    <row r="36" customFormat="false" ht="15" hidden="false" customHeight="true" outlineLevel="0" collapsed="false">
      <c r="A36" s="12" t="n">
        <v>35</v>
      </c>
      <c r="B36" s="12" t="n">
        <v>33</v>
      </c>
      <c r="C36" s="12" t="s">
        <v>44</v>
      </c>
      <c r="D36" s="12" t="n">
        <v>3</v>
      </c>
      <c r="E36" s="12" t="s">
        <v>41</v>
      </c>
      <c r="F36" s="12" t="s">
        <v>43</v>
      </c>
      <c r="G36" s="12" t="s">
        <v>49</v>
      </c>
      <c r="H36" s="12" t="n">
        <v>1474</v>
      </c>
      <c r="I36" s="12" t="n">
        <v>12</v>
      </c>
      <c r="J36" s="12" t="s">
        <v>25</v>
      </c>
    </row>
    <row r="37" customFormat="false" ht="15" hidden="false" customHeight="true" outlineLevel="0" collapsed="false">
      <c r="A37" s="12" t="n">
        <v>36</v>
      </c>
      <c r="B37" s="12" t="n">
        <v>25</v>
      </c>
      <c r="C37" s="12" t="s">
        <v>40</v>
      </c>
      <c r="D37" s="12" t="n">
        <v>1</v>
      </c>
      <c r="E37" s="12" t="s">
        <v>41</v>
      </c>
      <c r="F37" s="12" t="s">
        <v>43</v>
      </c>
      <c r="G37" s="12" t="s">
        <v>45</v>
      </c>
      <c r="H37" s="12" t="n">
        <v>4746</v>
      </c>
      <c r="I37" s="12" t="n">
        <v>45</v>
      </c>
      <c r="J37" s="12" t="s">
        <v>24</v>
      </c>
    </row>
    <row r="38" customFormat="false" ht="15" hidden="false" customHeight="true" outlineLevel="0" collapsed="false">
      <c r="A38" s="12" t="n">
        <v>37</v>
      </c>
      <c r="B38" s="12" t="n">
        <v>31</v>
      </c>
      <c r="C38" s="12" t="s">
        <v>40</v>
      </c>
      <c r="D38" s="12" t="n">
        <v>2</v>
      </c>
      <c r="E38" s="12" t="s">
        <v>46</v>
      </c>
      <c r="F38" s="12" t="s">
        <v>43</v>
      </c>
      <c r="G38" s="12" t="s">
        <v>42</v>
      </c>
      <c r="H38" s="12" t="n">
        <v>6110</v>
      </c>
      <c r="I38" s="12" t="n">
        <v>48</v>
      </c>
      <c r="J38" s="12" t="s">
        <v>27</v>
      </c>
    </row>
    <row r="39" customFormat="false" ht="15" hidden="false" customHeight="true" outlineLevel="0" collapsed="false">
      <c r="A39" s="12" t="n">
        <v>38</v>
      </c>
      <c r="B39" s="12" t="n">
        <v>37</v>
      </c>
      <c r="C39" s="12" t="s">
        <v>40</v>
      </c>
      <c r="D39" s="12" t="n">
        <v>2</v>
      </c>
      <c r="E39" s="12" t="s">
        <v>41</v>
      </c>
      <c r="F39" s="12" t="s">
        <v>43</v>
      </c>
      <c r="G39" s="12" t="s">
        <v>49</v>
      </c>
      <c r="H39" s="12" t="n">
        <v>2100</v>
      </c>
      <c r="I39" s="12" t="n">
        <v>18</v>
      </c>
      <c r="J39" s="12" t="s">
        <v>24</v>
      </c>
    </row>
    <row r="40" customFormat="false" ht="15" hidden="false" customHeight="true" outlineLevel="0" collapsed="false">
      <c r="A40" s="12" t="n">
        <v>39</v>
      </c>
      <c r="B40" s="12" t="n">
        <v>37</v>
      </c>
      <c r="C40" s="12" t="s">
        <v>40</v>
      </c>
      <c r="D40" s="12" t="n">
        <v>2</v>
      </c>
      <c r="E40" s="12" t="s">
        <v>41</v>
      </c>
      <c r="F40" s="12" t="s">
        <v>43</v>
      </c>
      <c r="G40" s="12" t="s">
        <v>49</v>
      </c>
      <c r="H40" s="12" t="n">
        <v>1225</v>
      </c>
      <c r="I40" s="12" t="n">
        <v>10</v>
      </c>
      <c r="J40" s="12" t="s">
        <v>29</v>
      </c>
    </row>
    <row r="41" customFormat="false" ht="15" hidden="false" customHeight="true" outlineLevel="0" collapsed="false">
      <c r="A41" s="12" t="n">
        <v>40</v>
      </c>
      <c r="B41" s="12" t="n">
        <v>24</v>
      </c>
      <c r="C41" s="12" t="s">
        <v>40</v>
      </c>
      <c r="D41" s="12" t="n">
        <v>2</v>
      </c>
      <c r="E41" s="12" t="s">
        <v>41</v>
      </c>
      <c r="F41" s="12" t="s">
        <v>43</v>
      </c>
      <c r="G41" s="12" t="s">
        <v>45</v>
      </c>
      <c r="H41" s="12" t="n">
        <v>458</v>
      </c>
      <c r="I41" s="12" t="n">
        <v>9</v>
      </c>
      <c r="J41" s="12" t="s">
        <v>24</v>
      </c>
    </row>
    <row r="42" customFormat="false" ht="15" hidden="false" customHeight="true" outlineLevel="0" collapsed="false">
      <c r="A42" s="12" t="n">
        <v>41</v>
      </c>
      <c r="B42" s="12" t="n">
        <v>30</v>
      </c>
      <c r="C42" s="12" t="s">
        <v>40</v>
      </c>
      <c r="D42" s="12" t="n">
        <v>3</v>
      </c>
      <c r="E42" s="12" t="s">
        <v>41</v>
      </c>
      <c r="F42" s="12" t="s">
        <v>47</v>
      </c>
      <c r="G42" s="12" t="s">
        <v>42</v>
      </c>
      <c r="H42" s="12" t="n">
        <v>2333</v>
      </c>
      <c r="I42" s="12" t="n">
        <v>30</v>
      </c>
      <c r="J42" s="12" t="s">
        <v>24</v>
      </c>
    </row>
    <row r="43" customFormat="false" ht="15" hidden="false" customHeight="true" outlineLevel="0" collapsed="false">
      <c r="A43" s="12" t="n">
        <v>42</v>
      </c>
      <c r="B43" s="12" t="n">
        <v>26</v>
      </c>
      <c r="C43" s="12" t="s">
        <v>40</v>
      </c>
      <c r="D43" s="12" t="n">
        <v>2</v>
      </c>
      <c r="E43" s="12" t="s">
        <v>41</v>
      </c>
      <c r="F43" s="12" t="s">
        <v>47</v>
      </c>
      <c r="G43" s="12" t="s">
        <v>45</v>
      </c>
      <c r="H43" s="12" t="n">
        <v>1158</v>
      </c>
      <c r="I43" s="12" t="n">
        <v>12</v>
      </c>
      <c r="J43" s="12" t="s">
        <v>24</v>
      </c>
    </row>
    <row r="44" customFormat="false" ht="15" hidden="false" customHeight="true" outlineLevel="0" collapsed="false">
      <c r="A44" s="12" t="n">
        <v>43</v>
      </c>
      <c r="B44" s="12" t="n">
        <v>44</v>
      </c>
      <c r="C44" s="12" t="s">
        <v>40</v>
      </c>
      <c r="D44" s="12" t="n">
        <v>1</v>
      </c>
      <c r="E44" s="12" t="s">
        <v>41</v>
      </c>
      <c r="F44" s="12" t="s">
        <v>43</v>
      </c>
      <c r="G44" s="12" t="s">
        <v>45</v>
      </c>
      <c r="H44" s="12" t="n">
        <v>6204</v>
      </c>
      <c r="I44" s="12" t="n">
        <v>18</v>
      </c>
      <c r="J44" s="12" t="s">
        <v>28</v>
      </c>
    </row>
    <row r="45" customFormat="false" ht="15" hidden="false" customHeight="true" outlineLevel="0" collapsed="false">
      <c r="A45" s="12" t="n">
        <v>44</v>
      </c>
      <c r="B45" s="12" t="n">
        <v>24</v>
      </c>
      <c r="C45" s="12" t="s">
        <v>40</v>
      </c>
      <c r="D45" s="12" t="n">
        <v>2</v>
      </c>
      <c r="E45" s="12" t="s">
        <v>48</v>
      </c>
      <c r="F45" s="12" t="s">
        <v>45</v>
      </c>
      <c r="G45" s="12" t="s">
        <v>43</v>
      </c>
      <c r="H45" s="12" t="n">
        <v>6187</v>
      </c>
      <c r="I45" s="12" t="n">
        <v>30</v>
      </c>
      <c r="J45" s="12" t="s">
        <v>23</v>
      </c>
    </row>
    <row r="46" customFormat="false" ht="15" hidden="false" customHeight="true" outlineLevel="0" collapsed="false">
      <c r="A46" s="12" t="n">
        <v>45</v>
      </c>
      <c r="B46" s="12" t="n">
        <v>58</v>
      </c>
      <c r="C46" s="12" t="s">
        <v>44</v>
      </c>
      <c r="D46" s="12" t="n">
        <v>1</v>
      </c>
      <c r="E46" s="12" t="s">
        <v>46</v>
      </c>
      <c r="F46" s="12" t="s">
        <v>43</v>
      </c>
      <c r="G46" s="12" t="s">
        <v>43</v>
      </c>
      <c r="H46" s="12" t="n">
        <v>6143</v>
      </c>
      <c r="I46" s="12" t="n">
        <v>48</v>
      </c>
      <c r="J46" s="12" t="s">
        <v>23</v>
      </c>
    </row>
    <row r="47" customFormat="false" ht="15" hidden="false" customHeight="true" outlineLevel="0" collapsed="false">
      <c r="A47" s="12" t="n">
        <v>46</v>
      </c>
      <c r="B47" s="12" t="n">
        <v>35</v>
      </c>
      <c r="C47" s="12" t="s">
        <v>44</v>
      </c>
      <c r="D47" s="12" t="n">
        <v>3</v>
      </c>
      <c r="E47" s="12" t="s">
        <v>41</v>
      </c>
      <c r="F47" s="12" t="s">
        <v>43</v>
      </c>
      <c r="G47" s="12" t="s">
        <v>42</v>
      </c>
      <c r="H47" s="12" t="n">
        <v>1393</v>
      </c>
      <c r="I47" s="12" t="n">
        <v>11</v>
      </c>
      <c r="J47" s="12" t="s">
        <v>23</v>
      </c>
    </row>
    <row r="48" customFormat="false" ht="15" hidden="false" customHeight="true" outlineLevel="0" collapsed="false">
      <c r="A48" s="12" t="n">
        <v>47</v>
      </c>
      <c r="B48" s="12" t="n">
        <v>39</v>
      </c>
      <c r="C48" s="12" t="s">
        <v>40</v>
      </c>
      <c r="D48" s="12" t="n">
        <v>2</v>
      </c>
      <c r="E48" s="12" t="s">
        <v>41</v>
      </c>
      <c r="F48" s="12" t="s">
        <v>47</v>
      </c>
      <c r="G48" s="12" t="s">
        <v>42</v>
      </c>
      <c r="H48" s="12" t="n">
        <v>2299</v>
      </c>
      <c r="I48" s="12" t="n">
        <v>36</v>
      </c>
      <c r="J48" s="12" t="s">
        <v>24</v>
      </c>
    </row>
    <row r="49" customFormat="false" ht="15" hidden="false" customHeight="true" outlineLevel="0" collapsed="false">
      <c r="A49" s="12" t="n">
        <v>48</v>
      </c>
      <c r="B49" s="12" t="n">
        <v>23</v>
      </c>
      <c r="C49" s="12" t="s">
        <v>44</v>
      </c>
      <c r="D49" s="12" t="n">
        <v>0</v>
      </c>
      <c r="E49" s="12" t="s">
        <v>48</v>
      </c>
      <c r="F49" s="12" t="s">
        <v>47</v>
      </c>
      <c r="G49" s="12" t="s">
        <v>43</v>
      </c>
      <c r="H49" s="12" t="n">
        <v>1352</v>
      </c>
      <c r="I49" s="12" t="n">
        <v>6</v>
      </c>
      <c r="J49" s="12" t="s">
        <v>23</v>
      </c>
    </row>
    <row r="50" customFormat="false" ht="15" hidden="false" customHeight="true" outlineLevel="0" collapsed="false">
      <c r="A50" s="12" t="n">
        <v>49</v>
      </c>
      <c r="B50" s="12" t="n">
        <v>39</v>
      </c>
      <c r="C50" s="12" t="s">
        <v>40</v>
      </c>
      <c r="D50" s="12" t="n">
        <v>1</v>
      </c>
      <c r="E50" s="12" t="s">
        <v>41</v>
      </c>
      <c r="F50" s="12" t="s">
        <v>43</v>
      </c>
      <c r="G50" s="12" t="s">
        <v>42</v>
      </c>
      <c r="H50" s="12" t="n">
        <v>7228</v>
      </c>
      <c r="I50" s="12" t="n">
        <v>11</v>
      </c>
      <c r="J50" s="12" t="s">
        <v>23</v>
      </c>
    </row>
    <row r="51" customFormat="false" ht="15" hidden="false" customHeight="true" outlineLevel="0" collapsed="false">
      <c r="A51" s="12" t="n">
        <v>50</v>
      </c>
      <c r="B51" s="12" t="n">
        <v>28</v>
      </c>
      <c r="C51" s="12" t="s">
        <v>44</v>
      </c>
      <c r="D51" s="12" t="n">
        <v>2</v>
      </c>
      <c r="E51" s="12" t="s">
        <v>41</v>
      </c>
      <c r="F51" s="12" t="s">
        <v>45</v>
      </c>
      <c r="G51" s="12" t="s">
        <v>42</v>
      </c>
      <c r="H51" s="12" t="n">
        <v>2073</v>
      </c>
      <c r="I51" s="12" t="n">
        <v>12</v>
      </c>
      <c r="J51" s="12" t="s">
        <v>24</v>
      </c>
    </row>
    <row r="52" customFormat="false" ht="15" hidden="false" customHeight="true" outlineLevel="0" collapsed="false">
      <c r="A52" s="12" t="n">
        <v>51</v>
      </c>
      <c r="B52" s="12" t="n">
        <v>29</v>
      </c>
      <c r="C52" s="12" t="s">
        <v>40</v>
      </c>
      <c r="D52" s="12" t="n">
        <v>1</v>
      </c>
      <c r="E52" s="12" t="s">
        <v>41</v>
      </c>
      <c r="F52" s="12" t="s">
        <v>42</v>
      </c>
      <c r="G52" s="12" t="s">
        <v>45</v>
      </c>
      <c r="H52" s="12" t="n">
        <v>2333</v>
      </c>
      <c r="I52" s="12" t="n">
        <v>24</v>
      </c>
      <c r="J52" s="12" t="s">
        <v>25</v>
      </c>
    </row>
    <row r="53" customFormat="false" ht="15" hidden="false" customHeight="true" outlineLevel="0" collapsed="false">
      <c r="A53" s="12" t="n">
        <v>52</v>
      </c>
      <c r="B53" s="12" t="n">
        <v>30</v>
      </c>
      <c r="C53" s="12" t="s">
        <v>40</v>
      </c>
      <c r="D53" s="12" t="n">
        <v>3</v>
      </c>
      <c r="E53" s="12" t="s">
        <v>41</v>
      </c>
      <c r="F53" s="12" t="s">
        <v>43</v>
      </c>
      <c r="G53" s="12" t="s">
        <v>45</v>
      </c>
      <c r="H53" s="12" t="n">
        <v>5965</v>
      </c>
      <c r="I53" s="12" t="n">
        <v>27</v>
      </c>
      <c r="J53" s="12" t="s">
        <v>23</v>
      </c>
    </row>
    <row r="54" customFormat="false" ht="15" hidden="false" customHeight="true" outlineLevel="0" collapsed="false">
      <c r="A54" s="12" t="n">
        <v>53</v>
      </c>
      <c r="B54" s="12" t="n">
        <v>25</v>
      </c>
      <c r="C54" s="12" t="s">
        <v>40</v>
      </c>
      <c r="D54" s="12" t="n">
        <v>2</v>
      </c>
      <c r="E54" s="12" t="s">
        <v>41</v>
      </c>
      <c r="F54" s="12" t="s">
        <v>43</v>
      </c>
      <c r="G54" s="12" t="s">
        <v>42</v>
      </c>
      <c r="H54" s="12" t="n">
        <v>1262</v>
      </c>
      <c r="I54" s="12" t="n">
        <v>12</v>
      </c>
      <c r="J54" s="12" t="s">
        <v>24</v>
      </c>
    </row>
    <row r="55" customFormat="false" ht="15" hidden="false" customHeight="true" outlineLevel="0" collapsed="false">
      <c r="A55" s="12" t="n">
        <v>54</v>
      </c>
      <c r="B55" s="12" t="n">
        <v>31</v>
      </c>
      <c r="C55" s="12" t="s">
        <v>40</v>
      </c>
      <c r="D55" s="12" t="n">
        <v>2</v>
      </c>
      <c r="E55" s="12" t="s">
        <v>41</v>
      </c>
      <c r="F55" s="12" t="s">
        <v>42</v>
      </c>
      <c r="G55" s="12" t="s">
        <v>42</v>
      </c>
      <c r="H55" s="12" t="n">
        <v>3378</v>
      </c>
      <c r="I55" s="12" t="n">
        <v>18</v>
      </c>
      <c r="J55" s="12" t="s">
        <v>23</v>
      </c>
    </row>
    <row r="56" customFormat="false" ht="15" hidden="false" customHeight="true" outlineLevel="0" collapsed="false">
      <c r="A56" s="12" t="n">
        <v>55</v>
      </c>
      <c r="B56" s="12" t="n">
        <v>57</v>
      </c>
      <c r="C56" s="12" t="s">
        <v>40</v>
      </c>
      <c r="D56" s="12" t="n">
        <v>2</v>
      </c>
      <c r="E56" s="12" t="s">
        <v>46</v>
      </c>
      <c r="F56" s="12" t="s">
        <v>43</v>
      </c>
      <c r="G56" s="12" t="s">
        <v>45</v>
      </c>
      <c r="H56" s="12" t="n">
        <v>2225</v>
      </c>
      <c r="I56" s="12" t="n">
        <v>36</v>
      </c>
      <c r="J56" s="12" t="s">
        <v>23</v>
      </c>
    </row>
    <row r="57" customFormat="false" ht="15" hidden="false" customHeight="true" outlineLevel="0" collapsed="false">
      <c r="A57" s="12" t="n">
        <v>56</v>
      </c>
      <c r="B57" s="12" t="n">
        <v>26</v>
      </c>
      <c r="C57" s="12" t="s">
        <v>40</v>
      </c>
      <c r="D57" s="12" t="n">
        <v>1</v>
      </c>
      <c r="E57" s="12" t="s">
        <v>41</v>
      </c>
      <c r="F57" s="12" t="s">
        <v>42</v>
      </c>
      <c r="G57" s="12" t="s">
        <v>42</v>
      </c>
      <c r="H57" s="12" t="n">
        <v>783</v>
      </c>
      <c r="I57" s="12" t="n">
        <v>6</v>
      </c>
      <c r="J57" s="12" t="s">
        <v>23</v>
      </c>
    </row>
    <row r="58" customFormat="false" ht="15" hidden="false" customHeight="true" outlineLevel="0" collapsed="false">
      <c r="A58" s="12" t="n">
        <v>57</v>
      </c>
      <c r="B58" s="12" t="n">
        <v>52</v>
      </c>
      <c r="C58" s="12" t="s">
        <v>40</v>
      </c>
      <c r="D58" s="12" t="n">
        <v>3</v>
      </c>
      <c r="E58" s="12" t="s">
        <v>41</v>
      </c>
      <c r="F58" s="12" t="s">
        <v>42</v>
      </c>
      <c r="G58" s="12" t="s">
        <v>45</v>
      </c>
      <c r="H58" s="12" t="n">
        <v>6468</v>
      </c>
      <c r="I58" s="12" t="n">
        <v>12</v>
      </c>
      <c r="J58" s="12" t="s">
        <v>24</v>
      </c>
    </row>
    <row r="59" customFormat="false" ht="15" hidden="false" customHeight="true" outlineLevel="0" collapsed="false">
      <c r="A59" s="12" t="n">
        <v>58</v>
      </c>
      <c r="B59" s="12" t="n">
        <v>31</v>
      </c>
      <c r="C59" s="12" t="s">
        <v>44</v>
      </c>
      <c r="D59" s="12" t="n">
        <v>2</v>
      </c>
      <c r="E59" s="12" t="s">
        <v>41</v>
      </c>
      <c r="F59" s="12" t="s">
        <v>43</v>
      </c>
      <c r="G59" s="12" t="s">
        <v>42</v>
      </c>
      <c r="H59" s="12" t="n">
        <v>9566</v>
      </c>
      <c r="I59" s="12" t="n">
        <v>36</v>
      </c>
      <c r="J59" s="12" t="s">
        <v>24</v>
      </c>
    </row>
    <row r="60" customFormat="false" ht="15" hidden="false" customHeight="true" outlineLevel="0" collapsed="false">
      <c r="A60" s="12" t="n">
        <v>59</v>
      </c>
      <c r="B60" s="12" t="n">
        <v>23</v>
      </c>
      <c r="C60" s="12" t="s">
        <v>44</v>
      </c>
      <c r="D60" s="12" t="n">
        <v>3</v>
      </c>
      <c r="E60" s="12" t="s">
        <v>41</v>
      </c>
      <c r="F60" s="12" t="s">
        <v>43</v>
      </c>
      <c r="G60" s="12" t="s">
        <v>49</v>
      </c>
      <c r="H60" s="12" t="n">
        <v>1961</v>
      </c>
      <c r="I60" s="12" t="n">
        <v>18</v>
      </c>
      <c r="J60" s="12" t="s">
        <v>23</v>
      </c>
    </row>
    <row r="61" customFormat="false" ht="15" hidden="false" customHeight="true" outlineLevel="0" collapsed="false">
      <c r="A61" s="12" t="n">
        <v>60</v>
      </c>
      <c r="B61" s="12" t="n">
        <v>23</v>
      </c>
      <c r="C61" s="12" t="s">
        <v>44</v>
      </c>
      <c r="D61" s="12" t="n">
        <v>1</v>
      </c>
      <c r="E61" s="12" t="s">
        <v>48</v>
      </c>
      <c r="F61" s="12" t="s">
        <v>43</v>
      </c>
      <c r="G61" s="12" t="s">
        <v>43</v>
      </c>
      <c r="H61" s="12" t="n">
        <v>6229</v>
      </c>
      <c r="I61" s="12" t="n">
        <v>36</v>
      </c>
      <c r="J61" s="12" t="s">
        <v>25</v>
      </c>
    </row>
    <row r="62" customFormat="false" ht="15" hidden="false" customHeight="true" outlineLevel="0" collapsed="false">
      <c r="A62" s="12" t="n">
        <v>61</v>
      </c>
      <c r="B62" s="12" t="n">
        <v>27</v>
      </c>
      <c r="C62" s="12" t="s">
        <v>40</v>
      </c>
      <c r="D62" s="12" t="n">
        <v>2</v>
      </c>
      <c r="E62" s="12" t="s">
        <v>41</v>
      </c>
      <c r="F62" s="12" t="s">
        <v>43</v>
      </c>
      <c r="G62" s="12" t="s">
        <v>45</v>
      </c>
      <c r="H62" s="12" t="n">
        <v>1391</v>
      </c>
      <c r="I62" s="12" t="n">
        <v>9</v>
      </c>
      <c r="J62" s="12" t="s">
        <v>26</v>
      </c>
    </row>
    <row r="63" customFormat="false" ht="15" hidden="false" customHeight="true" outlineLevel="0" collapsed="false">
      <c r="A63" s="12" t="n">
        <v>62</v>
      </c>
      <c r="B63" s="12" t="n">
        <v>50</v>
      </c>
      <c r="C63" s="12" t="s">
        <v>40</v>
      </c>
      <c r="D63" s="12" t="n">
        <v>2</v>
      </c>
      <c r="E63" s="12" t="s">
        <v>41</v>
      </c>
      <c r="F63" s="12" t="s">
        <v>42</v>
      </c>
      <c r="G63" s="12" t="s">
        <v>45</v>
      </c>
      <c r="H63" s="12" t="n">
        <v>1537</v>
      </c>
      <c r="I63" s="12" t="n">
        <v>15</v>
      </c>
      <c r="J63" s="12" t="s">
        <v>24</v>
      </c>
    </row>
    <row r="64" customFormat="false" ht="15" hidden="false" customHeight="true" outlineLevel="0" collapsed="false">
      <c r="A64" s="12" t="n">
        <v>63</v>
      </c>
      <c r="B64" s="12" t="n">
        <v>61</v>
      </c>
      <c r="C64" s="12" t="s">
        <v>40</v>
      </c>
      <c r="D64" s="12" t="n">
        <v>3</v>
      </c>
      <c r="E64" s="12" t="s">
        <v>46</v>
      </c>
      <c r="F64" s="12" t="s">
        <v>43</v>
      </c>
      <c r="G64" s="12" t="s">
        <v>45</v>
      </c>
      <c r="H64" s="12" t="n">
        <v>1953</v>
      </c>
      <c r="I64" s="12" t="n">
        <v>36</v>
      </c>
      <c r="J64" s="12" t="s">
        <v>26</v>
      </c>
    </row>
    <row r="65" customFormat="false" ht="15" hidden="false" customHeight="true" outlineLevel="0" collapsed="false">
      <c r="A65" s="12" t="n">
        <v>64</v>
      </c>
      <c r="B65" s="12" t="n">
        <v>25</v>
      </c>
      <c r="C65" s="12" t="s">
        <v>40</v>
      </c>
      <c r="D65" s="12" t="n">
        <v>2</v>
      </c>
      <c r="E65" s="12" t="s">
        <v>41</v>
      </c>
      <c r="F65" s="12" t="s">
        <v>43</v>
      </c>
      <c r="G65" s="12" t="s">
        <v>45</v>
      </c>
      <c r="H65" s="12" t="n">
        <v>14421</v>
      </c>
      <c r="I65" s="12" t="n">
        <v>48</v>
      </c>
      <c r="J65" s="12" t="s">
        <v>26</v>
      </c>
    </row>
    <row r="66" customFormat="false" ht="15" hidden="false" customHeight="true" outlineLevel="0" collapsed="false">
      <c r="A66" s="12" t="n">
        <v>65</v>
      </c>
      <c r="B66" s="12" t="n">
        <v>26</v>
      </c>
      <c r="C66" s="12" t="s">
        <v>44</v>
      </c>
      <c r="D66" s="12" t="n">
        <v>2</v>
      </c>
      <c r="E66" s="12" t="s">
        <v>41</v>
      </c>
      <c r="F66" s="12" t="s">
        <v>43</v>
      </c>
      <c r="G66" s="12" t="s">
        <v>42</v>
      </c>
      <c r="H66" s="12" t="n">
        <v>3181</v>
      </c>
      <c r="I66" s="12" t="n">
        <v>24</v>
      </c>
      <c r="J66" s="12" t="s">
        <v>24</v>
      </c>
    </row>
    <row r="67" customFormat="false" ht="15" hidden="false" customHeight="true" outlineLevel="0" collapsed="false">
      <c r="A67" s="12" t="n">
        <v>66</v>
      </c>
      <c r="B67" s="12" t="n">
        <v>48</v>
      </c>
      <c r="C67" s="12" t="s">
        <v>40</v>
      </c>
      <c r="D67" s="12" t="n">
        <v>2</v>
      </c>
      <c r="E67" s="12" t="s">
        <v>41</v>
      </c>
      <c r="F67" s="12" t="s">
        <v>42</v>
      </c>
      <c r="G67" s="12" t="s">
        <v>42</v>
      </c>
      <c r="H67" s="12" t="n">
        <v>5190</v>
      </c>
      <c r="I67" s="12" t="n">
        <v>27</v>
      </c>
      <c r="J67" s="12" t="s">
        <v>28</v>
      </c>
    </row>
    <row r="68" customFormat="false" ht="15" hidden="false" customHeight="true" outlineLevel="0" collapsed="false">
      <c r="A68" s="12" t="n">
        <v>67</v>
      </c>
      <c r="B68" s="12" t="n">
        <v>29</v>
      </c>
      <c r="C68" s="12" t="s">
        <v>44</v>
      </c>
      <c r="D68" s="12" t="n">
        <v>2</v>
      </c>
      <c r="E68" s="12" t="s">
        <v>41</v>
      </c>
      <c r="F68" s="12" t="s">
        <v>43</v>
      </c>
      <c r="G68" s="12" t="s">
        <v>42</v>
      </c>
      <c r="H68" s="12" t="n">
        <v>2171</v>
      </c>
      <c r="I68" s="12" t="n">
        <v>12</v>
      </c>
      <c r="J68" s="12" t="s">
        <v>24</v>
      </c>
    </row>
    <row r="69" customFormat="false" ht="15" hidden="false" customHeight="true" outlineLevel="0" collapsed="false">
      <c r="A69" s="12" t="n">
        <v>68</v>
      </c>
      <c r="B69" s="12" t="n">
        <v>22</v>
      </c>
      <c r="C69" s="12" t="s">
        <v>40</v>
      </c>
      <c r="D69" s="12" t="n">
        <v>2</v>
      </c>
      <c r="E69" s="12" t="s">
        <v>41</v>
      </c>
      <c r="F69" s="12" t="s">
        <v>49</v>
      </c>
      <c r="G69" s="12" t="s">
        <v>45</v>
      </c>
      <c r="H69" s="12" t="n">
        <v>1007</v>
      </c>
      <c r="I69" s="12" t="n">
        <v>12</v>
      </c>
      <c r="J69" s="12" t="s">
        <v>23</v>
      </c>
    </row>
    <row r="70" customFormat="false" ht="15" hidden="false" customHeight="true" outlineLevel="0" collapsed="false">
      <c r="A70" s="12" t="n">
        <v>69</v>
      </c>
      <c r="B70" s="12" t="n">
        <v>37</v>
      </c>
      <c r="C70" s="12" t="s">
        <v>40</v>
      </c>
      <c r="D70" s="12" t="n">
        <v>2</v>
      </c>
      <c r="E70" s="12" t="s">
        <v>46</v>
      </c>
      <c r="F70" s="12" t="s">
        <v>43</v>
      </c>
      <c r="G70" s="12" t="s">
        <v>42</v>
      </c>
      <c r="H70" s="12" t="n">
        <v>1819</v>
      </c>
      <c r="I70" s="12" t="n">
        <v>36</v>
      </c>
      <c r="J70" s="12" t="s">
        <v>27</v>
      </c>
    </row>
    <row r="71" customFormat="false" ht="15" hidden="false" customHeight="true" outlineLevel="0" collapsed="false">
      <c r="A71" s="12" t="n">
        <v>70</v>
      </c>
      <c r="B71" s="12" t="n">
        <v>25</v>
      </c>
      <c r="C71" s="12" t="s">
        <v>44</v>
      </c>
      <c r="D71" s="12" t="n">
        <v>2</v>
      </c>
      <c r="E71" s="12" t="s">
        <v>41</v>
      </c>
      <c r="F71" s="12" t="s">
        <v>42</v>
      </c>
      <c r="G71" s="12" t="s">
        <v>42</v>
      </c>
      <c r="H71" s="12" t="n">
        <v>2394</v>
      </c>
      <c r="I71" s="12" t="n">
        <v>36</v>
      </c>
      <c r="J71" s="12" t="s">
        <v>24</v>
      </c>
    </row>
    <row r="72" customFormat="false" ht="15" hidden="false" customHeight="true" outlineLevel="0" collapsed="false">
      <c r="A72" s="12" t="n">
        <v>71</v>
      </c>
      <c r="B72" s="12" t="n">
        <v>30</v>
      </c>
      <c r="C72" s="12" t="s">
        <v>44</v>
      </c>
      <c r="D72" s="12" t="n">
        <v>2</v>
      </c>
      <c r="E72" s="12" t="s">
        <v>41</v>
      </c>
      <c r="F72" s="12" t="s">
        <v>43</v>
      </c>
      <c r="G72" s="12" t="s">
        <v>42</v>
      </c>
      <c r="H72" s="12" t="n">
        <v>8133</v>
      </c>
      <c r="I72" s="12" t="n">
        <v>36</v>
      </c>
      <c r="J72" s="12" t="s">
        <v>23</v>
      </c>
    </row>
    <row r="73" customFormat="false" ht="15" hidden="false" customHeight="true" outlineLevel="0" collapsed="false">
      <c r="A73" s="12" t="n">
        <v>72</v>
      </c>
      <c r="B73" s="12" t="n">
        <v>46</v>
      </c>
      <c r="C73" s="12" t="s">
        <v>40</v>
      </c>
      <c r="D73" s="12" t="n">
        <v>1</v>
      </c>
      <c r="E73" s="12" t="s">
        <v>48</v>
      </c>
      <c r="F73" s="12" t="s">
        <v>42</v>
      </c>
      <c r="G73" s="12" t="s">
        <v>42</v>
      </c>
      <c r="H73" s="12" t="n">
        <v>730</v>
      </c>
      <c r="I73" s="12" t="n">
        <v>7</v>
      </c>
      <c r="J73" s="12" t="s">
        <v>24</v>
      </c>
    </row>
    <row r="74" customFormat="false" ht="15" hidden="false" customHeight="true" outlineLevel="0" collapsed="false">
      <c r="A74" s="12" t="n">
        <v>73</v>
      </c>
      <c r="B74" s="12" t="n">
        <v>51</v>
      </c>
      <c r="C74" s="12" t="s">
        <v>40</v>
      </c>
      <c r="D74" s="12" t="n">
        <v>3</v>
      </c>
      <c r="E74" s="12" t="s">
        <v>46</v>
      </c>
      <c r="F74" s="12" t="s">
        <v>43</v>
      </c>
      <c r="G74" s="12" t="s">
        <v>43</v>
      </c>
      <c r="H74" s="12" t="n">
        <v>1164</v>
      </c>
      <c r="I74" s="12" t="n">
        <v>8</v>
      </c>
      <c r="J74" s="12" t="s">
        <v>30</v>
      </c>
    </row>
    <row r="75" customFormat="false" ht="15" hidden="false" customHeight="true" outlineLevel="0" collapsed="false">
      <c r="A75" s="12" t="n">
        <v>74</v>
      </c>
      <c r="B75" s="12" t="n">
        <v>41</v>
      </c>
      <c r="C75" s="12" t="s">
        <v>44</v>
      </c>
      <c r="D75" s="12" t="n">
        <v>1</v>
      </c>
      <c r="E75" s="12" t="s">
        <v>41</v>
      </c>
      <c r="F75" s="12" t="s">
        <v>43</v>
      </c>
      <c r="G75" s="12" t="s">
        <v>45</v>
      </c>
      <c r="H75" s="12" t="n">
        <v>5954</v>
      </c>
      <c r="I75" s="12" t="n">
        <v>42</v>
      </c>
      <c r="J75" s="12" t="s">
        <v>26</v>
      </c>
    </row>
    <row r="76" customFormat="false" ht="15" hidden="false" customHeight="true" outlineLevel="0" collapsed="false">
      <c r="A76" s="12" t="n">
        <v>75</v>
      </c>
      <c r="B76" s="12" t="n">
        <v>40</v>
      </c>
      <c r="C76" s="12" t="s">
        <v>40</v>
      </c>
      <c r="D76" s="12" t="n">
        <v>3</v>
      </c>
      <c r="E76" s="12" t="s">
        <v>41</v>
      </c>
      <c r="F76" s="12" t="s">
        <v>42</v>
      </c>
      <c r="G76" s="12" t="s">
        <v>43</v>
      </c>
      <c r="H76" s="12" t="n">
        <v>1977</v>
      </c>
      <c r="I76" s="12" t="n">
        <v>36</v>
      </c>
      <c r="J76" s="12" t="s">
        <v>27</v>
      </c>
    </row>
    <row r="77" customFormat="false" ht="15" hidden="false" customHeight="true" outlineLevel="0" collapsed="false">
      <c r="A77" s="12" t="n">
        <v>76</v>
      </c>
      <c r="B77" s="12" t="n">
        <v>66</v>
      </c>
      <c r="C77" s="12" t="s">
        <v>40</v>
      </c>
      <c r="D77" s="12" t="n">
        <v>3</v>
      </c>
      <c r="E77" s="12" t="s">
        <v>46</v>
      </c>
      <c r="F77" s="12" t="s">
        <v>43</v>
      </c>
      <c r="G77" s="12" t="s">
        <v>43</v>
      </c>
      <c r="H77" s="12" t="n">
        <v>1526</v>
      </c>
      <c r="I77" s="12" t="n">
        <v>12</v>
      </c>
      <c r="J77" s="12" t="s">
        <v>23</v>
      </c>
    </row>
    <row r="78" customFormat="false" ht="15" hidden="false" customHeight="true" outlineLevel="0" collapsed="false">
      <c r="A78" s="12" t="n">
        <v>77</v>
      </c>
      <c r="B78" s="12" t="n">
        <v>34</v>
      </c>
      <c r="C78" s="12" t="s">
        <v>40</v>
      </c>
      <c r="D78" s="12" t="n">
        <v>2</v>
      </c>
      <c r="E78" s="12" t="s">
        <v>41</v>
      </c>
      <c r="F78" s="12" t="s">
        <v>43</v>
      </c>
      <c r="G78" s="12" t="s">
        <v>43</v>
      </c>
      <c r="H78" s="12" t="n">
        <v>3965</v>
      </c>
      <c r="I78" s="12" t="n">
        <v>42</v>
      </c>
      <c r="J78" s="12" t="s">
        <v>24</v>
      </c>
    </row>
    <row r="79" customFormat="false" ht="15" hidden="false" customHeight="true" outlineLevel="0" collapsed="false">
      <c r="A79" s="12" t="n">
        <v>78</v>
      </c>
      <c r="B79" s="12" t="n">
        <v>51</v>
      </c>
      <c r="C79" s="12" t="s">
        <v>40</v>
      </c>
      <c r="D79" s="12" t="n">
        <v>2</v>
      </c>
      <c r="E79" s="12" t="s">
        <v>41</v>
      </c>
      <c r="F79" s="12" t="s">
        <v>43</v>
      </c>
      <c r="G79" s="12" t="s">
        <v>45</v>
      </c>
      <c r="H79" s="12" t="n">
        <v>4771</v>
      </c>
      <c r="I79" s="12" t="n">
        <v>11</v>
      </c>
      <c r="J79" s="12" t="s">
        <v>24</v>
      </c>
    </row>
    <row r="80" customFormat="false" ht="15" hidden="false" customHeight="true" outlineLevel="0" collapsed="false">
      <c r="A80" s="12" t="n">
        <v>79</v>
      </c>
      <c r="B80" s="12" t="n">
        <v>39</v>
      </c>
      <c r="C80" s="12" t="s">
        <v>40</v>
      </c>
      <c r="D80" s="12" t="n">
        <v>1</v>
      </c>
      <c r="E80" s="12" t="s">
        <v>41</v>
      </c>
      <c r="F80" s="12" t="s">
        <v>42</v>
      </c>
      <c r="G80" s="12" t="s">
        <v>42</v>
      </c>
      <c r="H80" s="12" t="n">
        <v>9436</v>
      </c>
      <c r="I80" s="12" t="n">
        <v>54</v>
      </c>
      <c r="J80" s="12" t="s">
        <v>23</v>
      </c>
    </row>
    <row r="81" customFormat="false" ht="15" hidden="false" customHeight="true" outlineLevel="0" collapsed="false">
      <c r="A81" s="12" t="n">
        <v>80</v>
      </c>
      <c r="B81" s="12" t="n">
        <v>22</v>
      </c>
      <c r="C81" s="12" t="s">
        <v>40</v>
      </c>
      <c r="D81" s="12" t="n">
        <v>2</v>
      </c>
      <c r="E81" s="12" t="s">
        <v>41</v>
      </c>
      <c r="F81" s="12" t="s">
        <v>43</v>
      </c>
      <c r="G81" s="12" t="s">
        <v>45</v>
      </c>
      <c r="H81" s="12" t="n">
        <v>3832</v>
      </c>
      <c r="I81" s="12" t="n">
        <v>30</v>
      </c>
      <c r="J81" s="12" t="s">
        <v>25</v>
      </c>
    </row>
    <row r="82" customFormat="false" ht="15" hidden="false" customHeight="true" outlineLevel="0" collapsed="false">
      <c r="A82" s="12" t="n">
        <v>81</v>
      </c>
      <c r="B82" s="12" t="n">
        <v>44</v>
      </c>
      <c r="C82" s="12" t="s">
        <v>44</v>
      </c>
      <c r="D82" s="12" t="n">
        <v>2</v>
      </c>
      <c r="E82" s="12" t="s">
        <v>41</v>
      </c>
      <c r="F82" s="12" t="s">
        <v>42</v>
      </c>
      <c r="G82" s="12" t="s">
        <v>42</v>
      </c>
      <c r="H82" s="12" t="n">
        <v>5943</v>
      </c>
      <c r="I82" s="12" t="n">
        <v>24</v>
      </c>
      <c r="J82" s="12" t="s">
        <v>24</v>
      </c>
    </row>
    <row r="83" customFormat="false" ht="15" hidden="false" customHeight="true" outlineLevel="0" collapsed="false">
      <c r="A83" s="12" t="n">
        <v>82</v>
      </c>
      <c r="B83" s="12" t="n">
        <v>47</v>
      </c>
      <c r="C83" s="12" t="s">
        <v>40</v>
      </c>
      <c r="D83" s="12" t="n">
        <v>2</v>
      </c>
      <c r="E83" s="12" t="s">
        <v>41</v>
      </c>
      <c r="F83" s="12" t="s">
        <v>47</v>
      </c>
      <c r="G83" s="12" t="s">
        <v>42</v>
      </c>
      <c r="H83" s="12" t="n">
        <v>1213</v>
      </c>
      <c r="I83" s="12" t="n">
        <v>15</v>
      </c>
      <c r="J83" s="12" t="s">
        <v>24</v>
      </c>
    </row>
    <row r="84" customFormat="false" ht="15" hidden="false" customHeight="true" outlineLevel="0" collapsed="false">
      <c r="A84" s="12" t="n">
        <v>83</v>
      </c>
      <c r="B84" s="12" t="n">
        <v>24</v>
      </c>
      <c r="C84" s="12" t="s">
        <v>44</v>
      </c>
      <c r="D84" s="12" t="n">
        <v>1</v>
      </c>
      <c r="E84" s="12" t="s">
        <v>48</v>
      </c>
      <c r="F84" s="12" t="s">
        <v>45</v>
      </c>
      <c r="G84" s="12" t="s">
        <v>42</v>
      </c>
      <c r="H84" s="12" t="n">
        <v>1568</v>
      </c>
      <c r="I84" s="12" t="n">
        <v>18</v>
      </c>
      <c r="J84" s="12" t="s">
        <v>26</v>
      </c>
    </row>
    <row r="85" customFormat="false" ht="15" hidden="false" customHeight="true" outlineLevel="0" collapsed="false">
      <c r="A85" s="12" t="n">
        <v>84</v>
      </c>
      <c r="B85" s="12" t="n">
        <v>58</v>
      </c>
      <c r="C85" s="12" t="s">
        <v>44</v>
      </c>
      <c r="D85" s="12" t="n">
        <v>1</v>
      </c>
      <c r="E85" s="12" t="s">
        <v>41</v>
      </c>
      <c r="F85" s="12" t="s">
        <v>43</v>
      </c>
      <c r="G85" s="12" t="s">
        <v>43</v>
      </c>
      <c r="H85" s="12" t="n">
        <v>1755</v>
      </c>
      <c r="I85" s="12" t="n">
        <v>24</v>
      </c>
      <c r="J85" s="12" t="s">
        <v>30</v>
      </c>
    </row>
    <row r="86" customFormat="false" ht="15" hidden="false" customHeight="true" outlineLevel="0" collapsed="false">
      <c r="A86" s="12" t="n">
        <v>85</v>
      </c>
      <c r="B86" s="12" t="n">
        <v>52</v>
      </c>
      <c r="C86" s="12" t="s">
        <v>40</v>
      </c>
      <c r="D86" s="12" t="n">
        <v>1</v>
      </c>
      <c r="E86" s="12" t="s">
        <v>41</v>
      </c>
      <c r="F86" s="12" t="s">
        <v>43</v>
      </c>
      <c r="G86" s="12" t="s">
        <v>43</v>
      </c>
      <c r="H86" s="12" t="n">
        <v>2315</v>
      </c>
      <c r="I86" s="12" t="n">
        <v>10</v>
      </c>
      <c r="J86" s="12" t="s">
        <v>24</v>
      </c>
    </row>
    <row r="87" customFormat="false" ht="15" hidden="false" customHeight="true" outlineLevel="0" collapsed="false">
      <c r="A87" s="12" t="n">
        <v>86</v>
      </c>
      <c r="B87" s="12" t="n">
        <v>29</v>
      </c>
      <c r="C87" s="12" t="s">
        <v>44</v>
      </c>
      <c r="D87" s="12" t="n">
        <v>3</v>
      </c>
      <c r="E87" s="12" t="s">
        <v>41</v>
      </c>
      <c r="F87" s="12" t="s">
        <v>43</v>
      </c>
      <c r="G87" s="12" t="s">
        <v>42</v>
      </c>
      <c r="H87" s="12" t="n">
        <v>1412</v>
      </c>
      <c r="I87" s="12" t="n">
        <v>12</v>
      </c>
      <c r="J87" s="12" t="s">
        <v>26</v>
      </c>
    </row>
    <row r="88" customFormat="false" ht="15" hidden="false" customHeight="true" outlineLevel="0" collapsed="false">
      <c r="A88" s="12" t="n">
        <v>87</v>
      </c>
      <c r="B88" s="12" t="n">
        <v>27</v>
      </c>
      <c r="C88" s="12" t="s">
        <v>44</v>
      </c>
      <c r="D88" s="12" t="n">
        <v>2</v>
      </c>
      <c r="E88" s="12" t="s">
        <v>41</v>
      </c>
      <c r="F88" s="12" t="s">
        <v>43</v>
      </c>
      <c r="G88" s="12" t="s">
        <v>45</v>
      </c>
      <c r="H88" s="12" t="n">
        <v>1295</v>
      </c>
      <c r="I88" s="12" t="n">
        <v>18</v>
      </c>
      <c r="J88" s="12" t="s">
        <v>25</v>
      </c>
    </row>
    <row r="89" customFormat="false" ht="15" hidden="false" customHeight="true" outlineLevel="0" collapsed="false">
      <c r="A89" s="12" t="n">
        <v>88</v>
      </c>
      <c r="B89" s="12" t="n">
        <v>47</v>
      </c>
      <c r="C89" s="12" t="s">
        <v>40</v>
      </c>
      <c r="D89" s="12" t="n">
        <v>2</v>
      </c>
      <c r="E89" s="12" t="s">
        <v>46</v>
      </c>
      <c r="F89" s="12" t="s">
        <v>45</v>
      </c>
      <c r="G89" s="12" t="s">
        <v>45</v>
      </c>
      <c r="H89" s="12" t="n">
        <v>12612</v>
      </c>
      <c r="I89" s="12" t="n">
        <v>36</v>
      </c>
      <c r="J89" s="12" t="s">
        <v>27</v>
      </c>
    </row>
    <row r="90" customFormat="false" ht="15" hidden="false" customHeight="true" outlineLevel="0" collapsed="false">
      <c r="A90" s="12" t="n">
        <v>89</v>
      </c>
      <c r="B90" s="12" t="n">
        <v>30</v>
      </c>
      <c r="C90" s="12" t="s">
        <v>40</v>
      </c>
      <c r="D90" s="12" t="n">
        <v>3</v>
      </c>
      <c r="E90" s="12" t="s">
        <v>41</v>
      </c>
      <c r="F90" s="12" t="s">
        <v>45</v>
      </c>
      <c r="G90" s="12" t="s">
        <v>43</v>
      </c>
      <c r="H90" s="12" t="n">
        <v>2249</v>
      </c>
      <c r="I90" s="12" t="n">
        <v>18</v>
      </c>
      <c r="J90" s="12" t="s">
        <v>23</v>
      </c>
    </row>
    <row r="91" customFormat="false" ht="15" hidden="false" customHeight="true" outlineLevel="0" collapsed="false">
      <c r="A91" s="12" t="n">
        <v>90</v>
      </c>
      <c r="B91" s="12" t="n">
        <v>28</v>
      </c>
      <c r="C91" s="12" t="s">
        <v>40</v>
      </c>
      <c r="D91" s="12" t="n">
        <v>2</v>
      </c>
      <c r="E91" s="12" t="s">
        <v>41</v>
      </c>
      <c r="F91" s="12" t="s">
        <v>43</v>
      </c>
      <c r="G91" s="12" t="s">
        <v>43</v>
      </c>
      <c r="H91" s="12" t="n">
        <v>1108</v>
      </c>
      <c r="I91" s="12" t="n">
        <v>12</v>
      </c>
      <c r="J91" s="12" t="s">
        <v>28</v>
      </c>
    </row>
    <row r="92" customFormat="false" ht="15" hidden="false" customHeight="true" outlineLevel="0" collapsed="false">
      <c r="A92" s="12" t="n">
        <v>91</v>
      </c>
      <c r="B92" s="12" t="n">
        <v>56</v>
      </c>
      <c r="C92" s="12" t="s">
        <v>40</v>
      </c>
      <c r="D92" s="12" t="n">
        <v>2</v>
      </c>
      <c r="E92" s="12" t="s">
        <v>41</v>
      </c>
      <c r="F92" s="12" t="s">
        <v>43</v>
      </c>
      <c r="G92" s="12" t="s">
        <v>42</v>
      </c>
      <c r="H92" s="12" t="n">
        <v>618</v>
      </c>
      <c r="I92" s="12" t="n">
        <v>12</v>
      </c>
      <c r="J92" s="12" t="s">
        <v>24</v>
      </c>
    </row>
    <row r="93" customFormat="false" ht="15" hidden="false" customHeight="true" outlineLevel="0" collapsed="false">
      <c r="A93" s="12" t="n">
        <v>92</v>
      </c>
      <c r="B93" s="12" t="n">
        <v>54</v>
      </c>
      <c r="C93" s="12" t="s">
        <v>40</v>
      </c>
      <c r="D93" s="12" t="n">
        <v>2</v>
      </c>
      <c r="E93" s="12" t="s">
        <v>41</v>
      </c>
      <c r="F93" s="12" t="s">
        <v>43</v>
      </c>
      <c r="G93" s="12" t="s">
        <v>43</v>
      </c>
      <c r="H93" s="12" t="n">
        <v>1409</v>
      </c>
      <c r="I93" s="12" t="n">
        <v>12</v>
      </c>
      <c r="J93" s="12" t="s">
        <v>23</v>
      </c>
    </row>
    <row r="94" customFormat="false" ht="15" hidden="false" customHeight="true" outlineLevel="0" collapsed="false">
      <c r="A94" s="12" t="n">
        <v>93</v>
      </c>
      <c r="B94" s="12" t="n">
        <v>33</v>
      </c>
      <c r="C94" s="12" t="s">
        <v>44</v>
      </c>
      <c r="D94" s="12" t="n">
        <v>1</v>
      </c>
      <c r="E94" s="12" t="s">
        <v>41</v>
      </c>
      <c r="F94" s="12" t="s">
        <v>42</v>
      </c>
      <c r="G94" s="12" t="s">
        <v>42</v>
      </c>
      <c r="H94" s="12" t="n">
        <v>797</v>
      </c>
      <c r="I94" s="12" t="n">
        <v>12</v>
      </c>
      <c r="J94" s="12" t="s">
        <v>24</v>
      </c>
    </row>
    <row r="95" customFormat="false" ht="15" hidden="false" customHeight="true" outlineLevel="0" collapsed="false">
      <c r="A95" s="12" t="n">
        <v>94</v>
      </c>
      <c r="B95" s="12" t="n">
        <v>20</v>
      </c>
      <c r="C95" s="12" t="s">
        <v>40</v>
      </c>
      <c r="D95" s="12" t="n">
        <v>2</v>
      </c>
      <c r="E95" s="12" t="s">
        <v>48</v>
      </c>
      <c r="F95" s="12" t="s">
        <v>42</v>
      </c>
      <c r="G95" s="12" t="s">
        <v>49</v>
      </c>
      <c r="H95" s="12" t="n">
        <v>3617</v>
      </c>
      <c r="I95" s="12" t="n">
        <v>24</v>
      </c>
      <c r="J95" s="12" t="s">
        <v>25</v>
      </c>
    </row>
    <row r="96" customFormat="false" ht="15" hidden="false" customHeight="true" outlineLevel="0" collapsed="false">
      <c r="A96" s="12" t="n">
        <v>95</v>
      </c>
      <c r="B96" s="12" t="n">
        <v>54</v>
      </c>
      <c r="C96" s="12" t="s">
        <v>40</v>
      </c>
      <c r="D96" s="12" t="n">
        <v>2</v>
      </c>
      <c r="E96" s="12" t="s">
        <v>41</v>
      </c>
      <c r="F96" s="12" t="s">
        <v>49</v>
      </c>
      <c r="G96" s="12" t="s">
        <v>45</v>
      </c>
      <c r="H96" s="12" t="n">
        <v>1318</v>
      </c>
      <c r="I96" s="12" t="n">
        <v>12</v>
      </c>
      <c r="J96" s="12" t="s">
        <v>23</v>
      </c>
    </row>
    <row r="97" customFormat="false" ht="15" hidden="false" customHeight="true" outlineLevel="0" collapsed="false">
      <c r="A97" s="12" t="n">
        <v>96</v>
      </c>
      <c r="B97" s="12" t="n">
        <v>58</v>
      </c>
      <c r="C97" s="12" t="s">
        <v>40</v>
      </c>
      <c r="D97" s="12" t="n">
        <v>2</v>
      </c>
      <c r="E97" s="12" t="s">
        <v>48</v>
      </c>
      <c r="F97" s="12" t="s">
        <v>43</v>
      </c>
      <c r="G97" s="12" t="s">
        <v>45</v>
      </c>
      <c r="H97" s="12" t="n">
        <v>15945</v>
      </c>
      <c r="I97" s="12" t="n">
        <v>54</v>
      </c>
      <c r="J97" s="12" t="s">
        <v>26</v>
      </c>
    </row>
    <row r="98" customFormat="false" ht="15" hidden="false" customHeight="true" outlineLevel="0" collapsed="false">
      <c r="A98" s="12" t="n">
        <v>97</v>
      </c>
      <c r="B98" s="12" t="n">
        <v>61</v>
      </c>
      <c r="C98" s="12" t="s">
        <v>44</v>
      </c>
      <c r="D98" s="12" t="n">
        <v>2</v>
      </c>
      <c r="E98" s="12" t="s">
        <v>41</v>
      </c>
      <c r="F98" s="12" t="s">
        <v>42</v>
      </c>
      <c r="G98" s="12" t="s">
        <v>42</v>
      </c>
      <c r="H98" s="12" t="n">
        <v>2012</v>
      </c>
      <c r="I98" s="12" t="n">
        <v>12</v>
      </c>
      <c r="J98" s="12" t="s">
        <v>27</v>
      </c>
    </row>
    <row r="99" customFormat="false" ht="15" hidden="false" customHeight="true" outlineLevel="0" collapsed="false">
      <c r="A99" s="12" t="n">
        <v>98</v>
      </c>
      <c r="B99" s="12" t="n">
        <v>34</v>
      </c>
      <c r="C99" s="12" t="s">
        <v>40</v>
      </c>
      <c r="D99" s="12" t="n">
        <v>2</v>
      </c>
      <c r="E99" s="12" t="s">
        <v>41</v>
      </c>
      <c r="F99" s="12" t="s">
        <v>45</v>
      </c>
      <c r="G99" s="12" t="s">
        <v>45</v>
      </c>
      <c r="H99" s="12" t="n">
        <v>2622</v>
      </c>
      <c r="I99" s="12" t="n">
        <v>18</v>
      </c>
      <c r="J99" s="12" t="s">
        <v>26</v>
      </c>
    </row>
    <row r="100" customFormat="false" ht="15" hidden="false" customHeight="true" outlineLevel="0" collapsed="false">
      <c r="A100" s="12" t="n">
        <v>99</v>
      </c>
      <c r="B100" s="12" t="n">
        <v>36</v>
      </c>
      <c r="C100" s="12" t="s">
        <v>40</v>
      </c>
      <c r="D100" s="12" t="n">
        <v>2</v>
      </c>
      <c r="E100" s="12" t="s">
        <v>41</v>
      </c>
      <c r="F100" s="12" t="s">
        <v>43</v>
      </c>
      <c r="G100" s="12" t="s">
        <v>45</v>
      </c>
      <c r="H100" s="12" t="n">
        <v>2337</v>
      </c>
      <c r="I100" s="12" t="n">
        <v>36</v>
      </c>
      <c r="J100" s="12" t="s">
        <v>24</v>
      </c>
    </row>
    <row r="101" customFormat="false" ht="15" hidden="false" customHeight="true" outlineLevel="0" collapsed="false">
      <c r="A101" s="12" t="n">
        <v>100</v>
      </c>
      <c r="B101" s="12" t="n">
        <v>36</v>
      </c>
      <c r="C101" s="12" t="s">
        <v>40</v>
      </c>
      <c r="D101" s="12" t="n">
        <v>3</v>
      </c>
      <c r="E101" s="12" t="s">
        <v>48</v>
      </c>
      <c r="F101" s="12" t="s">
        <v>42</v>
      </c>
      <c r="G101" s="12" t="s">
        <v>45</v>
      </c>
      <c r="H101" s="12" t="n">
        <v>7057</v>
      </c>
      <c r="I101" s="12" t="n">
        <v>20</v>
      </c>
      <c r="J101" s="12" t="s">
        <v>23</v>
      </c>
    </row>
    <row r="102" customFormat="false" ht="15" hidden="false" customHeight="true" outlineLevel="0" collapsed="false">
      <c r="A102" s="12" t="n">
        <v>101</v>
      </c>
      <c r="B102" s="12" t="n">
        <v>41</v>
      </c>
      <c r="C102" s="12" t="s">
        <v>40</v>
      </c>
      <c r="D102" s="12" t="n">
        <v>1</v>
      </c>
      <c r="E102" s="12" t="s">
        <v>48</v>
      </c>
      <c r="F102" s="12" t="s">
        <v>45</v>
      </c>
      <c r="G102" s="12" t="s">
        <v>42</v>
      </c>
      <c r="H102" s="12" t="n">
        <v>1469</v>
      </c>
      <c r="I102" s="12" t="n">
        <v>24</v>
      </c>
      <c r="J102" s="12" t="s">
        <v>23</v>
      </c>
    </row>
    <row r="103" customFormat="false" ht="15" hidden="false" customHeight="true" outlineLevel="0" collapsed="false">
      <c r="A103" s="12" t="n">
        <v>102</v>
      </c>
      <c r="B103" s="12" t="n">
        <v>24</v>
      </c>
      <c r="C103" s="12" t="s">
        <v>40</v>
      </c>
      <c r="D103" s="12" t="n">
        <v>2</v>
      </c>
      <c r="E103" s="12" t="s">
        <v>48</v>
      </c>
      <c r="F103" s="12" t="s">
        <v>43</v>
      </c>
      <c r="G103" s="12" t="s">
        <v>45</v>
      </c>
      <c r="H103" s="12" t="n">
        <v>2323</v>
      </c>
      <c r="I103" s="12" t="n">
        <v>36</v>
      </c>
      <c r="J103" s="12" t="s">
        <v>24</v>
      </c>
    </row>
    <row r="104" customFormat="false" ht="15" hidden="false" customHeight="true" outlineLevel="0" collapsed="false">
      <c r="A104" s="12" t="n">
        <v>103</v>
      </c>
      <c r="B104" s="12" t="n">
        <v>24</v>
      </c>
      <c r="C104" s="12" t="s">
        <v>44</v>
      </c>
      <c r="D104" s="12" t="n">
        <v>2</v>
      </c>
      <c r="E104" s="12" t="s">
        <v>41</v>
      </c>
      <c r="F104" s="12" t="s">
        <v>43</v>
      </c>
      <c r="G104" s="12" t="s">
        <v>42</v>
      </c>
      <c r="H104" s="12" t="n">
        <v>932</v>
      </c>
      <c r="I104" s="12" t="n">
        <v>6</v>
      </c>
      <c r="J104" s="12" t="s">
        <v>24</v>
      </c>
    </row>
    <row r="105" customFormat="false" ht="15" hidden="false" customHeight="true" outlineLevel="0" collapsed="false">
      <c r="A105" s="12" t="n">
        <v>104</v>
      </c>
      <c r="B105" s="12" t="n">
        <v>35</v>
      </c>
      <c r="C105" s="12" t="s">
        <v>40</v>
      </c>
      <c r="D105" s="12" t="n">
        <v>2</v>
      </c>
      <c r="E105" s="12" t="s">
        <v>48</v>
      </c>
      <c r="F105" s="12" t="s">
        <v>43</v>
      </c>
      <c r="G105" s="12" t="s">
        <v>45</v>
      </c>
      <c r="H105" s="12" t="n">
        <v>1919</v>
      </c>
      <c r="I105" s="12" t="n">
        <v>9</v>
      </c>
      <c r="J105" s="12" t="s">
        <v>25</v>
      </c>
    </row>
    <row r="106" customFormat="false" ht="15" hidden="false" customHeight="true" outlineLevel="0" collapsed="false">
      <c r="A106" s="12" t="n">
        <v>105</v>
      </c>
      <c r="B106" s="12" t="n">
        <v>26</v>
      </c>
      <c r="C106" s="12" t="s">
        <v>40</v>
      </c>
      <c r="D106" s="12" t="n">
        <v>2</v>
      </c>
      <c r="E106" s="12" t="s">
        <v>48</v>
      </c>
      <c r="F106" s="12" t="s">
        <v>42</v>
      </c>
      <c r="G106" s="12" t="s">
        <v>42</v>
      </c>
      <c r="H106" s="12" t="n">
        <v>2445</v>
      </c>
      <c r="I106" s="12" t="n">
        <v>12</v>
      </c>
      <c r="J106" s="12" t="s">
        <v>23</v>
      </c>
    </row>
    <row r="107" customFormat="false" ht="15" hidden="false" customHeight="true" outlineLevel="0" collapsed="false">
      <c r="A107" s="12" t="n">
        <v>106</v>
      </c>
      <c r="B107" s="12" t="n">
        <v>39</v>
      </c>
      <c r="C107" s="12" t="s">
        <v>40</v>
      </c>
      <c r="D107" s="12" t="n">
        <v>3</v>
      </c>
      <c r="E107" s="12" t="s">
        <v>41</v>
      </c>
      <c r="F107" s="12" t="s">
        <v>43</v>
      </c>
      <c r="G107" s="12" t="s">
        <v>45</v>
      </c>
      <c r="H107" s="12" t="n">
        <v>11938</v>
      </c>
      <c r="I107" s="12" t="n">
        <v>24</v>
      </c>
      <c r="J107" s="12" t="s">
        <v>30</v>
      </c>
    </row>
    <row r="108" customFormat="false" ht="15" hidden="false" customHeight="true" outlineLevel="0" collapsed="false">
      <c r="A108" s="12" t="n">
        <v>107</v>
      </c>
      <c r="B108" s="12" t="n">
        <v>39</v>
      </c>
      <c r="C108" s="12" t="s">
        <v>40</v>
      </c>
      <c r="D108" s="12" t="n">
        <v>3</v>
      </c>
      <c r="E108" s="12" t="s">
        <v>41</v>
      </c>
      <c r="F108" s="12" t="s">
        <v>43</v>
      </c>
      <c r="G108" s="12" t="s">
        <v>42</v>
      </c>
      <c r="H108" s="12" t="n">
        <v>6458</v>
      </c>
      <c r="I108" s="12" t="n">
        <v>18</v>
      </c>
      <c r="J108" s="12" t="s">
        <v>23</v>
      </c>
    </row>
    <row r="109" customFormat="false" ht="15" hidden="false" customHeight="true" outlineLevel="0" collapsed="false">
      <c r="A109" s="12" t="n">
        <v>108</v>
      </c>
      <c r="B109" s="12" t="n">
        <v>32</v>
      </c>
      <c r="C109" s="12" t="s">
        <v>40</v>
      </c>
      <c r="D109" s="12" t="n">
        <v>2</v>
      </c>
      <c r="E109" s="12" t="s">
        <v>41</v>
      </c>
      <c r="F109" s="12" t="s">
        <v>43</v>
      </c>
      <c r="G109" s="12" t="s">
        <v>45</v>
      </c>
      <c r="H109" s="12" t="n">
        <v>6078</v>
      </c>
      <c r="I109" s="12" t="n">
        <v>12</v>
      </c>
      <c r="J109" s="12" t="s">
        <v>23</v>
      </c>
    </row>
    <row r="110" customFormat="false" ht="15" hidden="false" customHeight="true" outlineLevel="0" collapsed="false">
      <c r="A110" s="12" t="n">
        <v>109</v>
      </c>
      <c r="B110" s="12" t="n">
        <v>30</v>
      </c>
      <c r="C110" s="12" t="s">
        <v>44</v>
      </c>
      <c r="D110" s="12" t="n">
        <v>2</v>
      </c>
      <c r="E110" s="12" t="s">
        <v>41</v>
      </c>
      <c r="F110" s="12" t="s">
        <v>42</v>
      </c>
      <c r="G110" s="12" t="s">
        <v>43</v>
      </c>
      <c r="H110" s="12" t="n">
        <v>7721</v>
      </c>
      <c r="I110" s="12" t="n">
        <v>24</v>
      </c>
      <c r="J110" s="12" t="s">
        <v>25</v>
      </c>
    </row>
    <row r="111" customFormat="false" ht="15" hidden="false" customHeight="true" outlineLevel="0" collapsed="false">
      <c r="A111" s="12" t="n">
        <v>110</v>
      </c>
      <c r="B111" s="12" t="n">
        <v>35</v>
      </c>
      <c r="C111" s="12" t="s">
        <v>40</v>
      </c>
      <c r="D111" s="12" t="n">
        <v>2</v>
      </c>
      <c r="E111" s="12" t="s">
        <v>41</v>
      </c>
      <c r="F111" s="12" t="s">
        <v>47</v>
      </c>
      <c r="G111" s="12" t="s">
        <v>45</v>
      </c>
      <c r="H111" s="12" t="n">
        <v>1410</v>
      </c>
      <c r="I111" s="12" t="n">
        <v>14</v>
      </c>
      <c r="J111" s="12" t="s">
        <v>26</v>
      </c>
    </row>
    <row r="112" customFormat="false" ht="15" hidden="false" customHeight="true" outlineLevel="0" collapsed="false">
      <c r="A112" s="12" t="n">
        <v>111</v>
      </c>
      <c r="B112" s="12" t="n">
        <v>31</v>
      </c>
      <c r="C112" s="12" t="s">
        <v>40</v>
      </c>
      <c r="D112" s="12" t="n">
        <v>2</v>
      </c>
      <c r="E112" s="12" t="s">
        <v>41</v>
      </c>
      <c r="F112" s="12" t="s">
        <v>45</v>
      </c>
      <c r="G112" s="12" t="s">
        <v>45</v>
      </c>
      <c r="H112" s="12" t="n">
        <v>1449</v>
      </c>
      <c r="I112" s="12" t="n">
        <v>6</v>
      </c>
      <c r="J112" s="12" t="s">
        <v>26</v>
      </c>
    </row>
    <row r="113" customFormat="false" ht="15" hidden="false" customHeight="true" outlineLevel="0" collapsed="false">
      <c r="A113" s="12" t="n">
        <v>112</v>
      </c>
      <c r="B113" s="12" t="n">
        <v>23</v>
      </c>
      <c r="C113" s="12" t="s">
        <v>44</v>
      </c>
      <c r="D113" s="12" t="n">
        <v>2</v>
      </c>
      <c r="E113" s="12" t="s">
        <v>48</v>
      </c>
      <c r="F113" s="12" t="s">
        <v>43</v>
      </c>
      <c r="G113" s="12" t="s">
        <v>49</v>
      </c>
      <c r="H113" s="12" t="n">
        <v>392</v>
      </c>
      <c r="I113" s="12" t="n">
        <v>15</v>
      </c>
      <c r="J113" s="12" t="s">
        <v>27</v>
      </c>
    </row>
    <row r="114" customFormat="false" ht="15" hidden="false" customHeight="true" outlineLevel="0" collapsed="false">
      <c r="A114" s="12" t="n">
        <v>113</v>
      </c>
      <c r="B114" s="12" t="n">
        <v>28</v>
      </c>
      <c r="C114" s="12" t="s">
        <v>40</v>
      </c>
      <c r="D114" s="12" t="n">
        <v>1</v>
      </c>
      <c r="E114" s="12" t="s">
        <v>48</v>
      </c>
      <c r="F114" s="12" t="s">
        <v>43</v>
      </c>
      <c r="G114" s="12" t="s">
        <v>45</v>
      </c>
      <c r="H114" s="12" t="n">
        <v>6260</v>
      </c>
      <c r="I114" s="12" t="n">
        <v>18</v>
      </c>
      <c r="J114" s="12" t="s">
        <v>23</v>
      </c>
    </row>
    <row r="115" customFormat="false" ht="15" hidden="false" customHeight="true" outlineLevel="0" collapsed="false">
      <c r="A115" s="12" t="n">
        <v>114</v>
      </c>
      <c r="B115" s="12" t="n">
        <v>25</v>
      </c>
      <c r="C115" s="12" t="s">
        <v>44</v>
      </c>
      <c r="D115" s="12" t="n">
        <v>2</v>
      </c>
      <c r="E115" s="12" t="s">
        <v>41</v>
      </c>
      <c r="F115" s="12" t="s">
        <v>43</v>
      </c>
      <c r="G115" s="12" t="s">
        <v>42</v>
      </c>
      <c r="H115" s="12" t="n">
        <v>7855</v>
      </c>
      <c r="I115" s="12" t="n">
        <v>36</v>
      </c>
      <c r="J115" s="12" t="s">
        <v>23</v>
      </c>
    </row>
    <row r="116" customFormat="false" ht="15" hidden="false" customHeight="true" outlineLevel="0" collapsed="false">
      <c r="A116" s="12" t="n">
        <v>115</v>
      </c>
      <c r="B116" s="12" t="n">
        <v>35</v>
      </c>
      <c r="C116" s="12" t="s">
        <v>40</v>
      </c>
      <c r="D116" s="12" t="n">
        <v>2</v>
      </c>
      <c r="E116" s="12" t="s">
        <v>41</v>
      </c>
      <c r="F116" s="12" t="s">
        <v>47</v>
      </c>
      <c r="G116" s="12" t="s">
        <v>43</v>
      </c>
      <c r="H116" s="12" t="n">
        <v>1680</v>
      </c>
      <c r="I116" s="12" t="n">
        <v>12</v>
      </c>
      <c r="J116" s="12" t="s">
        <v>24</v>
      </c>
    </row>
    <row r="117" customFormat="false" ht="15" hidden="false" customHeight="true" outlineLevel="0" collapsed="false">
      <c r="A117" s="12" t="n">
        <v>116</v>
      </c>
      <c r="B117" s="12" t="n">
        <v>47</v>
      </c>
      <c r="C117" s="12" t="s">
        <v>40</v>
      </c>
      <c r="D117" s="12" t="n">
        <v>2</v>
      </c>
      <c r="E117" s="12" t="s">
        <v>41</v>
      </c>
      <c r="F117" s="12" t="s">
        <v>42</v>
      </c>
      <c r="G117" s="12" t="s">
        <v>42</v>
      </c>
      <c r="H117" s="12" t="n">
        <v>3578</v>
      </c>
      <c r="I117" s="12" t="n">
        <v>48</v>
      </c>
      <c r="J117" s="12" t="s">
        <v>24</v>
      </c>
    </row>
    <row r="118" customFormat="false" ht="15" hidden="false" customHeight="true" outlineLevel="0" collapsed="false">
      <c r="A118" s="12" t="n">
        <v>117</v>
      </c>
      <c r="B118" s="12" t="n">
        <v>30</v>
      </c>
      <c r="C118" s="12" t="s">
        <v>44</v>
      </c>
      <c r="D118" s="12" t="n">
        <v>3</v>
      </c>
      <c r="E118" s="12" t="s">
        <v>41</v>
      </c>
      <c r="F118" s="12" t="s">
        <v>42</v>
      </c>
      <c r="G118" s="12" t="s">
        <v>43</v>
      </c>
      <c r="H118" s="12" t="n">
        <v>7174</v>
      </c>
      <c r="I118" s="12" t="n">
        <v>42</v>
      </c>
      <c r="J118" s="12" t="s">
        <v>24</v>
      </c>
    </row>
    <row r="119" customFormat="false" ht="15" hidden="false" customHeight="true" outlineLevel="0" collapsed="false">
      <c r="A119" s="12" t="n">
        <v>118</v>
      </c>
      <c r="B119" s="12" t="n">
        <v>27</v>
      </c>
      <c r="C119" s="12" t="s">
        <v>44</v>
      </c>
      <c r="D119" s="12" t="n">
        <v>2</v>
      </c>
      <c r="E119" s="12" t="s">
        <v>48</v>
      </c>
      <c r="F119" s="12" t="s">
        <v>42</v>
      </c>
      <c r="G119" s="12" t="s">
        <v>43</v>
      </c>
      <c r="H119" s="12" t="n">
        <v>2132</v>
      </c>
      <c r="I119" s="12" t="n">
        <v>10</v>
      </c>
      <c r="J119" s="12" t="s">
        <v>25</v>
      </c>
    </row>
    <row r="120" customFormat="false" ht="15" hidden="false" customHeight="true" outlineLevel="0" collapsed="false">
      <c r="A120" s="12" t="n">
        <v>119</v>
      </c>
      <c r="B120" s="12" t="n">
        <v>23</v>
      </c>
      <c r="C120" s="12" t="s">
        <v>44</v>
      </c>
      <c r="D120" s="12" t="n">
        <v>2</v>
      </c>
      <c r="E120" s="12" t="s">
        <v>41</v>
      </c>
      <c r="F120" s="12" t="s">
        <v>47</v>
      </c>
      <c r="G120" s="12" t="s">
        <v>43</v>
      </c>
      <c r="H120" s="12" t="n">
        <v>4281</v>
      </c>
      <c r="I120" s="12" t="n">
        <v>33</v>
      </c>
      <c r="J120" s="12" t="s">
        <v>25</v>
      </c>
    </row>
    <row r="121" customFormat="false" ht="15" hidden="false" customHeight="true" outlineLevel="0" collapsed="false">
      <c r="A121" s="12" t="n">
        <v>120</v>
      </c>
      <c r="B121" s="12" t="n">
        <v>36</v>
      </c>
      <c r="C121" s="12" t="s">
        <v>40</v>
      </c>
      <c r="D121" s="12" t="n">
        <v>3</v>
      </c>
      <c r="E121" s="12" t="s">
        <v>41</v>
      </c>
      <c r="F121" s="12" t="s">
        <v>47</v>
      </c>
      <c r="G121" s="12" t="s">
        <v>45</v>
      </c>
      <c r="H121" s="12" t="n">
        <v>2366</v>
      </c>
      <c r="I121" s="12" t="n">
        <v>12</v>
      </c>
      <c r="J121" s="12" t="s">
        <v>23</v>
      </c>
    </row>
    <row r="122" customFormat="false" ht="15" hidden="false" customHeight="true" outlineLevel="0" collapsed="false">
      <c r="A122" s="12" t="n">
        <v>121</v>
      </c>
      <c r="B122" s="12" t="n">
        <v>25</v>
      </c>
      <c r="C122" s="12" t="s">
        <v>44</v>
      </c>
      <c r="D122" s="12" t="n">
        <v>2</v>
      </c>
      <c r="E122" s="12" t="s">
        <v>41</v>
      </c>
      <c r="F122" s="12" t="s">
        <v>43</v>
      </c>
      <c r="G122" s="12" t="s">
        <v>43</v>
      </c>
      <c r="H122" s="12" t="n">
        <v>1835</v>
      </c>
      <c r="I122" s="12" t="n">
        <v>21</v>
      </c>
      <c r="J122" s="12" t="s">
        <v>24</v>
      </c>
    </row>
    <row r="123" customFormat="false" ht="15" hidden="false" customHeight="true" outlineLevel="0" collapsed="false">
      <c r="A123" s="12" t="n">
        <v>122</v>
      </c>
      <c r="B123" s="12" t="n">
        <v>41</v>
      </c>
      <c r="C123" s="12" t="s">
        <v>44</v>
      </c>
      <c r="D123" s="12" t="n">
        <v>3</v>
      </c>
      <c r="E123" s="12" t="s">
        <v>48</v>
      </c>
      <c r="F123" s="12" t="s">
        <v>43</v>
      </c>
      <c r="G123" s="12" t="s">
        <v>42</v>
      </c>
      <c r="H123" s="12" t="n">
        <v>3868</v>
      </c>
      <c r="I123" s="12" t="n">
        <v>24</v>
      </c>
      <c r="J123" s="12" t="s">
        <v>23</v>
      </c>
    </row>
    <row r="124" customFormat="false" ht="15" hidden="false" customHeight="true" outlineLevel="0" collapsed="false">
      <c r="A124" s="12" t="n">
        <v>123</v>
      </c>
      <c r="B124" s="12" t="n">
        <v>24</v>
      </c>
      <c r="C124" s="12" t="s">
        <v>40</v>
      </c>
      <c r="D124" s="12" t="n">
        <v>1</v>
      </c>
      <c r="E124" s="12" t="s">
        <v>48</v>
      </c>
      <c r="F124" s="12" t="s">
        <v>43</v>
      </c>
      <c r="G124" s="12" t="s">
        <v>42</v>
      </c>
      <c r="H124" s="12" t="n">
        <v>1768</v>
      </c>
      <c r="I124" s="12" t="n">
        <v>12</v>
      </c>
      <c r="J124" s="12" t="s">
        <v>25</v>
      </c>
    </row>
    <row r="125" customFormat="false" ht="15" hidden="false" customHeight="true" outlineLevel="0" collapsed="false">
      <c r="A125" s="12" t="n">
        <v>124</v>
      </c>
      <c r="B125" s="12" t="n">
        <v>63</v>
      </c>
      <c r="C125" s="12" t="s">
        <v>40</v>
      </c>
      <c r="D125" s="12" t="n">
        <v>2</v>
      </c>
      <c r="E125" s="12" t="s">
        <v>46</v>
      </c>
      <c r="F125" s="12" t="s">
        <v>43</v>
      </c>
      <c r="G125" s="12" t="s">
        <v>49</v>
      </c>
      <c r="H125" s="12" t="n">
        <v>781</v>
      </c>
      <c r="I125" s="12" t="n">
        <v>10</v>
      </c>
      <c r="J125" s="12" t="s">
        <v>23</v>
      </c>
    </row>
    <row r="126" customFormat="false" ht="15" hidden="false" customHeight="true" outlineLevel="0" collapsed="false">
      <c r="A126" s="12" t="n">
        <v>125</v>
      </c>
      <c r="B126" s="12" t="n">
        <v>27</v>
      </c>
      <c r="C126" s="12" t="s">
        <v>44</v>
      </c>
      <c r="D126" s="12" t="n">
        <v>2</v>
      </c>
      <c r="E126" s="12" t="s">
        <v>48</v>
      </c>
      <c r="F126" s="12" t="s">
        <v>42</v>
      </c>
      <c r="G126" s="12" t="s">
        <v>45</v>
      </c>
      <c r="H126" s="12" t="n">
        <v>1924</v>
      </c>
      <c r="I126" s="12" t="n">
        <v>18</v>
      </c>
      <c r="J126" s="12" t="s">
        <v>25</v>
      </c>
    </row>
    <row r="127" customFormat="false" ht="15" hidden="false" customHeight="true" outlineLevel="0" collapsed="false">
      <c r="A127" s="12" t="n">
        <v>126</v>
      </c>
      <c r="B127" s="12" t="n">
        <v>30</v>
      </c>
      <c r="C127" s="12" t="s">
        <v>40</v>
      </c>
      <c r="D127" s="12" t="n">
        <v>2</v>
      </c>
      <c r="E127" s="12" t="s">
        <v>41</v>
      </c>
      <c r="F127" s="12" t="s">
        <v>43</v>
      </c>
      <c r="G127" s="12" t="s">
        <v>43</v>
      </c>
      <c r="H127" s="12" t="n">
        <v>2121</v>
      </c>
      <c r="I127" s="12" t="n">
        <v>12</v>
      </c>
      <c r="J127" s="12" t="s">
        <v>23</v>
      </c>
    </row>
    <row r="128" customFormat="false" ht="15" hidden="false" customHeight="true" outlineLevel="0" collapsed="false">
      <c r="A128" s="12" t="n">
        <v>127</v>
      </c>
      <c r="B128" s="12" t="n">
        <v>40</v>
      </c>
      <c r="C128" s="12" t="s">
        <v>40</v>
      </c>
      <c r="D128" s="12" t="n">
        <v>1</v>
      </c>
      <c r="E128" s="12" t="s">
        <v>41</v>
      </c>
      <c r="F128" s="12" t="s">
        <v>43</v>
      </c>
      <c r="G128" s="12" t="s">
        <v>43</v>
      </c>
      <c r="H128" s="12" t="n">
        <v>701</v>
      </c>
      <c r="I128" s="12" t="n">
        <v>12</v>
      </c>
      <c r="J128" s="12" t="s">
        <v>24</v>
      </c>
    </row>
    <row r="129" customFormat="false" ht="15" hidden="false" customHeight="true" outlineLevel="0" collapsed="false">
      <c r="A129" s="12" t="n">
        <v>128</v>
      </c>
      <c r="B129" s="12" t="n">
        <v>30</v>
      </c>
      <c r="C129" s="12" t="s">
        <v>40</v>
      </c>
      <c r="D129" s="12" t="n">
        <v>2</v>
      </c>
      <c r="E129" s="12" t="s">
        <v>41</v>
      </c>
      <c r="F129" s="12" t="s">
        <v>43</v>
      </c>
      <c r="G129" s="12" t="s">
        <v>45</v>
      </c>
      <c r="H129" s="12" t="n">
        <v>639</v>
      </c>
      <c r="I129" s="12" t="n">
        <v>12</v>
      </c>
      <c r="J129" s="12" t="s">
        <v>28</v>
      </c>
    </row>
    <row r="130" customFormat="false" ht="15" hidden="false" customHeight="true" outlineLevel="0" collapsed="false">
      <c r="A130" s="12" t="n">
        <v>129</v>
      </c>
      <c r="B130" s="12" t="n">
        <v>34</v>
      </c>
      <c r="C130" s="12" t="s">
        <v>40</v>
      </c>
      <c r="D130" s="12" t="n">
        <v>3</v>
      </c>
      <c r="E130" s="12" t="s">
        <v>41</v>
      </c>
      <c r="F130" s="12" t="s">
        <v>43</v>
      </c>
      <c r="G130" s="12" t="s">
        <v>45</v>
      </c>
      <c r="H130" s="12" t="n">
        <v>1860</v>
      </c>
      <c r="I130" s="12" t="n">
        <v>12</v>
      </c>
      <c r="J130" s="12" t="s">
        <v>23</v>
      </c>
    </row>
    <row r="131" customFormat="false" ht="15" hidden="false" customHeight="true" outlineLevel="0" collapsed="false">
      <c r="A131" s="12" t="n">
        <v>130</v>
      </c>
      <c r="B131" s="12" t="n">
        <v>29</v>
      </c>
      <c r="C131" s="12" t="s">
        <v>44</v>
      </c>
      <c r="D131" s="12" t="n">
        <v>2</v>
      </c>
      <c r="E131" s="12" t="s">
        <v>41</v>
      </c>
      <c r="F131" s="12" t="s">
        <v>43</v>
      </c>
      <c r="G131" s="12" t="s">
        <v>43</v>
      </c>
      <c r="H131" s="12" t="n">
        <v>3499</v>
      </c>
      <c r="I131" s="12" t="n">
        <v>12</v>
      </c>
      <c r="J131" s="12" t="s">
        <v>23</v>
      </c>
    </row>
    <row r="132" customFormat="false" ht="15" hidden="false" customHeight="true" outlineLevel="0" collapsed="false">
      <c r="A132" s="12" t="n">
        <v>131</v>
      </c>
      <c r="B132" s="12" t="n">
        <v>24</v>
      </c>
      <c r="C132" s="12" t="s">
        <v>44</v>
      </c>
      <c r="D132" s="12" t="n">
        <v>2</v>
      </c>
      <c r="E132" s="12" t="s">
        <v>41</v>
      </c>
      <c r="F132" s="12" t="s">
        <v>42</v>
      </c>
      <c r="G132" s="12" t="s">
        <v>45</v>
      </c>
      <c r="H132" s="12" t="n">
        <v>8487</v>
      </c>
      <c r="I132" s="12" t="n">
        <v>48</v>
      </c>
      <c r="J132" s="12" t="s">
        <v>23</v>
      </c>
    </row>
    <row r="133" customFormat="false" ht="15" hidden="false" customHeight="true" outlineLevel="0" collapsed="false">
      <c r="A133" s="12" t="n">
        <v>132</v>
      </c>
      <c r="B133" s="12" t="n">
        <v>29</v>
      </c>
      <c r="C133" s="12" t="s">
        <v>40</v>
      </c>
      <c r="D133" s="12" t="n">
        <v>2</v>
      </c>
      <c r="E133" s="12" t="s">
        <v>41</v>
      </c>
      <c r="F133" s="12" t="s">
        <v>43</v>
      </c>
      <c r="G133" s="12" t="s">
        <v>43</v>
      </c>
      <c r="H133" s="12" t="n">
        <v>6887</v>
      </c>
      <c r="I133" s="12" t="n">
        <v>36</v>
      </c>
      <c r="J133" s="12" t="s">
        <v>27</v>
      </c>
    </row>
    <row r="134" customFormat="false" ht="15" hidden="false" customHeight="true" outlineLevel="0" collapsed="false">
      <c r="A134" s="12" t="n">
        <v>133</v>
      </c>
      <c r="B134" s="12" t="n">
        <v>27</v>
      </c>
      <c r="C134" s="12" t="s">
        <v>40</v>
      </c>
      <c r="D134" s="12" t="n">
        <v>1</v>
      </c>
      <c r="E134" s="12" t="s">
        <v>41</v>
      </c>
      <c r="F134" s="12" t="s">
        <v>43</v>
      </c>
      <c r="G134" s="12" t="s">
        <v>42</v>
      </c>
      <c r="H134" s="12" t="n">
        <v>2708</v>
      </c>
      <c r="I134" s="12" t="n">
        <v>15</v>
      </c>
      <c r="J134" s="12" t="s">
        <v>25</v>
      </c>
    </row>
    <row r="135" customFormat="false" ht="15" hidden="false" customHeight="true" outlineLevel="0" collapsed="false">
      <c r="A135" s="12" t="n">
        <v>134</v>
      </c>
      <c r="B135" s="12" t="n">
        <v>47</v>
      </c>
      <c r="C135" s="12" t="s">
        <v>40</v>
      </c>
      <c r="D135" s="12" t="n">
        <v>2</v>
      </c>
      <c r="E135" s="12" t="s">
        <v>46</v>
      </c>
      <c r="F135" s="12" t="s">
        <v>43</v>
      </c>
      <c r="G135" s="12" t="s">
        <v>42</v>
      </c>
      <c r="H135" s="12" t="n">
        <v>1984</v>
      </c>
      <c r="I135" s="12" t="n">
        <v>18</v>
      </c>
      <c r="J135" s="12" t="s">
        <v>25</v>
      </c>
    </row>
    <row r="136" customFormat="false" ht="15" hidden="false" customHeight="true" outlineLevel="0" collapsed="false">
      <c r="A136" s="12" t="n">
        <v>135</v>
      </c>
      <c r="B136" s="12" t="n">
        <v>21</v>
      </c>
      <c r="C136" s="12" t="s">
        <v>44</v>
      </c>
      <c r="D136" s="12" t="n">
        <v>2</v>
      </c>
      <c r="E136" s="12" t="s">
        <v>41</v>
      </c>
      <c r="F136" s="12" t="s">
        <v>45</v>
      </c>
      <c r="G136" s="12" t="s">
        <v>42</v>
      </c>
      <c r="H136" s="12" t="n">
        <v>10144</v>
      </c>
      <c r="I136" s="12" t="n">
        <v>60</v>
      </c>
      <c r="J136" s="12" t="s">
        <v>24</v>
      </c>
    </row>
    <row r="137" customFormat="false" ht="15" hidden="false" customHeight="true" outlineLevel="0" collapsed="false">
      <c r="A137" s="12" t="n">
        <v>136</v>
      </c>
      <c r="B137" s="12" t="n">
        <v>38</v>
      </c>
      <c r="C137" s="12" t="s">
        <v>44</v>
      </c>
      <c r="D137" s="12" t="n">
        <v>2</v>
      </c>
      <c r="E137" s="12" t="s">
        <v>41</v>
      </c>
      <c r="F137" s="12" t="s">
        <v>42</v>
      </c>
      <c r="G137" s="12" t="s">
        <v>42</v>
      </c>
      <c r="H137" s="12" t="n">
        <v>1240</v>
      </c>
      <c r="I137" s="12" t="n">
        <v>12</v>
      </c>
      <c r="J137" s="12" t="s">
        <v>24</v>
      </c>
    </row>
    <row r="138" customFormat="false" ht="15" hidden="false" customHeight="true" outlineLevel="0" collapsed="false">
      <c r="A138" s="12" t="n">
        <v>137</v>
      </c>
      <c r="B138" s="12" t="n">
        <v>27</v>
      </c>
      <c r="C138" s="12" t="s">
        <v>40</v>
      </c>
      <c r="D138" s="12" t="n">
        <v>2</v>
      </c>
      <c r="E138" s="12" t="s">
        <v>41</v>
      </c>
      <c r="F138" s="12" t="s">
        <v>49</v>
      </c>
      <c r="G138" s="12" t="s">
        <v>42</v>
      </c>
      <c r="H138" s="12" t="n">
        <v>8613</v>
      </c>
      <c r="I138" s="12" t="n">
        <v>27</v>
      </c>
      <c r="J138" s="12" t="s">
        <v>23</v>
      </c>
    </row>
    <row r="139" customFormat="false" ht="15" hidden="false" customHeight="true" outlineLevel="0" collapsed="false">
      <c r="A139" s="12" t="n">
        <v>138</v>
      </c>
      <c r="B139" s="12" t="n">
        <v>66</v>
      </c>
      <c r="C139" s="12" t="s">
        <v>40</v>
      </c>
      <c r="D139" s="12" t="n">
        <v>1</v>
      </c>
      <c r="E139" s="12" t="s">
        <v>41</v>
      </c>
      <c r="F139" s="12" t="s">
        <v>47</v>
      </c>
      <c r="G139" s="12" t="s">
        <v>45</v>
      </c>
      <c r="H139" s="12" t="n">
        <v>766</v>
      </c>
      <c r="I139" s="12" t="n">
        <v>12</v>
      </c>
      <c r="J139" s="12" t="s">
        <v>24</v>
      </c>
    </row>
    <row r="140" customFormat="false" ht="15" hidden="false" customHeight="true" outlineLevel="0" collapsed="false">
      <c r="A140" s="12" t="n">
        <v>139</v>
      </c>
      <c r="B140" s="12" t="n">
        <v>35</v>
      </c>
      <c r="C140" s="12" t="s">
        <v>40</v>
      </c>
      <c r="D140" s="12" t="n">
        <v>2</v>
      </c>
      <c r="E140" s="12" t="s">
        <v>41</v>
      </c>
      <c r="F140" s="12" t="s">
        <v>42</v>
      </c>
      <c r="G140" s="12" t="s">
        <v>45</v>
      </c>
      <c r="H140" s="12" t="n">
        <v>2728</v>
      </c>
      <c r="I140" s="12" t="n">
        <v>15</v>
      </c>
      <c r="J140" s="12" t="s">
        <v>24</v>
      </c>
    </row>
    <row r="141" customFormat="false" ht="15" hidden="false" customHeight="true" outlineLevel="0" collapsed="false">
      <c r="A141" s="12" t="n">
        <v>140</v>
      </c>
      <c r="B141" s="12" t="n">
        <v>44</v>
      </c>
      <c r="C141" s="12" t="s">
        <v>44</v>
      </c>
      <c r="D141" s="12" t="n">
        <v>1</v>
      </c>
      <c r="E141" s="12" t="s">
        <v>48</v>
      </c>
      <c r="F141" s="12" t="s">
        <v>43</v>
      </c>
      <c r="G141" s="12" t="s">
        <v>49</v>
      </c>
      <c r="H141" s="12" t="n">
        <v>1881</v>
      </c>
      <c r="I141" s="12" t="n">
        <v>12</v>
      </c>
      <c r="J141" s="12" t="s">
        <v>24</v>
      </c>
    </row>
    <row r="142" customFormat="false" ht="15" hidden="false" customHeight="true" outlineLevel="0" collapsed="false">
      <c r="A142" s="12" t="n">
        <v>141</v>
      </c>
      <c r="B142" s="12" t="n">
        <v>27</v>
      </c>
      <c r="C142" s="12" t="s">
        <v>40</v>
      </c>
      <c r="D142" s="12" t="n">
        <v>0</v>
      </c>
      <c r="E142" s="12" t="s">
        <v>41</v>
      </c>
      <c r="F142" s="12" t="s">
        <v>49</v>
      </c>
      <c r="G142" s="12" t="s">
        <v>49</v>
      </c>
      <c r="H142" s="12" t="n">
        <v>709</v>
      </c>
      <c r="I142" s="12" t="n">
        <v>6</v>
      </c>
      <c r="J142" s="12" t="s">
        <v>23</v>
      </c>
    </row>
    <row r="143" customFormat="false" ht="15" hidden="false" customHeight="true" outlineLevel="0" collapsed="false">
      <c r="A143" s="12" t="n">
        <v>142</v>
      </c>
      <c r="B143" s="12" t="n">
        <v>30</v>
      </c>
      <c r="C143" s="12" t="s">
        <v>44</v>
      </c>
      <c r="D143" s="12" t="n">
        <v>3</v>
      </c>
      <c r="E143" s="12" t="s">
        <v>41</v>
      </c>
      <c r="F143" s="12" t="s">
        <v>43</v>
      </c>
      <c r="G143" s="12" t="s">
        <v>45</v>
      </c>
      <c r="H143" s="12" t="n">
        <v>4795</v>
      </c>
      <c r="I143" s="12" t="n">
        <v>36</v>
      </c>
      <c r="J143" s="12" t="s">
        <v>24</v>
      </c>
    </row>
    <row r="144" customFormat="false" ht="15" hidden="false" customHeight="true" outlineLevel="0" collapsed="false">
      <c r="A144" s="12" t="n">
        <v>143</v>
      </c>
      <c r="B144" s="12" t="n">
        <v>27</v>
      </c>
      <c r="C144" s="12" t="s">
        <v>40</v>
      </c>
      <c r="D144" s="12" t="n">
        <v>3</v>
      </c>
      <c r="E144" s="12" t="s">
        <v>41</v>
      </c>
      <c r="F144" s="12" t="s">
        <v>43</v>
      </c>
      <c r="G144" s="12" t="s">
        <v>43</v>
      </c>
      <c r="H144" s="12" t="n">
        <v>3416</v>
      </c>
      <c r="I144" s="12" t="n">
        <v>27</v>
      </c>
      <c r="J144" s="12" t="s">
        <v>24</v>
      </c>
    </row>
    <row r="145" customFormat="false" ht="15" hidden="false" customHeight="true" outlineLevel="0" collapsed="false">
      <c r="A145" s="12" t="n">
        <v>144</v>
      </c>
      <c r="B145" s="12" t="n">
        <v>22</v>
      </c>
      <c r="C145" s="12" t="s">
        <v>40</v>
      </c>
      <c r="D145" s="12" t="n">
        <v>2</v>
      </c>
      <c r="E145" s="12" t="s">
        <v>41</v>
      </c>
      <c r="F145" s="12" t="s">
        <v>43</v>
      </c>
      <c r="G145" s="12" t="s">
        <v>43</v>
      </c>
      <c r="H145" s="12" t="n">
        <v>2462</v>
      </c>
      <c r="I145" s="12" t="n">
        <v>18</v>
      </c>
      <c r="J145" s="12" t="s">
        <v>25</v>
      </c>
    </row>
    <row r="146" customFormat="false" ht="15" hidden="false" customHeight="true" outlineLevel="0" collapsed="false">
      <c r="A146" s="12" t="n">
        <v>145</v>
      </c>
      <c r="B146" s="12" t="n">
        <v>23</v>
      </c>
      <c r="C146" s="12" t="s">
        <v>44</v>
      </c>
      <c r="D146" s="12" t="n">
        <v>2</v>
      </c>
      <c r="E146" s="12" t="s">
        <v>41</v>
      </c>
      <c r="F146" s="12" t="s">
        <v>43</v>
      </c>
      <c r="G146" s="12" t="s">
        <v>42</v>
      </c>
      <c r="H146" s="12" t="n">
        <v>2288</v>
      </c>
      <c r="I146" s="12" t="n">
        <v>21</v>
      </c>
      <c r="J146" s="12" t="s">
        <v>25</v>
      </c>
    </row>
    <row r="147" customFormat="false" ht="15" hidden="false" customHeight="true" outlineLevel="0" collapsed="false">
      <c r="A147" s="12" t="n">
        <v>146</v>
      </c>
      <c r="B147" s="12" t="n">
        <v>30</v>
      </c>
      <c r="C147" s="12" t="s">
        <v>40</v>
      </c>
      <c r="D147" s="12" t="n">
        <v>2</v>
      </c>
      <c r="E147" s="12" t="s">
        <v>41</v>
      </c>
      <c r="F147" s="12" t="s">
        <v>45</v>
      </c>
      <c r="G147" s="12" t="s">
        <v>45</v>
      </c>
      <c r="H147" s="12" t="n">
        <v>3566</v>
      </c>
      <c r="I147" s="12" t="n">
        <v>48</v>
      </c>
      <c r="J147" s="12" t="s">
        <v>26</v>
      </c>
    </row>
    <row r="148" customFormat="false" ht="15" hidden="false" customHeight="true" outlineLevel="0" collapsed="false">
      <c r="A148" s="12" t="n">
        <v>147</v>
      </c>
      <c r="B148" s="12" t="n">
        <v>39</v>
      </c>
      <c r="C148" s="12" t="s">
        <v>44</v>
      </c>
      <c r="D148" s="12" t="n">
        <v>2</v>
      </c>
      <c r="E148" s="12" t="s">
        <v>41</v>
      </c>
      <c r="F148" s="12" t="s">
        <v>43</v>
      </c>
      <c r="G148" s="12" t="s">
        <v>43</v>
      </c>
      <c r="H148" s="12" t="n">
        <v>860</v>
      </c>
      <c r="I148" s="12" t="n">
        <v>6</v>
      </c>
      <c r="J148" s="12" t="s">
        <v>23</v>
      </c>
    </row>
    <row r="149" customFormat="false" ht="15" hidden="false" customHeight="true" outlineLevel="0" collapsed="false">
      <c r="A149" s="12" t="n">
        <v>148</v>
      </c>
      <c r="B149" s="12" t="n">
        <v>51</v>
      </c>
      <c r="C149" s="12" t="s">
        <v>44</v>
      </c>
      <c r="D149" s="12" t="n">
        <v>2</v>
      </c>
      <c r="E149" s="12" t="s">
        <v>41</v>
      </c>
      <c r="F149" s="12" t="s">
        <v>45</v>
      </c>
      <c r="G149" s="12" t="s">
        <v>42</v>
      </c>
      <c r="H149" s="12" t="n">
        <v>682</v>
      </c>
      <c r="I149" s="12" t="n">
        <v>12</v>
      </c>
      <c r="J149" s="12" t="s">
        <v>23</v>
      </c>
    </row>
    <row r="150" customFormat="false" ht="15" hidden="false" customHeight="true" outlineLevel="0" collapsed="false">
      <c r="A150" s="12" t="n">
        <v>149</v>
      </c>
      <c r="B150" s="12" t="n">
        <v>28</v>
      </c>
      <c r="C150" s="12" t="s">
        <v>40</v>
      </c>
      <c r="D150" s="12" t="n">
        <v>2</v>
      </c>
      <c r="E150" s="12" t="s">
        <v>41</v>
      </c>
      <c r="F150" s="12" t="s">
        <v>43</v>
      </c>
      <c r="G150" s="12" t="s">
        <v>43</v>
      </c>
      <c r="H150" s="12" t="n">
        <v>5371</v>
      </c>
      <c r="I150" s="12" t="n">
        <v>36</v>
      </c>
      <c r="J150" s="12" t="s">
        <v>25</v>
      </c>
    </row>
    <row r="151" customFormat="false" ht="15" hidden="false" customHeight="true" outlineLevel="0" collapsed="false">
      <c r="A151" s="12" t="n">
        <v>150</v>
      </c>
      <c r="B151" s="12" t="n">
        <v>46</v>
      </c>
      <c r="C151" s="12" t="s">
        <v>40</v>
      </c>
      <c r="D151" s="12" t="n">
        <v>2</v>
      </c>
      <c r="E151" s="12" t="s">
        <v>41</v>
      </c>
      <c r="F151" s="12" t="s">
        <v>49</v>
      </c>
      <c r="G151" s="12" t="s">
        <v>42</v>
      </c>
      <c r="H151" s="12" t="n">
        <v>1582</v>
      </c>
      <c r="I151" s="12" t="n">
        <v>18</v>
      </c>
      <c r="J151" s="12" t="s">
        <v>24</v>
      </c>
    </row>
    <row r="152" customFormat="false" ht="15" hidden="false" customHeight="true" outlineLevel="0" collapsed="false">
      <c r="A152" s="12" t="n">
        <v>151</v>
      </c>
      <c r="B152" s="12" t="n">
        <v>42</v>
      </c>
      <c r="C152" s="12" t="s">
        <v>40</v>
      </c>
      <c r="D152" s="12" t="n">
        <v>2</v>
      </c>
      <c r="E152" s="12" t="s">
        <v>46</v>
      </c>
      <c r="F152" s="12" t="s">
        <v>45</v>
      </c>
      <c r="G152" s="12" t="s">
        <v>42</v>
      </c>
      <c r="H152" s="12" t="n">
        <v>1346</v>
      </c>
      <c r="I152" s="12" t="n">
        <v>6</v>
      </c>
      <c r="J152" s="12" t="s">
        <v>24</v>
      </c>
    </row>
    <row r="153" customFormat="false" ht="15" hidden="false" customHeight="true" outlineLevel="0" collapsed="false">
      <c r="A153" s="12" t="n">
        <v>152</v>
      </c>
      <c r="B153" s="12" t="n">
        <v>38</v>
      </c>
      <c r="C153" s="12" t="s">
        <v>40</v>
      </c>
      <c r="D153" s="12" t="n">
        <v>2</v>
      </c>
      <c r="E153" s="12" t="s">
        <v>41</v>
      </c>
      <c r="F153" s="12" t="s">
        <v>43</v>
      </c>
      <c r="G153" s="12" t="s">
        <v>42</v>
      </c>
      <c r="H153" s="12" t="n">
        <v>1924</v>
      </c>
      <c r="I153" s="12" t="n">
        <v>10</v>
      </c>
      <c r="J153" s="12" t="s">
        <v>24</v>
      </c>
    </row>
    <row r="154" customFormat="false" ht="15" hidden="false" customHeight="true" outlineLevel="0" collapsed="false">
      <c r="A154" s="12" t="n">
        <v>153</v>
      </c>
      <c r="B154" s="12" t="n">
        <v>24</v>
      </c>
      <c r="C154" s="12" t="s">
        <v>40</v>
      </c>
      <c r="D154" s="12" t="n">
        <v>2</v>
      </c>
      <c r="E154" s="12" t="s">
        <v>41</v>
      </c>
      <c r="F154" s="12" t="s">
        <v>43</v>
      </c>
      <c r="G154" s="12" t="s">
        <v>49</v>
      </c>
      <c r="H154" s="12" t="n">
        <v>5848</v>
      </c>
      <c r="I154" s="12" t="n">
        <v>36</v>
      </c>
      <c r="J154" s="12" t="s">
        <v>24</v>
      </c>
    </row>
    <row r="155" customFormat="false" ht="15" hidden="false" customHeight="true" outlineLevel="0" collapsed="false">
      <c r="A155" s="12" t="n">
        <v>154</v>
      </c>
      <c r="B155" s="12" t="n">
        <v>29</v>
      </c>
      <c r="C155" s="12" t="s">
        <v>44</v>
      </c>
      <c r="D155" s="12" t="n">
        <v>2</v>
      </c>
      <c r="E155" s="12" t="s">
        <v>48</v>
      </c>
      <c r="F155" s="12" t="s">
        <v>49</v>
      </c>
      <c r="G155" s="12" t="s">
        <v>45</v>
      </c>
      <c r="H155" s="12" t="n">
        <v>7758</v>
      </c>
      <c r="I155" s="12" t="n">
        <v>24</v>
      </c>
      <c r="J155" s="12" t="s">
        <v>23</v>
      </c>
    </row>
    <row r="156" customFormat="false" ht="15" hidden="false" customHeight="true" outlineLevel="0" collapsed="false">
      <c r="A156" s="12" t="n">
        <v>155</v>
      </c>
      <c r="B156" s="12" t="n">
        <v>36</v>
      </c>
      <c r="C156" s="12" t="s">
        <v>40</v>
      </c>
      <c r="D156" s="12" t="n">
        <v>3</v>
      </c>
      <c r="E156" s="12" t="s">
        <v>48</v>
      </c>
      <c r="F156" s="12" t="s">
        <v>45</v>
      </c>
      <c r="G156" s="12" t="s">
        <v>45</v>
      </c>
      <c r="H156" s="12" t="n">
        <v>6967</v>
      </c>
      <c r="I156" s="12" t="n">
        <v>24</v>
      </c>
      <c r="J156" s="12" t="s">
        <v>26</v>
      </c>
    </row>
    <row r="157" customFormat="false" ht="15" hidden="false" customHeight="true" outlineLevel="0" collapsed="false">
      <c r="A157" s="12" t="n">
        <v>156</v>
      </c>
      <c r="B157" s="12" t="n">
        <v>20</v>
      </c>
      <c r="C157" s="12" t="s">
        <v>44</v>
      </c>
      <c r="D157" s="12" t="n">
        <v>2</v>
      </c>
      <c r="E157" s="12" t="s">
        <v>48</v>
      </c>
      <c r="F157" s="12" t="s">
        <v>43</v>
      </c>
      <c r="G157" s="12" t="s">
        <v>43</v>
      </c>
      <c r="H157" s="12" t="n">
        <v>1282</v>
      </c>
      <c r="I157" s="12" t="n">
        <v>12</v>
      </c>
      <c r="J157" s="12" t="s">
        <v>25</v>
      </c>
    </row>
    <row r="158" customFormat="false" ht="15" hidden="false" customHeight="true" outlineLevel="0" collapsed="false">
      <c r="A158" s="12" t="n">
        <v>157</v>
      </c>
      <c r="B158" s="12" t="n">
        <v>48</v>
      </c>
      <c r="C158" s="12" t="s">
        <v>40</v>
      </c>
      <c r="D158" s="12" t="n">
        <v>2</v>
      </c>
      <c r="E158" s="12" t="s">
        <v>41</v>
      </c>
      <c r="F158" s="12" t="s">
        <v>45</v>
      </c>
      <c r="G158" s="12" t="s">
        <v>43</v>
      </c>
      <c r="H158" s="12" t="n">
        <v>1288</v>
      </c>
      <c r="I158" s="12" t="n">
        <v>9</v>
      </c>
      <c r="J158" s="12" t="s">
        <v>28</v>
      </c>
    </row>
    <row r="159" customFormat="false" ht="15" hidden="false" customHeight="true" outlineLevel="0" collapsed="false">
      <c r="A159" s="12" t="n">
        <v>158</v>
      </c>
      <c r="B159" s="12" t="n">
        <v>45</v>
      </c>
      <c r="C159" s="12" t="s">
        <v>40</v>
      </c>
      <c r="D159" s="12" t="n">
        <v>1</v>
      </c>
      <c r="E159" s="12" t="s">
        <v>41</v>
      </c>
      <c r="F159" s="12" t="s">
        <v>43</v>
      </c>
      <c r="G159" s="12" t="s">
        <v>43</v>
      </c>
      <c r="H159" s="12" t="n">
        <v>339</v>
      </c>
      <c r="I159" s="12" t="n">
        <v>12</v>
      </c>
      <c r="J159" s="12" t="s">
        <v>27</v>
      </c>
    </row>
    <row r="160" customFormat="false" ht="15" hidden="false" customHeight="true" outlineLevel="0" collapsed="false">
      <c r="A160" s="12" t="n">
        <v>159</v>
      </c>
      <c r="B160" s="12" t="n">
        <v>38</v>
      </c>
      <c r="C160" s="12" t="s">
        <v>40</v>
      </c>
      <c r="D160" s="12" t="n">
        <v>2</v>
      </c>
      <c r="E160" s="12" t="s">
        <v>41</v>
      </c>
      <c r="F160" s="12" t="s">
        <v>45</v>
      </c>
      <c r="G160" s="12" t="s">
        <v>45</v>
      </c>
      <c r="H160" s="12" t="n">
        <v>3512</v>
      </c>
      <c r="I160" s="12" t="n">
        <v>24</v>
      </c>
      <c r="J160" s="12" t="s">
        <v>23</v>
      </c>
    </row>
    <row r="161" customFormat="false" ht="15" hidden="false" customHeight="true" outlineLevel="0" collapsed="false">
      <c r="A161" s="12" t="n">
        <v>160</v>
      </c>
      <c r="B161" s="12" t="n">
        <v>34</v>
      </c>
      <c r="C161" s="12" t="s">
        <v>40</v>
      </c>
      <c r="D161" s="12" t="n">
        <v>1</v>
      </c>
      <c r="E161" s="12" t="s">
        <v>41</v>
      </c>
      <c r="F161" s="12" t="s">
        <v>42</v>
      </c>
      <c r="G161" s="12" t="s">
        <v>42</v>
      </c>
      <c r="H161" s="12" t="n">
        <v>1898</v>
      </c>
      <c r="I161" s="12" t="n">
        <v>6</v>
      </c>
      <c r="J161" s="12" t="s">
        <v>24</v>
      </c>
    </row>
    <row r="162" customFormat="false" ht="15" hidden="false" customHeight="true" outlineLevel="0" collapsed="false">
      <c r="A162" s="12" t="n">
        <v>161</v>
      </c>
      <c r="B162" s="12" t="n">
        <v>36</v>
      </c>
      <c r="C162" s="12" t="s">
        <v>40</v>
      </c>
      <c r="D162" s="12" t="n">
        <v>2</v>
      </c>
      <c r="E162" s="12" t="s">
        <v>41</v>
      </c>
      <c r="F162" s="12" t="s">
        <v>45</v>
      </c>
      <c r="G162" s="12" t="s">
        <v>42</v>
      </c>
      <c r="H162" s="12" t="n">
        <v>2872</v>
      </c>
      <c r="I162" s="12" t="n">
        <v>24</v>
      </c>
      <c r="J162" s="12" t="s">
        <v>24</v>
      </c>
    </row>
    <row r="163" customFormat="false" ht="15" hidden="false" customHeight="true" outlineLevel="0" collapsed="false">
      <c r="A163" s="12" t="n">
        <v>162</v>
      </c>
      <c r="B163" s="12" t="n">
        <v>30</v>
      </c>
      <c r="C163" s="12" t="s">
        <v>44</v>
      </c>
      <c r="D163" s="12" t="n">
        <v>2</v>
      </c>
      <c r="E163" s="12" t="s">
        <v>41</v>
      </c>
      <c r="F163" s="12" t="s">
        <v>43</v>
      </c>
      <c r="G163" s="12" t="s">
        <v>42</v>
      </c>
      <c r="H163" s="12" t="n">
        <v>1055</v>
      </c>
      <c r="I163" s="12" t="n">
        <v>18</v>
      </c>
      <c r="J163" s="12" t="s">
        <v>23</v>
      </c>
    </row>
    <row r="164" customFormat="false" ht="15" hidden="false" customHeight="true" outlineLevel="0" collapsed="false">
      <c r="A164" s="12" t="n">
        <v>163</v>
      </c>
      <c r="B164" s="12" t="n">
        <v>36</v>
      </c>
      <c r="C164" s="12" t="s">
        <v>40</v>
      </c>
      <c r="D164" s="12" t="n">
        <v>2</v>
      </c>
      <c r="E164" s="12" t="s">
        <v>41</v>
      </c>
      <c r="F164" s="12" t="s">
        <v>47</v>
      </c>
      <c r="G164" s="12" t="s">
        <v>42</v>
      </c>
      <c r="H164" s="12" t="n">
        <v>1262</v>
      </c>
      <c r="I164" s="12" t="n">
        <v>15</v>
      </c>
      <c r="J164" s="12" t="s">
        <v>29</v>
      </c>
    </row>
    <row r="165" customFormat="false" ht="15" hidden="false" customHeight="true" outlineLevel="0" collapsed="false">
      <c r="A165" s="12" t="n">
        <v>164</v>
      </c>
      <c r="B165" s="12" t="n">
        <v>70</v>
      </c>
      <c r="C165" s="12" t="s">
        <v>40</v>
      </c>
      <c r="D165" s="12" t="n">
        <v>3</v>
      </c>
      <c r="E165" s="12" t="s">
        <v>46</v>
      </c>
      <c r="F165" s="12" t="s">
        <v>43</v>
      </c>
      <c r="G165" s="12" t="s">
        <v>45</v>
      </c>
      <c r="H165" s="12" t="n">
        <v>7308</v>
      </c>
      <c r="I165" s="12" t="n">
        <v>10</v>
      </c>
      <c r="J165" s="12" t="s">
        <v>23</v>
      </c>
    </row>
    <row r="166" customFormat="false" ht="15" hidden="false" customHeight="true" outlineLevel="0" collapsed="false">
      <c r="A166" s="12" t="n">
        <v>165</v>
      </c>
      <c r="B166" s="12" t="n">
        <v>36</v>
      </c>
      <c r="C166" s="12" t="s">
        <v>40</v>
      </c>
      <c r="D166" s="12" t="n">
        <v>2</v>
      </c>
      <c r="E166" s="12" t="s">
        <v>41</v>
      </c>
      <c r="F166" s="12" t="s">
        <v>47</v>
      </c>
      <c r="G166" s="12" t="s">
        <v>42</v>
      </c>
      <c r="H166" s="12" t="n">
        <v>909</v>
      </c>
      <c r="I166" s="12" t="n">
        <v>36</v>
      </c>
      <c r="J166" s="12" t="s">
        <v>23</v>
      </c>
    </row>
    <row r="167" customFormat="false" ht="15" hidden="false" customHeight="true" outlineLevel="0" collapsed="false">
      <c r="A167" s="12" t="n">
        <v>166</v>
      </c>
      <c r="B167" s="12" t="n">
        <v>32</v>
      </c>
      <c r="C167" s="12" t="s">
        <v>40</v>
      </c>
      <c r="D167" s="12" t="n">
        <v>2</v>
      </c>
      <c r="E167" s="12" t="s">
        <v>41</v>
      </c>
      <c r="F167" s="12" t="s">
        <v>47</v>
      </c>
      <c r="G167" s="12" t="s">
        <v>42</v>
      </c>
      <c r="H167" s="12" t="n">
        <v>2978</v>
      </c>
      <c r="I167" s="12" t="n">
        <v>6</v>
      </c>
      <c r="J167" s="12" t="s">
        <v>25</v>
      </c>
    </row>
    <row r="168" customFormat="false" ht="15" hidden="false" customHeight="true" outlineLevel="0" collapsed="false">
      <c r="A168" s="12" t="n">
        <v>167</v>
      </c>
      <c r="B168" s="12" t="n">
        <v>33</v>
      </c>
      <c r="C168" s="12" t="s">
        <v>44</v>
      </c>
      <c r="D168" s="12" t="n">
        <v>2</v>
      </c>
      <c r="E168" s="12" t="s">
        <v>41</v>
      </c>
      <c r="F168" s="12" t="s">
        <v>43</v>
      </c>
      <c r="G168" s="12" t="s">
        <v>43</v>
      </c>
      <c r="H168" s="12" t="n">
        <v>1131</v>
      </c>
      <c r="I168" s="12" t="n">
        <v>18</v>
      </c>
      <c r="J168" s="12" t="s">
        <v>25</v>
      </c>
    </row>
    <row r="169" customFormat="false" ht="15" hidden="false" customHeight="true" outlineLevel="0" collapsed="false">
      <c r="A169" s="12" t="n">
        <v>168</v>
      </c>
      <c r="B169" s="12" t="n">
        <v>20</v>
      </c>
      <c r="C169" s="12" t="s">
        <v>44</v>
      </c>
      <c r="D169" s="12" t="n">
        <v>2</v>
      </c>
      <c r="E169" s="12" t="s">
        <v>41</v>
      </c>
      <c r="F169" s="12" t="s">
        <v>49</v>
      </c>
      <c r="G169" s="12" t="s">
        <v>45</v>
      </c>
      <c r="H169" s="12" t="n">
        <v>1577</v>
      </c>
      <c r="I169" s="12" t="n">
        <v>11</v>
      </c>
      <c r="J169" s="12" t="s">
        <v>25</v>
      </c>
    </row>
    <row r="170" customFormat="false" ht="15" hidden="false" customHeight="true" outlineLevel="0" collapsed="false">
      <c r="A170" s="12" t="n">
        <v>169</v>
      </c>
      <c r="B170" s="12" t="n">
        <v>25</v>
      </c>
      <c r="C170" s="12" t="s">
        <v>44</v>
      </c>
      <c r="D170" s="12" t="n">
        <v>2</v>
      </c>
      <c r="E170" s="12" t="s">
        <v>48</v>
      </c>
      <c r="F170" s="12" t="s">
        <v>43</v>
      </c>
      <c r="G170" s="12" t="s">
        <v>42</v>
      </c>
      <c r="H170" s="12" t="n">
        <v>3972</v>
      </c>
      <c r="I170" s="12" t="n">
        <v>24</v>
      </c>
      <c r="J170" s="12" t="s">
        <v>25</v>
      </c>
    </row>
    <row r="171" customFormat="false" ht="15" hidden="false" customHeight="true" outlineLevel="0" collapsed="false">
      <c r="A171" s="12" t="n">
        <v>170</v>
      </c>
      <c r="B171" s="12" t="n">
        <v>31</v>
      </c>
      <c r="C171" s="12" t="s">
        <v>40</v>
      </c>
      <c r="D171" s="12" t="n">
        <v>2</v>
      </c>
      <c r="E171" s="12" t="s">
        <v>41</v>
      </c>
      <c r="F171" s="12" t="s">
        <v>43</v>
      </c>
      <c r="G171" s="12" t="s">
        <v>45</v>
      </c>
      <c r="H171" s="12" t="n">
        <v>1935</v>
      </c>
      <c r="I171" s="12" t="n">
        <v>24</v>
      </c>
      <c r="J171" s="12" t="s">
        <v>26</v>
      </c>
    </row>
    <row r="172" customFormat="false" ht="15" hidden="false" customHeight="true" outlineLevel="0" collapsed="false">
      <c r="A172" s="12" t="n">
        <v>171</v>
      </c>
      <c r="B172" s="12" t="n">
        <v>33</v>
      </c>
      <c r="C172" s="12" t="s">
        <v>40</v>
      </c>
      <c r="D172" s="12" t="n">
        <v>2</v>
      </c>
      <c r="E172" s="12" t="s">
        <v>48</v>
      </c>
      <c r="F172" s="12" t="s">
        <v>43</v>
      </c>
      <c r="G172" s="12" t="s">
        <v>43</v>
      </c>
      <c r="H172" s="12" t="n">
        <v>950</v>
      </c>
      <c r="I172" s="12" t="n">
        <v>15</v>
      </c>
      <c r="J172" s="12" t="s">
        <v>23</v>
      </c>
    </row>
    <row r="173" customFormat="false" ht="15" hidden="false" customHeight="true" outlineLevel="0" collapsed="false">
      <c r="A173" s="12" t="n">
        <v>172</v>
      </c>
      <c r="B173" s="12" t="n">
        <v>26</v>
      </c>
      <c r="C173" s="12" t="s">
        <v>44</v>
      </c>
      <c r="D173" s="12" t="n">
        <v>2</v>
      </c>
      <c r="E173" s="12" t="s">
        <v>41</v>
      </c>
      <c r="F173" s="12" t="s">
        <v>43</v>
      </c>
      <c r="G173" s="12" t="s">
        <v>42</v>
      </c>
      <c r="H173" s="12" t="n">
        <v>763</v>
      </c>
      <c r="I173" s="12" t="n">
        <v>12</v>
      </c>
      <c r="J173" s="12" t="s">
        <v>25</v>
      </c>
    </row>
    <row r="174" customFormat="false" ht="15" hidden="false" customHeight="true" outlineLevel="0" collapsed="false">
      <c r="A174" s="12" t="n">
        <v>173</v>
      </c>
      <c r="B174" s="12" t="n">
        <v>34</v>
      </c>
      <c r="C174" s="12" t="s">
        <v>44</v>
      </c>
      <c r="D174" s="12" t="n">
        <v>3</v>
      </c>
      <c r="E174" s="12" t="s">
        <v>41</v>
      </c>
      <c r="F174" s="12" t="s">
        <v>43</v>
      </c>
      <c r="G174" s="12" t="s">
        <v>45</v>
      </c>
      <c r="H174" s="12" t="n">
        <v>2064</v>
      </c>
      <c r="I174" s="12" t="n">
        <v>24</v>
      </c>
      <c r="J174" s="12" t="s">
        <v>25</v>
      </c>
    </row>
    <row r="175" customFormat="false" ht="15" hidden="false" customHeight="true" outlineLevel="0" collapsed="false">
      <c r="A175" s="12" t="n">
        <v>174</v>
      </c>
      <c r="B175" s="12" t="n">
        <v>33</v>
      </c>
      <c r="C175" s="12" t="s">
        <v>40</v>
      </c>
      <c r="D175" s="12" t="n">
        <v>2</v>
      </c>
      <c r="E175" s="12" t="s">
        <v>41</v>
      </c>
      <c r="F175" s="12" t="s">
        <v>43</v>
      </c>
      <c r="G175" s="12" t="s">
        <v>45</v>
      </c>
      <c r="H175" s="12" t="n">
        <v>1414</v>
      </c>
      <c r="I175" s="12" t="n">
        <v>8</v>
      </c>
      <c r="J175" s="12" t="s">
        <v>24</v>
      </c>
    </row>
    <row r="176" customFormat="false" ht="15" hidden="false" customHeight="true" outlineLevel="0" collapsed="false">
      <c r="A176" s="12" t="n">
        <v>175</v>
      </c>
      <c r="B176" s="12" t="n">
        <v>26</v>
      </c>
      <c r="C176" s="12" t="s">
        <v>40</v>
      </c>
      <c r="D176" s="12" t="n">
        <v>2</v>
      </c>
      <c r="E176" s="12" t="s">
        <v>41</v>
      </c>
      <c r="F176" s="12" t="s">
        <v>43</v>
      </c>
      <c r="G176" s="12" t="s">
        <v>43</v>
      </c>
      <c r="H176" s="12" t="n">
        <v>3414</v>
      </c>
      <c r="I176" s="12" t="n">
        <v>21</v>
      </c>
      <c r="J176" s="12" t="s">
        <v>27</v>
      </c>
    </row>
    <row r="177" customFormat="false" ht="15" hidden="false" customHeight="true" outlineLevel="0" collapsed="false">
      <c r="A177" s="12" t="n">
        <v>176</v>
      </c>
      <c r="B177" s="12" t="n">
        <v>53</v>
      </c>
      <c r="C177" s="12" t="s">
        <v>44</v>
      </c>
      <c r="D177" s="12" t="n">
        <v>3</v>
      </c>
      <c r="E177" s="12" t="s">
        <v>41</v>
      </c>
      <c r="F177" s="12" t="s">
        <v>42</v>
      </c>
      <c r="G177" s="12" t="s">
        <v>42</v>
      </c>
      <c r="H177" s="12" t="n">
        <v>7485</v>
      </c>
      <c r="I177" s="12" t="n">
        <v>30</v>
      </c>
      <c r="J177" s="12" t="s">
        <v>23</v>
      </c>
    </row>
    <row r="178" customFormat="false" ht="15" hidden="false" customHeight="true" outlineLevel="0" collapsed="false">
      <c r="A178" s="12" t="n">
        <v>177</v>
      </c>
      <c r="B178" s="12" t="n">
        <v>42</v>
      </c>
      <c r="C178" s="12" t="s">
        <v>40</v>
      </c>
      <c r="D178" s="12" t="n">
        <v>2</v>
      </c>
      <c r="E178" s="12" t="s">
        <v>41</v>
      </c>
      <c r="F178" s="12" t="s">
        <v>43</v>
      </c>
      <c r="G178" s="12" t="s">
        <v>43</v>
      </c>
      <c r="H178" s="12" t="n">
        <v>2577</v>
      </c>
      <c r="I178" s="12" t="n">
        <v>12</v>
      </c>
      <c r="J178" s="12" t="s">
        <v>25</v>
      </c>
    </row>
    <row r="179" customFormat="false" ht="15" hidden="false" customHeight="true" outlineLevel="0" collapsed="false">
      <c r="A179" s="12" t="n">
        <v>178</v>
      </c>
      <c r="B179" s="12" t="n">
        <v>52</v>
      </c>
      <c r="C179" s="12" t="s">
        <v>40</v>
      </c>
      <c r="D179" s="12" t="n">
        <v>2</v>
      </c>
      <c r="E179" s="12" t="s">
        <v>41</v>
      </c>
      <c r="F179" s="12" t="s">
        <v>47</v>
      </c>
      <c r="G179" s="12" t="s">
        <v>43</v>
      </c>
      <c r="H179" s="12" t="n">
        <v>338</v>
      </c>
      <c r="I179" s="12" t="n">
        <v>6</v>
      </c>
      <c r="J179" s="12" t="s">
        <v>24</v>
      </c>
    </row>
    <row r="180" customFormat="false" ht="15" hidden="false" customHeight="true" outlineLevel="0" collapsed="false">
      <c r="A180" s="12" t="n">
        <v>179</v>
      </c>
      <c r="B180" s="12" t="n">
        <v>31</v>
      </c>
      <c r="C180" s="12" t="s">
        <v>40</v>
      </c>
      <c r="D180" s="12" t="n">
        <v>3</v>
      </c>
      <c r="E180" s="12" t="s">
        <v>48</v>
      </c>
      <c r="F180" s="12" t="s">
        <v>43</v>
      </c>
      <c r="G180" s="12" t="s">
        <v>42</v>
      </c>
      <c r="H180" s="12" t="n">
        <v>1963</v>
      </c>
      <c r="I180" s="12" t="n">
        <v>12</v>
      </c>
      <c r="J180" s="12" t="s">
        <v>24</v>
      </c>
    </row>
    <row r="181" customFormat="false" ht="15" hidden="false" customHeight="true" outlineLevel="0" collapsed="false">
      <c r="A181" s="12" t="n">
        <v>180</v>
      </c>
      <c r="B181" s="12" t="n">
        <v>65</v>
      </c>
      <c r="C181" s="12" t="s">
        <v>40</v>
      </c>
      <c r="D181" s="12" t="n">
        <v>2</v>
      </c>
      <c r="E181" s="12" t="s">
        <v>41</v>
      </c>
      <c r="F181" s="12" t="s">
        <v>43</v>
      </c>
      <c r="G181" s="12" t="s">
        <v>43</v>
      </c>
      <c r="H181" s="12" t="n">
        <v>571</v>
      </c>
      <c r="I181" s="12" t="n">
        <v>21</v>
      </c>
      <c r="J181" s="12" t="s">
        <v>23</v>
      </c>
    </row>
    <row r="182" customFormat="false" ht="15" hidden="false" customHeight="true" outlineLevel="0" collapsed="false">
      <c r="A182" s="12" t="n">
        <v>181</v>
      </c>
      <c r="B182" s="12" t="n">
        <v>28</v>
      </c>
      <c r="C182" s="12" t="s">
        <v>40</v>
      </c>
      <c r="D182" s="12" t="n">
        <v>2</v>
      </c>
      <c r="E182" s="12" t="s">
        <v>41</v>
      </c>
      <c r="F182" s="12" t="s">
        <v>43</v>
      </c>
      <c r="G182" s="12" t="s">
        <v>42</v>
      </c>
      <c r="H182" s="12" t="n">
        <v>9572</v>
      </c>
      <c r="I182" s="12" t="n">
        <v>36</v>
      </c>
      <c r="J182" s="12" t="s">
        <v>26</v>
      </c>
    </row>
    <row r="183" customFormat="false" ht="15" hidden="false" customHeight="true" outlineLevel="0" collapsed="false">
      <c r="A183" s="12" t="n">
        <v>182</v>
      </c>
      <c r="B183" s="12" t="n">
        <v>30</v>
      </c>
      <c r="C183" s="12" t="s">
        <v>40</v>
      </c>
      <c r="D183" s="12" t="n">
        <v>3</v>
      </c>
      <c r="E183" s="12" t="s">
        <v>41</v>
      </c>
      <c r="F183" s="12" t="s">
        <v>43</v>
      </c>
      <c r="G183" s="12" t="s">
        <v>45</v>
      </c>
      <c r="H183" s="12" t="n">
        <v>4455</v>
      </c>
      <c r="I183" s="12" t="n">
        <v>36</v>
      </c>
      <c r="J183" s="12" t="s">
        <v>26</v>
      </c>
    </row>
    <row r="184" customFormat="false" ht="15" hidden="false" customHeight="true" outlineLevel="0" collapsed="false">
      <c r="A184" s="12" t="n">
        <v>183</v>
      </c>
      <c r="B184" s="12" t="n">
        <v>40</v>
      </c>
      <c r="C184" s="12" t="s">
        <v>40</v>
      </c>
      <c r="D184" s="12" t="n">
        <v>1</v>
      </c>
      <c r="E184" s="12" t="s">
        <v>41</v>
      </c>
      <c r="F184" s="12" t="s">
        <v>42</v>
      </c>
      <c r="G184" s="12" t="s">
        <v>43</v>
      </c>
      <c r="H184" s="12" t="n">
        <v>1647</v>
      </c>
      <c r="I184" s="12" t="n">
        <v>21</v>
      </c>
      <c r="J184" s="12" t="s">
        <v>23</v>
      </c>
    </row>
    <row r="185" customFormat="false" ht="15" hidden="false" customHeight="true" outlineLevel="0" collapsed="false">
      <c r="A185" s="12" t="n">
        <v>184</v>
      </c>
      <c r="B185" s="12" t="n">
        <v>50</v>
      </c>
      <c r="C185" s="12" t="s">
        <v>40</v>
      </c>
      <c r="D185" s="12" t="n">
        <v>2</v>
      </c>
      <c r="E185" s="12" t="s">
        <v>41</v>
      </c>
      <c r="F185" s="12" t="s">
        <v>49</v>
      </c>
      <c r="G185" s="12" t="s">
        <v>42</v>
      </c>
      <c r="H185" s="12" t="n">
        <v>3777</v>
      </c>
      <c r="I185" s="12" t="n">
        <v>24</v>
      </c>
      <c r="J185" s="12" t="s">
        <v>25</v>
      </c>
    </row>
    <row r="186" customFormat="false" ht="15" hidden="false" customHeight="true" outlineLevel="0" collapsed="false">
      <c r="A186" s="12" t="n">
        <v>185</v>
      </c>
      <c r="B186" s="12" t="n">
        <v>36</v>
      </c>
      <c r="C186" s="12" t="s">
        <v>40</v>
      </c>
      <c r="D186" s="12" t="n">
        <v>2</v>
      </c>
      <c r="E186" s="12" t="s">
        <v>41</v>
      </c>
      <c r="F186" s="12" t="s">
        <v>43</v>
      </c>
      <c r="G186" s="12" t="s">
        <v>45</v>
      </c>
      <c r="H186" s="12" t="n">
        <v>884</v>
      </c>
      <c r="I186" s="12" t="n">
        <v>18</v>
      </c>
      <c r="J186" s="12" t="s">
        <v>23</v>
      </c>
    </row>
    <row r="187" customFormat="false" ht="15" hidden="false" customHeight="true" outlineLevel="0" collapsed="false">
      <c r="A187" s="12" t="n">
        <v>186</v>
      </c>
      <c r="B187" s="12" t="n">
        <v>31</v>
      </c>
      <c r="C187" s="12" t="s">
        <v>40</v>
      </c>
      <c r="D187" s="12" t="n">
        <v>2</v>
      </c>
      <c r="E187" s="12" t="s">
        <v>41</v>
      </c>
      <c r="F187" s="12" t="s">
        <v>43</v>
      </c>
      <c r="G187" s="12" t="s">
        <v>42</v>
      </c>
      <c r="H187" s="12" t="n">
        <v>1360</v>
      </c>
      <c r="I187" s="12" t="n">
        <v>15</v>
      </c>
      <c r="J187" s="12" t="s">
        <v>24</v>
      </c>
    </row>
    <row r="188" customFormat="false" ht="15" hidden="false" customHeight="true" outlineLevel="0" collapsed="false">
      <c r="A188" s="12" t="n">
        <v>187</v>
      </c>
      <c r="B188" s="12" t="n">
        <v>74</v>
      </c>
      <c r="C188" s="12" t="s">
        <v>44</v>
      </c>
      <c r="D188" s="12" t="n">
        <v>3</v>
      </c>
      <c r="E188" s="12" t="s">
        <v>46</v>
      </c>
      <c r="F188" s="12" t="s">
        <v>43</v>
      </c>
      <c r="G188" s="12" t="s">
        <v>45</v>
      </c>
      <c r="H188" s="12" t="n">
        <v>5129</v>
      </c>
      <c r="I188" s="12" t="n">
        <v>9</v>
      </c>
      <c r="J188" s="12" t="s">
        <v>23</v>
      </c>
    </row>
    <row r="189" customFormat="false" ht="15" hidden="false" customHeight="true" outlineLevel="0" collapsed="false">
      <c r="A189" s="12" t="n">
        <v>188</v>
      </c>
      <c r="B189" s="12" t="n">
        <v>68</v>
      </c>
      <c r="C189" s="12" t="s">
        <v>40</v>
      </c>
      <c r="D189" s="12" t="n">
        <v>0</v>
      </c>
      <c r="E189" s="12" t="s">
        <v>46</v>
      </c>
      <c r="F189" s="12" t="s">
        <v>43</v>
      </c>
      <c r="G189" s="12" t="s">
        <v>45</v>
      </c>
      <c r="H189" s="12" t="n">
        <v>1175</v>
      </c>
      <c r="I189" s="12" t="n">
        <v>16</v>
      </c>
      <c r="J189" s="12" t="s">
        <v>23</v>
      </c>
    </row>
    <row r="190" customFormat="false" ht="15" hidden="false" customHeight="true" outlineLevel="0" collapsed="false">
      <c r="A190" s="12" t="n">
        <v>189</v>
      </c>
      <c r="B190" s="12" t="n">
        <v>20</v>
      </c>
      <c r="C190" s="12" t="s">
        <v>40</v>
      </c>
      <c r="D190" s="12" t="n">
        <v>2</v>
      </c>
      <c r="E190" s="12" t="s">
        <v>41</v>
      </c>
      <c r="F190" s="12" t="s">
        <v>45</v>
      </c>
      <c r="G190" s="12" t="s">
        <v>43</v>
      </c>
      <c r="H190" s="12" t="n">
        <v>674</v>
      </c>
      <c r="I190" s="12" t="n">
        <v>12</v>
      </c>
      <c r="J190" s="12" t="s">
        <v>24</v>
      </c>
    </row>
    <row r="191" customFormat="false" ht="15" hidden="false" customHeight="true" outlineLevel="0" collapsed="false">
      <c r="A191" s="12" t="n">
        <v>190</v>
      </c>
      <c r="B191" s="12" t="n">
        <v>33</v>
      </c>
      <c r="C191" s="12" t="s">
        <v>44</v>
      </c>
      <c r="D191" s="12" t="n">
        <v>2</v>
      </c>
      <c r="E191" s="12" t="s">
        <v>41</v>
      </c>
      <c r="F191" s="12" t="s">
        <v>43</v>
      </c>
      <c r="G191" s="12" t="s">
        <v>45</v>
      </c>
      <c r="H191" s="12" t="n">
        <v>3244</v>
      </c>
      <c r="I191" s="12" t="n">
        <v>18</v>
      </c>
      <c r="J191" s="12" t="s">
        <v>25</v>
      </c>
    </row>
    <row r="192" customFormat="false" ht="15" hidden="false" customHeight="true" outlineLevel="0" collapsed="false">
      <c r="A192" s="12" t="n">
        <v>191</v>
      </c>
      <c r="B192" s="12" t="n">
        <v>54</v>
      </c>
      <c r="C192" s="12" t="s">
        <v>40</v>
      </c>
      <c r="D192" s="12" t="n">
        <v>3</v>
      </c>
      <c r="E192" s="12" t="s">
        <v>41</v>
      </c>
      <c r="F192" s="12" t="s">
        <v>49</v>
      </c>
      <c r="G192" s="12" t="s">
        <v>42</v>
      </c>
      <c r="H192" s="12" t="n">
        <v>4591</v>
      </c>
      <c r="I192" s="12" t="n">
        <v>24</v>
      </c>
      <c r="J192" s="12" t="s">
        <v>26</v>
      </c>
    </row>
    <row r="193" customFormat="false" ht="15" hidden="false" customHeight="true" outlineLevel="0" collapsed="false">
      <c r="A193" s="12" t="n">
        <v>192</v>
      </c>
      <c r="B193" s="12" t="n">
        <v>34</v>
      </c>
      <c r="C193" s="12" t="s">
        <v>40</v>
      </c>
      <c r="D193" s="12" t="n">
        <v>1</v>
      </c>
      <c r="E193" s="12" t="s">
        <v>46</v>
      </c>
      <c r="F193" s="12" t="s">
        <v>45</v>
      </c>
      <c r="G193" s="12" t="s">
        <v>45</v>
      </c>
      <c r="H193" s="12" t="n">
        <v>3844</v>
      </c>
      <c r="I193" s="12" t="n">
        <v>48</v>
      </c>
      <c r="J193" s="12" t="s">
        <v>26</v>
      </c>
    </row>
    <row r="194" customFormat="false" ht="15" hidden="false" customHeight="true" outlineLevel="0" collapsed="false">
      <c r="A194" s="12" t="n">
        <v>193</v>
      </c>
      <c r="B194" s="12" t="n">
        <v>36</v>
      </c>
      <c r="C194" s="12" t="s">
        <v>40</v>
      </c>
      <c r="D194" s="12" t="n">
        <v>2</v>
      </c>
      <c r="E194" s="12" t="s">
        <v>41</v>
      </c>
      <c r="F194" s="12" t="s">
        <v>43</v>
      </c>
      <c r="G194" s="12" t="s">
        <v>45</v>
      </c>
      <c r="H194" s="12" t="n">
        <v>3915</v>
      </c>
      <c r="I194" s="12" t="n">
        <v>27</v>
      </c>
      <c r="J194" s="12" t="s">
        <v>26</v>
      </c>
    </row>
    <row r="195" customFormat="false" ht="15" hidden="false" customHeight="true" outlineLevel="0" collapsed="false">
      <c r="A195" s="12" t="n">
        <v>194</v>
      </c>
      <c r="B195" s="12" t="n">
        <v>29</v>
      </c>
      <c r="C195" s="12" t="s">
        <v>40</v>
      </c>
      <c r="D195" s="12" t="n">
        <v>2</v>
      </c>
      <c r="E195" s="12" t="s">
        <v>48</v>
      </c>
      <c r="F195" s="12" t="s">
        <v>43</v>
      </c>
      <c r="G195" s="12" t="s">
        <v>42</v>
      </c>
      <c r="H195" s="12" t="n">
        <v>2108</v>
      </c>
      <c r="I195" s="12" t="n">
        <v>6</v>
      </c>
      <c r="J195" s="12" t="s">
        <v>24</v>
      </c>
    </row>
    <row r="196" customFormat="false" ht="15" hidden="false" customHeight="true" outlineLevel="0" collapsed="false">
      <c r="A196" s="12" t="n">
        <v>195</v>
      </c>
      <c r="B196" s="12" t="n">
        <v>21</v>
      </c>
      <c r="C196" s="12" t="s">
        <v>40</v>
      </c>
      <c r="D196" s="12" t="n">
        <v>2</v>
      </c>
      <c r="E196" s="12" t="s">
        <v>48</v>
      </c>
      <c r="F196" s="12" t="s">
        <v>45</v>
      </c>
      <c r="G196" s="12" t="s">
        <v>45</v>
      </c>
      <c r="H196" s="12" t="n">
        <v>3031</v>
      </c>
      <c r="I196" s="12" t="n">
        <v>45</v>
      </c>
      <c r="J196" s="12" t="s">
        <v>24</v>
      </c>
    </row>
    <row r="197" customFormat="false" ht="15" hidden="false" customHeight="true" outlineLevel="0" collapsed="false">
      <c r="A197" s="12" t="n">
        <v>196</v>
      </c>
      <c r="B197" s="12" t="n">
        <v>34</v>
      </c>
      <c r="C197" s="12" t="s">
        <v>44</v>
      </c>
      <c r="D197" s="12" t="n">
        <v>3</v>
      </c>
      <c r="E197" s="12" t="s">
        <v>41</v>
      </c>
      <c r="F197" s="12" t="s">
        <v>43</v>
      </c>
      <c r="G197" s="12" t="s">
        <v>45</v>
      </c>
      <c r="H197" s="12" t="n">
        <v>1501</v>
      </c>
      <c r="I197" s="12" t="n">
        <v>9</v>
      </c>
      <c r="J197" s="12" t="s">
        <v>27</v>
      </c>
    </row>
    <row r="198" customFormat="false" ht="15" hidden="false" customHeight="true" outlineLevel="0" collapsed="false">
      <c r="A198" s="12" t="n">
        <v>197</v>
      </c>
      <c r="B198" s="12" t="n">
        <v>28</v>
      </c>
      <c r="C198" s="12" t="s">
        <v>44</v>
      </c>
      <c r="D198" s="12" t="n">
        <v>2</v>
      </c>
      <c r="E198" s="12" t="s">
        <v>41</v>
      </c>
      <c r="F198" s="12" t="s">
        <v>43</v>
      </c>
      <c r="G198" s="12" t="s">
        <v>42</v>
      </c>
      <c r="H198" s="12" t="n">
        <v>1382</v>
      </c>
      <c r="I198" s="12" t="n">
        <v>6</v>
      </c>
      <c r="J198" s="12" t="s">
        <v>24</v>
      </c>
    </row>
    <row r="199" customFormat="false" ht="15" hidden="false" customHeight="true" outlineLevel="0" collapsed="false">
      <c r="A199" s="12" t="n">
        <v>198</v>
      </c>
      <c r="B199" s="12" t="n">
        <v>27</v>
      </c>
      <c r="C199" s="12" t="s">
        <v>44</v>
      </c>
      <c r="D199" s="12" t="n">
        <v>2</v>
      </c>
      <c r="E199" s="12" t="s">
        <v>48</v>
      </c>
      <c r="F199" s="12" t="s">
        <v>45</v>
      </c>
      <c r="G199" s="12" t="s">
        <v>45</v>
      </c>
      <c r="H199" s="12" t="n">
        <v>951</v>
      </c>
      <c r="I199" s="12" t="n">
        <v>12</v>
      </c>
      <c r="J199" s="12" t="s">
        <v>25</v>
      </c>
    </row>
    <row r="200" customFormat="false" ht="15" hidden="false" customHeight="true" outlineLevel="0" collapsed="false">
      <c r="A200" s="12" t="n">
        <v>199</v>
      </c>
      <c r="B200" s="12" t="n">
        <v>36</v>
      </c>
      <c r="C200" s="12" t="s">
        <v>40</v>
      </c>
      <c r="D200" s="12" t="n">
        <v>2</v>
      </c>
      <c r="E200" s="12" t="s">
        <v>46</v>
      </c>
      <c r="F200" s="12" t="s">
        <v>42</v>
      </c>
      <c r="G200" s="12" t="s">
        <v>45</v>
      </c>
      <c r="H200" s="12" t="n">
        <v>2760</v>
      </c>
      <c r="I200" s="12" t="n">
        <v>24</v>
      </c>
      <c r="J200" s="12" t="s">
        <v>23</v>
      </c>
    </row>
    <row r="201" customFormat="false" ht="15" hidden="false" customHeight="true" outlineLevel="0" collapsed="false">
      <c r="A201" s="12" t="n">
        <v>200</v>
      </c>
      <c r="B201" s="12" t="n">
        <v>40</v>
      </c>
      <c r="C201" s="12" t="s">
        <v>40</v>
      </c>
      <c r="D201" s="12" t="n">
        <v>3</v>
      </c>
      <c r="E201" s="12" t="s">
        <v>41</v>
      </c>
      <c r="F201" s="12" t="s">
        <v>43</v>
      </c>
      <c r="G201" s="12" t="s">
        <v>45</v>
      </c>
      <c r="H201" s="12" t="n">
        <v>4297</v>
      </c>
      <c r="I201" s="12" t="n">
        <v>18</v>
      </c>
      <c r="J201" s="12" t="s">
        <v>25</v>
      </c>
    </row>
    <row r="202" customFormat="false" ht="15" hidden="false" customHeight="true" outlineLevel="0" collapsed="false">
      <c r="A202" s="12" t="n">
        <v>201</v>
      </c>
      <c r="B202" s="12" t="n">
        <v>52</v>
      </c>
      <c r="C202" s="12" t="s">
        <v>40</v>
      </c>
      <c r="D202" s="12" t="n">
        <v>2</v>
      </c>
      <c r="E202" s="12" t="s">
        <v>41</v>
      </c>
      <c r="F202" s="12" t="s">
        <v>47</v>
      </c>
      <c r="G202" s="12" t="s">
        <v>42</v>
      </c>
      <c r="H202" s="12" t="n">
        <v>936</v>
      </c>
      <c r="I202" s="12" t="n">
        <v>9</v>
      </c>
      <c r="J202" s="12" t="s">
        <v>27</v>
      </c>
    </row>
    <row r="203" customFormat="false" ht="15" hidden="false" customHeight="true" outlineLevel="0" collapsed="false">
      <c r="A203" s="12" t="n">
        <v>202</v>
      </c>
      <c r="B203" s="12" t="n">
        <v>27</v>
      </c>
      <c r="C203" s="12" t="s">
        <v>40</v>
      </c>
      <c r="D203" s="12" t="n">
        <v>1</v>
      </c>
      <c r="E203" s="12" t="s">
        <v>41</v>
      </c>
      <c r="F203" s="12" t="s">
        <v>43</v>
      </c>
      <c r="G203" s="12" t="s">
        <v>43</v>
      </c>
      <c r="H203" s="12" t="n">
        <v>1168</v>
      </c>
      <c r="I203" s="12" t="n">
        <v>12</v>
      </c>
      <c r="J203" s="12" t="s">
        <v>23</v>
      </c>
    </row>
    <row r="204" customFormat="false" ht="15" hidden="false" customHeight="true" outlineLevel="0" collapsed="false">
      <c r="A204" s="12" t="n">
        <v>203</v>
      </c>
      <c r="B204" s="12" t="n">
        <v>26</v>
      </c>
      <c r="C204" s="12" t="s">
        <v>40</v>
      </c>
      <c r="D204" s="12" t="n">
        <v>2</v>
      </c>
      <c r="E204" s="12" t="s">
        <v>41</v>
      </c>
      <c r="F204" s="12" t="s">
        <v>43</v>
      </c>
      <c r="G204" s="12" t="s">
        <v>42</v>
      </c>
      <c r="H204" s="12" t="n">
        <v>5117</v>
      </c>
      <c r="I204" s="12" t="n">
        <v>27</v>
      </c>
      <c r="J204" s="12" t="s">
        <v>26</v>
      </c>
    </row>
    <row r="205" customFormat="false" ht="15" hidden="false" customHeight="true" outlineLevel="0" collapsed="false">
      <c r="A205" s="12" t="n">
        <v>204</v>
      </c>
      <c r="B205" s="12" t="n">
        <v>21</v>
      </c>
      <c r="C205" s="12" t="s">
        <v>40</v>
      </c>
      <c r="D205" s="12" t="n">
        <v>2</v>
      </c>
      <c r="E205" s="12" t="s">
        <v>48</v>
      </c>
      <c r="F205" s="12" t="s">
        <v>43</v>
      </c>
      <c r="G205" s="12" t="s">
        <v>43</v>
      </c>
      <c r="H205" s="12" t="n">
        <v>902</v>
      </c>
      <c r="I205" s="12" t="n">
        <v>12</v>
      </c>
      <c r="J205" s="12" t="s">
        <v>27</v>
      </c>
    </row>
    <row r="206" customFormat="false" ht="15" hidden="false" customHeight="true" outlineLevel="0" collapsed="false">
      <c r="A206" s="12" t="n">
        <v>205</v>
      </c>
      <c r="B206" s="12" t="n">
        <v>38</v>
      </c>
      <c r="C206" s="12" t="s">
        <v>40</v>
      </c>
      <c r="D206" s="12" t="n">
        <v>1</v>
      </c>
      <c r="E206" s="12" t="s">
        <v>41</v>
      </c>
      <c r="F206" s="12" t="s">
        <v>43</v>
      </c>
      <c r="G206" s="12" t="s">
        <v>42</v>
      </c>
      <c r="H206" s="12" t="n">
        <v>1495</v>
      </c>
      <c r="I206" s="12" t="n">
        <v>12</v>
      </c>
      <c r="J206" s="12" t="s">
        <v>23</v>
      </c>
    </row>
    <row r="207" customFormat="false" ht="15" hidden="false" customHeight="true" outlineLevel="0" collapsed="false">
      <c r="A207" s="12" t="n">
        <v>206</v>
      </c>
      <c r="B207" s="12" t="n">
        <v>38</v>
      </c>
      <c r="C207" s="12" t="s">
        <v>40</v>
      </c>
      <c r="D207" s="12" t="n">
        <v>3</v>
      </c>
      <c r="E207" s="12" t="s">
        <v>46</v>
      </c>
      <c r="F207" s="12" t="s">
        <v>43</v>
      </c>
      <c r="G207" s="12" t="s">
        <v>43</v>
      </c>
      <c r="H207" s="12" t="n">
        <v>10623</v>
      </c>
      <c r="I207" s="12" t="n">
        <v>30</v>
      </c>
      <c r="J207" s="12" t="s">
        <v>23</v>
      </c>
    </row>
    <row r="208" customFormat="false" ht="15" hidden="false" customHeight="true" outlineLevel="0" collapsed="false">
      <c r="A208" s="12" t="n">
        <v>207</v>
      </c>
      <c r="B208" s="12" t="n">
        <v>43</v>
      </c>
      <c r="C208" s="12" t="s">
        <v>40</v>
      </c>
      <c r="D208" s="12" t="n">
        <v>2</v>
      </c>
      <c r="E208" s="12" t="s">
        <v>41</v>
      </c>
      <c r="F208" s="12" t="s">
        <v>43</v>
      </c>
      <c r="G208" s="12" t="s">
        <v>42</v>
      </c>
      <c r="H208" s="12" t="n">
        <v>1935</v>
      </c>
      <c r="I208" s="12" t="n">
        <v>12</v>
      </c>
      <c r="J208" s="12" t="s">
        <v>25</v>
      </c>
    </row>
    <row r="209" customFormat="false" ht="15" hidden="false" customHeight="true" outlineLevel="0" collapsed="false">
      <c r="A209" s="12" t="n">
        <v>208</v>
      </c>
      <c r="B209" s="12" t="n">
        <v>26</v>
      </c>
      <c r="C209" s="12" t="s">
        <v>40</v>
      </c>
      <c r="D209" s="12" t="n">
        <v>2</v>
      </c>
      <c r="E209" s="12" t="s">
        <v>41</v>
      </c>
      <c r="F209" s="12" t="s">
        <v>43</v>
      </c>
      <c r="G209" s="12" t="s">
        <v>45</v>
      </c>
      <c r="H209" s="12" t="n">
        <v>1424</v>
      </c>
      <c r="I209" s="12" t="n">
        <v>12</v>
      </c>
      <c r="J209" s="12" t="s">
        <v>29</v>
      </c>
    </row>
    <row r="210" customFormat="false" ht="15" hidden="false" customHeight="true" outlineLevel="0" collapsed="false">
      <c r="A210" s="12" t="n">
        <v>209</v>
      </c>
      <c r="B210" s="12" t="n">
        <v>21</v>
      </c>
      <c r="C210" s="12" t="s">
        <v>40</v>
      </c>
      <c r="D210" s="12" t="n">
        <v>1</v>
      </c>
      <c r="E210" s="12" t="s">
        <v>41</v>
      </c>
      <c r="F210" s="12" t="s">
        <v>43</v>
      </c>
      <c r="G210" s="12" t="s">
        <v>43</v>
      </c>
      <c r="H210" s="12" t="n">
        <v>6568</v>
      </c>
      <c r="I210" s="12" t="n">
        <v>24</v>
      </c>
      <c r="J210" s="12" t="s">
        <v>26</v>
      </c>
    </row>
    <row r="211" customFormat="false" ht="15" hidden="false" customHeight="true" outlineLevel="0" collapsed="false">
      <c r="A211" s="12" t="n">
        <v>210</v>
      </c>
      <c r="B211" s="12" t="n">
        <v>55</v>
      </c>
      <c r="C211" s="12" t="s">
        <v>40</v>
      </c>
      <c r="D211" s="12" t="n">
        <v>2</v>
      </c>
      <c r="E211" s="12" t="s">
        <v>41</v>
      </c>
      <c r="F211" s="12" t="s">
        <v>49</v>
      </c>
      <c r="G211" s="12" t="s">
        <v>42</v>
      </c>
      <c r="H211" s="12" t="n">
        <v>1413</v>
      </c>
      <c r="I211" s="12" t="n">
        <v>12</v>
      </c>
      <c r="J211" s="12" t="s">
        <v>23</v>
      </c>
    </row>
    <row r="212" customFormat="false" ht="15" hidden="false" customHeight="true" outlineLevel="0" collapsed="false">
      <c r="A212" s="12" t="n">
        <v>211</v>
      </c>
      <c r="B212" s="12" t="n">
        <v>33</v>
      </c>
      <c r="C212" s="12" t="s">
        <v>40</v>
      </c>
      <c r="D212" s="12" t="n">
        <v>2</v>
      </c>
      <c r="E212" s="12" t="s">
        <v>41</v>
      </c>
      <c r="F212" s="12" t="s">
        <v>42</v>
      </c>
      <c r="G212" s="12" t="s">
        <v>42</v>
      </c>
      <c r="H212" s="12" t="n">
        <v>3074</v>
      </c>
      <c r="I212" s="12" t="n">
        <v>9</v>
      </c>
      <c r="J212" s="12" t="s">
        <v>24</v>
      </c>
    </row>
    <row r="213" customFormat="false" ht="15" hidden="false" customHeight="true" outlineLevel="0" collapsed="false">
      <c r="A213" s="12" t="n">
        <v>212</v>
      </c>
      <c r="B213" s="12" t="n">
        <v>45</v>
      </c>
      <c r="C213" s="12" t="s">
        <v>44</v>
      </c>
      <c r="D213" s="12" t="n">
        <v>1</v>
      </c>
      <c r="E213" s="12" t="s">
        <v>41</v>
      </c>
      <c r="F213" s="12" t="s">
        <v>42</v>
      </c>
      <c r="G213" s="12" t="s">
        <v>42</v>
      </c>
      <c r="H213" s="12" t="n">
        <v>3835</v>
      </c>
      <c r="I213" s="12" t="n">
        <v>36</v>
      </c>
      <c r="J213" s="12" t="s">
        <v>24</v>
      </c>
    </row>
    <row r="214" customFormat="false" ht="15" hidden="false" customHeight="true" outlineLevel="0" collapsed="false">
      <c r="A214" s="12" t="n">
        <v>213</v>
      </c>
      <c r="B214" s="12" t="n">
        <v>50</v>
      </c>
      <c r="C214" s="12" t="s">
        <v>40</v>
      </c>
      <c r="D214" s="12" t="n">
        <v>2</v>
      </c>
      <c r="E214" s="12" t="s">
        <v>41</v>
      </c>
      <c r="F214" s="12" t="s">
        <v>43</v>
      </c>
      <c r="G214" s="12" t="s">
        <v>43</v>
      </c>
      <c r="H214" s="12" t="n">
        <v>5293</v>
      </c>
      <c r="I214" s="12" t="n">
        <v>27</v>
      </c>
      <c r="J214" s="12" t="s">
        <v>26</v>
      </c>
    </row>
    <row r="215" customFormat="false" ht="15" hidden="false" customHeight="true" outlineLevel="0" collapsed="false">
      <c r="A215" s="12" t="n">
        <v>214</v>
      </c>
      <c r="B215" s="12" t="n">
        <v>66</v>
      </c>
      <c r="C215" s="12" t="s">
        <v>40</v>
      </c>
      <c r="D215" s="12" t="n">
        <v>3</v>
      </c>
      <c r="E215" s="12" t="s">
        <v>41</v>
      </c>
      <c r="F215" s="12" t="s">
        <v>43</v>
      </c>
      <c r="G215" s="12" t="s">
        <v>49</v>
      </c>
      <c r="H215" s="12" t="n">
        <v>1908</v>
      </c>
      <c r="I215" s="12" t="n">
        <v>30</v>
      </c>
      <c r="J215" s="12" t="s">
        <v>26</v>
      </c>
    </row>
    <row r="216" customFormat="false" ht="15" hidden="false" customHeight="true" outlineLevel="0" collapsed="false">
      <c r="A216" s="12" t="n">
        <v>215</v>
      </c>
      <c r="B216" s="12" t="n">
        <v>51</v>
      </c>
      <c r="C216" s="12" t="s">
        <v>40</v>
      </c>
      <c r="D216" s="12" t="n">
        <v>2</v>
      </c>
      <c r="E216" s="12" t="s">
        <v>41</v>
      </c>
      <c r="F216" s="12" t="s">
        <v>42</v>
      </c>
      <c r="G216" s="12" t="s">
        <v>42</v>
      </c>
      <c r="H216" s="12" t="n">
        <v>3342</v>
      </c>
      <c r="I216" s="12" t="n">
        <v>36</v>
      </c>
      <c r="J216" s="12" t="s">
        <v>24</v>
      </c>
    </row>
    <row r="217" customFormat="false" ht="15" hidden="false" customHeight="true" outlineLevel="0" collapsed="false">
      <c r="A217" s="12" t="n">
        <v>216</v>
      </c>
      <c r="B217" s="12" t="n">
        <v>39</v>
      </c>
      <c r="C217" s="12" t="s">
        <v>44</v>
      </c>
      <c r="D217" s="12" t="n">
        <v>1</v>
      </c>
      <c r="E217" s="12" t="s">
        <v>41</v>
      </c>
      <c r="F217" s="12" t="s">
        <v>42</v>
      </c>
      <c r="G217" s="12" t="s">
        <v>45</v>
      </c>
      <c r="H217" s="12" t="n">
        <v>932</v>
      </c>
      <c r="I217" s="12" t="n">
        <v>6</v>
      </c>
      <c r="J217" s="12" t="s">
        <v>27</v>
      </c>
    </row>
    <row r="218" customFormat="false" ht="15" hidden="false" customHeight="true" outlineLevel="0" collapsed="false">
      <c r="A218" s="12" t="n">
        <v>217</v>
      </c>
      <c r="B218" s="12" t="n">
        <v>31</v>
      </c>
      <c r="C218" s="12" t="s">
        <v>40</v>
      </c>
      <c r="D218" s="12" t="n">
        <v>2</v>
      </c>
      <c r="E218" s="12" t="s">
        <v>41</v>
      </c>
      <c r="F218" s="12" t="s">
        <v>43</v>
      </c>
      <c r="G218" s="12" t="s">
        <v>43</v>
      </c>
      <c r="H218" s="12" t="n">
        <v>3104</v>
      </c>
      <c r="I218" s="12" t="n">
        <v>18</v>
      </c>
      <c r="J218" s="12" t="s">
        <v>26</v>
      </c>
    </row>
    <row r="219" customFormat="false" ht="15" hidden="false" customHeight="true" outlineLevel="0" collapsed="false">
      <c r="A219" s="12" t="n">
        <v>218</v>
      </c>
      <c r="B219" s="12" t="n">
        <v>23</v>
      </c>
      <c r="C219" s="12" t="s">
        <v>40</v>
      </c>
      <c r="D219" s="12" t="n">
        <v>2</v>
      </c>
      <c r="E219" s="12" t="s">
        <v>41</v>
      </c>
      <c r="F219" s="12" t="s">
        <v>43</v>
      </c>
      <c r="G219" s="12" t="s">
        <v>49</v>
      </c>
      <c r="H219" s="12" t="n">
        <v>3913</v>
      </c>
      <c r="I219" s="12" t="n">
        <v>36</v>
      </c>
      <c r="J219" s="12" t="s">
        <v>24</v>
      </c>
    </row>
    <row r="220" customFormat="false" ht="15" hidden="false" customHeight="true" outlineLevel="0" collapsed="false">
      <c r="A220" s="12" t="n">
        <v>219</v>
      </c>
      <c r="B220" s="12" t="n">
        <v>24</v>
      </c>
      <c r="C220" s="12" t="s">
        <v>40</v>
      </c>
      <c r="D220" s="12" t="n">
        <v>1</v>
      </c>
      <c r="E220" s="12" t="s">
        <v>48</v>
      </c>
      <c r="F220" s="12" t="s">
        <v>43</v>
      </c>
      <c r="G220" s="12" t="s">
        <v>43</v>
      </c>
      <c r="H220" s="12" t="n">
        <v>3021</v>
      </c>
      <c r="I220" s="12" t="n">
        <v>24</v>
      </c>
      <c r="J220" s="12" t="s">
        <v>25</v>
      </c>
    </row>
    <row r="221" customFormat="false" ht="15" hidden="false" customHeight="true" outlineLevel="0" collapsed="false">
      <c r="A221" s="12" t="n">
        <v>220</v>
      </c>
      <c r="B221" s="12" t="n">
        <v>64</v>
      </c>
      <c r="C221" s="12" t="s">
        <v>44</v>
      </c>
      <c r="D221" s="12" t="n">
        <v>2</v>
      </c>
      <c r="E221" s="12" t="s">
        <v>41</v>
      </c>
      <c r="F221" s="12" t="s">
        <v>43</v>
      </c>
      <c r="G221" s="12" t="s">
        <v>42</v>
      </c>
      <c r="H221" s="12" t="n">
        <v>1364</v>
      </c>
      <c r="I221" s="12" t="n">
        <v>10</v>
      </c>
      <c r="J221" s="12" t="s">
        <v>23</v>
      </c>
    </row>
    <row r="222" customFormat="false" ht="15" hidden="false" customHeight="true" outlineLevel="0" collapsed="false">
      <c r="A222" s="12" t="n">
        <v>221</v>
      </c>
      <c r="B222" s="12" t="n">
        <v>26</v>
      </c>
      <c r="C222" s="12" t="s">
        <v>40</v>
      </c>
      <c r="D222" s="12" t="n">
        <v>1</v>
      </c>
      <c r="E222" s="12" t="s">
        <v>41</v>
      </c>
      <c r="F222" s="12" t="s">
        <v>43</v>
      </c>
      <c r="G222" s="12" t="s">
        <v>45</v>
      </c>
      <c r="H222" s="12" t="n">
        <v>625</v>
      </c>
      <c r="I222" s="12" t="n">
        <v>12</v>
      </c>
      <c r="J222" s="12" t="s">
        <v>24</v>
      </c>
    </row>
    <row r="223" customFormat="false" ht="15" hidden="false" customHeight="true" outlineLevel="0" collapsed="false">
      <c r="A223" s="12" t="n">
        <v>222</v>
      </c>
      <c r="B223" s="12" t="n">
        <v>23</v>
      </c>
      <c r="C223" s="12" t="s">
        <v>44</v>
      </c>
      <c r="D223" s="12" t="n">
        <v>2</v>
      </c>
      <c r="E223" s="12" t="s">
        <v>48</v>
      </c>
      <c r="F223" s="12" t="s">
        <v>42</v>
      </c>
      <c r="G223" s="12" t="s">
        <v>43</v>
      </c>
      <c r="H223" s="12" t="n">
        <v>1200</v>
      </c>
      <c r="I223" s="12" t="n">
        <v>12</v>
      </c>
      <c r="J223" s="12" t="s">
        <v>27</v>
      </c>
    </row>
    <row r="224" customFormat="false" ht="15" hidden="false" customHeight="true" outlineLevel="0" collapsed="false">
      <c r="A224" s="12" t="n">
        <v>223</v>
      </c>
      <c r="B224" s="12" t="n">
        <v>30</v>
      </c>
      <c r="C224" s="12" t="s">
        <v>40</v>
      </c>
      <c r="D224" s="12" t="n">
        <v>2</v>
      </c>
      <c r="E224" s="12" t="s">
        <v>41</v>
      </c>
      <c r="F224" s="12" t="s">
        <v>43</v>
      </c>
      <c r="G224" s="12" t="s">
        <v>42</v>
      </c>
      <c r="H224" s="12" t="n">
        <v>707</v>
      </c>
      <c r="I224" s="12" t="n">
        <v>12</v>
      </c>
      <c r="J224" s="12" t="s">
        <v>24</v>
      </c>
    </row>
    <row r="225" customFormat="false" ht="15" hidden="false" customHeight="true" outlineLevel="0" collapsed="false">
      <c r="A225" s="12" t="n">
        <v>224</v>
      </c>
      <c r="B225" s="12" t="n">
        <v>32</v>
      </c>
      <c r="C225" s="12" t="s">
        <v>40</v>
      </c>
      <c r="D225" s="12" t="n">
        <v>2</v>
      </c>
      <c r="E225" s="12" t="s">
        <v>41</v>
      </c>
      <c r="F225" s="12" t="s">
        <v>42</v>
      </c>
      <c r="G225" s="12" t="s">
        <v>42</v>
      </c>
      <c r="H225" s="12" t="n">
        <v>2978</v>
      </c>
      <c r="I225" s="12" t="n">
        <v>24</v>
      </c>
      <c r="J225" s="12" t="s">
        <v>26</v>
      </c>
    </row>
    <row r="226" customFormat="false" ht="15" hidden="false" customHeight="true" outlineLevel="0" collapsed="false">
      <c r="A226" s="12" t="n">
        <v>225</v>
      </c>
      <c r="B226" s="12" t="n">
        <v>30</v>
      </c>
      <c r="C226" s="12" t="s">
        <v>40</v>
      </c>
      <c r="D226" s="12" t="n">
        <v>2</v>
      </c>
      <c r="E226" s="12" t="s">
        <v>41</v>
      </c>
      <c r="F226" s="12" t="s">
        <v>43</v>
      </c>
      <c r="G226" s="12" t="s">
        <v>42</v>
      </c>
      <c r="H226" s="12" t="n">
        <v>4657</v>
      </c>
      <c r="I226" s="12" t="n">
        <v>15</v>
      </c>
      <c r="J226" s="12" t="s">
        <v>23</v>
      </c>
    </row>
    <row r="227" customFormat="false" ht="15" hidden="false" customHeight="true" outlineLevel="0" collapsed="false">
      <c r="A227" s="12" t="n">
        <v>226</v>
      </c>
      <c r="B227" s="12" t="n">
        <v>27</v>
      </c>
      <c r="C227" s="12" t="s">
        <v>40</v>
      </c>
      <c r="D227" s="12" t="n">
        <v>2</v>
      </c>
      <c r="E227" s="12" t="s">
        <v>41</v>
      </c>
      <c r="F227" s="12" t="s">
        <v>43</v>
      </c>
      <c r="G227" s="12" t="s">
        <v>42</v>
      </c>
      <c r="H227" s="12" t="n">
        <v>2613</v>
      </c>
      <c r="I227" s="12" t="n">
        <v>36</v>
      </c>
      <c r="J227" s="12" t="s">
        <v>28</v>
      </c>
    </row>
    <row r="228" customFormat="false" ht="15" hidden="false" customHeight="true" outlineLevel="0" collapsed="false">
      <c r="A228" s="12" t="n">
        <v>227</v>
      </c>
      <c r="B228" s="12" t="n">
        <v>27</v>
      </c>
      <c r="C228" s="12" t="s">
        <v>40</v>
      </c>
      <c r="D228" s="12" t="n">
        <v>2</v>
      </c>
      <c r="E228" s="12" t="s">
        <v>41</v>
      </c>
      <c r="F228" s="12" t="s">
        <v>49</v>
      </c>
      <c r="G228" s="12" t="s">
        <v>45</v>
      </c>
      <c r="H228" s="12" t="n">
        <v>10961</v>
      </c>
      <c r="I228" s="12" t="n">
        <v>48</v>
      </c>
      <c r="J228" s="12" t="s">
        <v>24</v>
      </c>
    </row>
    <row r="229" customFormat="false" ht="15" hidden="false" customHeight="true" outlineLevel="0" collapsed="false">
      <c r="A229" s="12" t="n">
        <v>228</v>
      </c>
      <c r="B229" s="12" t="n">
        <v>53</v>
      </c>
      <c r="C229" s="12" t="s">
        <v>40</v>
      </c>
      <c r="D229" s="12" t="n">
        <v>3</v>
      </c>
      <c r="E229" s="12" t="s">
        <v>46</v>
      </c>
      <c r="F229" s="12" t="s">
        <v>43</v>
      </c>
      <c r="G229" s="12" t="s">
        <v>43</v>
      </c>
      <c r="H229" s="12" t="n">
        <v>7865</v>
      </c>
      <c r="I229" s="12" t="n">
        <v>12</v>
      </c>
      <c r="J229" s="12" t="s">
        <v>25</v>
      </c>
    </row>
    <row r="230" customFormat="false" ht="15" hidden="false" customHeight="true" outlineLevel="0" collapsed="false">
      <c r="A230" s="12" t="n">
        <v>229</v>
      </c>
      <c r="B230" s="12" t="n">
        <v>22</v>
      </c>
      <c r="C230" s="12" t="s">
        <v>40</v>
      </c>
      <c r="D230" s="12" t="n">
        <v>2</v>
      </c>
      <c r="E230" s="12" t="s">
        <v>41</v>
      </c>
      <c r="F230" s="12" t="s">
        <v>43</v>
      </c>
      <c r="G230" s="12" t="s">
        <v>42</v>
      </c>
      <c r="H230" s="12" t="n">
        <v>1478</v>
      </c>
      <c r="I230" s="12" t="n">
        <v>9</v>
      </c>
      <c r="J230" s="12" t="s">
        <v>24</v>
      </c>
    </row>
    <row r="231" customFormat="false" ht="15" hidden="false" customHeight="true" outlineLevel="0" collapsed="false">
      <c r="A231" s="12" t="n">
        <v>230</v>
      </c>
      <c r="B231" s="12" t="n">
        <v>22</v>
      </c>
      <c r="C231" s="12" t="s">
        <v>40</v>
      </c>
      <c r="D231" s="12" t="n">
        <v>2</v>
      </c>
      <c r="E231" s="12" t="s">
        <v>46</v>
      </c>
      <c r="F231" s="12" t="s">
        <v>43</v>
      </c>
      <c r="G231" s="12" t="s">
        <v>43</v>
      </c>
      <c r="H231" s="12" t="n">
        <v>3149</v>
      </c>
      <c r="I231" s="12" t="n">
        <v>24</v>
      </c>
      <c r="J231" s="12" t="s">
        <v>25</v>
      </c>
    </row>
    <row r="232" customFormat="false" ht="15" hidden="false" customHeight="true" outlineLevel="0" collapsed="false">
      <c r="A232" s="12" t="n">
        <v>231</v>
      </c>
      <c r="B232" s="12" t="n">
        <v>26</v>
      </c>
      <c r="C232" s="12" t="s">
        <v>40</v>
      </c>
      <c r="D232" s="12" t="n">
        <v>2</v>
      </c>
      <c r="E232" s="12" t="s">
        <v>41</v>
      </c>
      <c r="F232" s="12" t="s">
        <v>43</v>
      </c>
      <c r="G232" s="12" t="s">
        <v>49</v>
      </c>
      <c r="H232" s="12" t="n">
        <v>4210</v>
      </c>
      <c r="I232" s="12" t="n">
        <v>36</v>
      </c>
      <c r="J232" s="12" t="s">
        <v>24</v>
      </c>
    </row>
    <row r="233" customFormat="false" ht="15" hidden="false" customHeight="true" outlineLevel="0" collapsed="false">
      <c r="A233" s="12" t="n">
        <v>232</v>
      </c>
      <c r="B233" s="12" t="n">
        <v>51</v>
      </c>
      <c r="C233" s="12" t="s">
        <v>40</v>
      </c>
      <c r="D233" s="12" t="n">
        <v>1</v>
      </c>
      <c r="E233" s="12" t="s">
        <v>46</v>
      </c>
      <c r="F233" s="12" t="s">
        <v>47</v>
      </c>
      <c r="G233" s="12" t="s">
        <v>42</v>
      </c>
      <c r="H233" s="12" t="n">
        <v>2507</v>
      </c>
      <c r="I233" s="12" t="n">
        <v>9</v>
      </c>
      <c r="J233" s="12" t="s">
        <v>23</v>
      </c>
    </row>
    <row r="234" customFormat="false" ht="15" hidden="false" customHeight="true" outlineLevel="0" collapsed="false">
      <c r="A234" s="12" t="n">
        <v>233</v>
      </c>
      <c r="B234" s="12" t="n">
        <v>35</v>
      </c>
      <c r="C234" s="12" t="s">
        <v>40</v>
      </c>
      <c r="D234" s="12" t="n">
        <v>2</v>
      </c>
      <c r="E234" s="12" t="s">
        <v>41</v>
      </c>
      <c r="F234" s="12" t="s">
        <v>45</v>
      </c>
      <c r="G234" s="12" t="s">
        <v>42</v>
      </c>
      <c r="H234" s="12" t="n">
        <v>2141</v>
      </c>
      <c r="I234" s="12" t="n">
        <v>12</v>
      </c>
      <c r="J234" s="12" t="s">
        <v>24</v>
      </c>
    </row>
    <row r="235" customFormat="false" ht="15" hidden="false" customHeight="true" outlineLevel="0" collapsed="false">
      <c r="A235" s="12" t="n">
        <v>234</v>
      </c>
      <c r="B235" s="12" t="n">
        <v>25</v>
      </c>
      <c r="C235" s="12" t="s">
        <v>40</v>
      </c>
      <c r="D235" s="12" t="n">
        <v>1</v>
      </c>
      <c r="E235" s="12" t="s">
        <v>41</v>
      </c>
      <c r="F235" s="12" t="s">
        <v>43</v>
      </c>
      <c r="G235" s="12" t="s">
        <v>45</v>
      </c>
      <c r="H235" s="12" t="n">
        <v>866</v>
      </c>
      <c r="I235" s="12" t="n">
        <v>18</v>
      </c>
      <c r="J235" s="12" t="s">
        <v>24</v>
      </c>
    </row>
    <row r="236" customFormat="false" ht="15" hidden="false" customHeight="true" outlineLevel="0" collapsed="false">
      <c r="A236" s="12" t="n">
        <v>235</v>
      </c>
      <c r="B236" s="12" t="n">
        <v>42</v>
      </c>
      <c r="C236" s="12" t="s">
        <v>40</v>
      </c>
      <c r="D236" s="12" t="n">
        <v>1</v>
      </c>
      <c r="E236" s="12" t="s">
        <v>41</v>
      </c>
      <c r="F236" s="12" t="s">
        <v>43</v>
      </c>
      <c r="G236" s="12" t="s">
        <v>42</v>
      </c>
      <c r="H236" s="12" t="n">
        <v>1544</v>
      </c>
      <c r="I236" s="12" t="n">
        <v>4</v>
      </c>
      <c r="J236" s="12" t="s">
        <v>24</v>
      </c>
    </row>
    <row r="237" customFormat="false" ht="15" hidden="false" customHeight="true" outlineLevel="0" collapsed="false">
      <c r="A237" s="12" t="n">
        <v>236</v>
      </c>
      <c r="B237" s="12" t="n">
        <v>30</v>
      </c>
      <c r="C237" s="12" t="s">
        <v>40</v>
      </c>
      <c r="D237" s="12" t="n">
        <v>3</v>
      </c>
      <c r="E237" s="12" t="s">
        <v>41</v>
      </c>
      <c r="F237" s="12" t="s">
        <v>43</v>
      </c>
      <c r="G237" s="12" t="s">
        <v>43</v>
      </c>
      <c r="H237" s="12" t="n">
        <v>1823</v>
      </c>
      <c r="I237" s="12" t="n">
        <v>24</v>
      </c>
      <c r="J237" s="12" t="s">
        <v>24</v>
      </c>
    </row>
    <row r="238" customFormat="false" ht="15" hidden="false" customHeight="true" outlineLevel="0" collapsed="false">
      <c r="A238" s="12" t="n">
        <v>237</v>
      </c>
      <c r="B238" s="12" t="n">
        <v>23</v>
      </c>
      <c r="C238" s="12" t="s">
        <v>40</v>
      </c>
      <c r="D238" s="12" t="n">
        <v>0</v>
      </c>
      <c r="E238" s="12" t="s">
        <v>41</v>
      </c>
      <c r="F238" s="12" t="s">
        <v>42</v>
      </c>
      <c r="G238" s="12" t="s">
        <v>45</v>
      </c>
      <c r="H238" s="12" t="n">
        <v>14555</v>
      </c>
      <c r="I238" s="12" t="n">
        <v>6</v>
      </c>
      <c r="J238" s="12" t="s">
        <v>23</v>
      </c>
    </row>
    <row r="239" customFormat="false" ht="15" hidden="false" customHeight="true" outlineLevel="0" collapsed="false">
      <c r="A239" s="12" t="n">
        <v>238</v>
      </c>
      <c r="B239" s="12" t="n">
        <v>61</v>
      </c>
      <c r="C239" s="12" t="s">
        <v>40</v>
      </c>
      <c r="D239" s="12" t="n">
        <v>1</v>
      </c>
      <c r="E239" s="12" t="s">
        <v>48</v>
      </c>
      <c r="F239" s="12" t="s">
        <v>45</v>
      </c>
      <c r="G239" s="12" t="s">
        <v>45</v>
      </c>
      <c r="H239" s="12" t="n">
        <v>2767</v>
      </c>
      <c r="I239" s="12" t="n">
        <v>21</v>
      </c>
      <c r="J239" s="12" t="s">
        <v>26</v>
      </c>
    </row>
    <row r="240" customFormat="false" ht="15" hidden="false" customHeight="true" outlineLevel="0" collapsed="false">
      <c r="A240" s="12" t="n">
        <v>239</v>
      </c>
      <c r="B240" s="12" t="n">
        <v>35</v>
      </c>
      <c r="C240" s="12" t="s">
        <v>44</v>
      </c>
      <c r="D240" s="12" t="n">
        <v>2</v>
      </c>
      <c r="E240" s="12" t="s">
        <v>41</v>
      </c>
      <c r="F240" s="12" t="s">
        <v>43</v>
      </c>
      <c r="G240" s="12" t="s">
        <v>42</v>
      </c>
      <c r="H240" s="12" t="n">
        <v>1291</v>
      </c>
      <c r="I240" s="12" t="n">
        <v>12</v>
      </c>
      <c r="J240" s="12" t="s">
        <v>24</v>
      </c>
    </row>
    <row r="241" customFormat="false" ht="15" hidden="false" customHeight="true" outlineLevel="0" collapsed="false">
      <c r="A241" s="12" t="n">
        <v>240</v>
      </c>
      <c r="B241" s="12" t="n">
        <v>39</v>
      </c>
      <c r="C241" s="12" t="s">
        <v>40</v>
      </c>
      <c r="D241" s="12" t="n">
        <v>2</v>
      </c>
      <c r="E241" s="12" t="s">
        <v>41</v>
      </c>
      <c r="F241" s="12" t="s">
        <v>43</v>
      </c>
      <c r="G241" s="12" t="s">
        <v>43</v>
      </c>
      <c r="H241" s="12" t="n">
        <v>2522</v>
      </c>
      <c r="I241" s="12" t="n">
        <v>30</v>
      </c>
      <c r="J241" s="12" t="s">
        <v>24</v>
      </c>
    </row>
    <row r="242" customFormat="false" ht="15" hidden="false" customHeight="true" outlineLevel="0" collapsed="false">
      <c r="A242" s="12" t="n">
        <v>241</v>
      </c>
      <c r="B242" s="12" t="n">
        <v>29</v>
      </c>
      <c r="C242" s="12" t="s">
        <v>44</v>
      </c>
      <c r="D242" s="12" t="n">
        <v>2</v>
      </c>
      <c r="E242" s="12" t="s">
        <v>41</v>
      </c>
      <c r="F242" s="12" t="s">
        <v>42</v>
      </c>
      <c r="G242" s="12" t="s">
        <v>43</v>
      </c>
      <c r="H242" s="12" t="n">
        <v>915</v>
      </c>
      <c r="I242" s="12" t="n">
        <v>24</v>
      </c>
      <c r="J242" s="12" t="s">
        <v>23</v>
      </c>
    </row>
    <row r="243" customFormat="false" ht="15" hidden="false" customHeight="true" outlineLevel="0" collapsed="false">
      <c r="A243" s="12" t="n">
        <v>242</v>
      </c>
      <c r="B243" s="12" t="n">
        <v>51</v>
      </c>
      <c r="C243" s="12" t="s">
        <v>40</v>
      </c>
      <c r="D243" s="12" t="n">
        <v>2</v>
      </c>
      <c r="E243" s="12" t="s">
        <v>41</v>
      </c>
      <c r="F243" s="12" t="s">
        <v>43</v>
      </c>
      <c r="G243" s="12" t="s">
        <v>42</v>
      </c>
      <c r="H243" s="12" t="n">
        <v>1595</v>
      </c>
      <c r="I243" s="12" t="n">
        <v>6</v>
      </c>
      <c r="J243" s="12" t="s">
        <v>24</v>
      </c>
    </row>
    <row r="244" customFormat="false" ht="15" hidden="false" customHeight="true" outlineLevel="0" collapsed="false">
      <c r="A244" s="12" t="n">
        <v>243</v>
      </c>
      <c r="B244" s="12" t="n">
        <v>24</v>
      </c>
      <c r="C244" s="12" t="s">
        <v>40</v>
      </c>
      <c r="D244" s="12" t="n">
        <v>2</v>
      </c>
      <c r="E244" s="12" t="s">
        <v>46</v>
      </c>
      <c r="F244" s="12" t="s">
        <v>43</v>
      </c>
      <c r="G244" s="12" t="s">
        <v>43</v>
      </c>
      <c r="H244" s="12" t="n">
        <v>4605</v>
      </c>
      <c r="I244" s="12" t="n">
        <v>48</v>
      </c>
      <c r="J244" s="12" t="s">
        <v>23</v>
      </c>
    </row>
    <row r="245" customFormat="false" ht="15" hidden="false" customHeight="true" outlineLevel="0" collapsed="false">
      <c r="A245" s="12" t="n">
        <v>244</v>
      </c>
      <c r="B245" s="12" t="n">
        <v>27</v>
      </c>
      <c r="C245" s="12" t="s">
        <v>44</v>
      </c>
      <c r="D245" s="12" t="n">
        <v>2</v>
      </c>
      <c r="E245" s="12" t="s">
        <v>41</v>
      </c>
      <c r="F245" s="12" t="s">
        <v>43</v>
      </c>
      <c r="G245" s="12" t="s">
        <v>42</v>
      </c>
      <c r="H245" s="12" t="n">
        <v>1185</v>
      </c>
      <c r="I245" s="12" t="n">
        <v>12</v>
      </c>
      <c r="J245" s="12" t="s">
        <v>26</v>
      </c>
    </row>
    <row r="246" customFormat="false" ht="15" hidden="false" customHeight="true" outlineLevel="0" collapsed="false">
      <c r="A246" s="12" t="n">
        <v>245</v>
      </c>
      <c r="B246" s="12" t="n">
        <v>35</v>
      </c>
      <c r="C246" s="12" t="s">
        <v>44</v>
      </c>
      <c r="D246" s="12" t="n">
        <v>1</v>
      </c>
      <c r="E246" s="12" t="s">
        <v>41</v>
      </c>
      <c r="F246" s="12" t="s">
        <v>47</v>
      </c>
      <c r="G246" s="12" t="s">
        <v>42</v>
      </c>
      <c r="H246" s="12" t="n">
        <v>3447</v>
      </c>
      <c r="I246" s="12" t="n">
        <v>12</v>
      </c>
      <c r="J246" s="12" t="s">
        <v>27</v>
      </c>
    </row>
    <row r="247" customFormat="false" ht="15" hidden="false" customHeight="true" outlineLevel="0" collapsed="false">
      <c r="A247" s="12" t="n">
        <v>246</v>
      </c>
      <c r="B247" s="12" t="n">
        <v>25</v>
      </c>
      <c r="C247" s="12" t="s">
        <v>40</v>
      </c>
      <c r="D247" s="12" t="n">
        <v>2</v>
      </c>
      <c r="E247" s="12" t="s">
        <v>41</v>
      </c>
      <c r="F247" s="12" t="s">
        <v>43</v>
      </c>
      <c r="G247" s="12" t="s">
        <v>42</v>
      </c>
      <c r="H247" s="12" t="n">
        <v>1258</v>
      </c>
      <c r="I247" s="12" t="n">
        <v>24</v>
      </c>
      <c r="J247" s="12" t="s">
        <v>26</v>
      </c>
    </row>
    <row r="248" customFormat="false" ht="15" hidden="false" customHeight="true" outlineLevel="0" collapsed="false">
      <c r="A248" s="12" t="n">
        <v>247</v>
      </c>
      <c r="B248" s="12" t="n">
        <v>52</v>
      </c>
      <c r="C248" s="12" t="s">
        <v>40</v>
      </c>
      <c r="D248" s="12" t="n">
        <v>2</v>
      </c>
      <c r="E248" s="12" t="s">
        <v>41</v>
      </c>
      <c r="F248" s="12" t="s">
        <v>43</v>
      </c>
      <c r="G248" s="12" t="s">
        <v>42</v>
      </c>
      <c r="H248" s="12" t="n">
        <v>717</v>
      </c>
      <c r="I248" s="12" t="n">
        <v>12</v>
      </c>
      <c r="J248" s="12" t="s">
        <v>24</v>
      </c>
    </row>
    <row r="249" customFormat="false" ht="15" hidden="false" customHeight="true" outlineLevel="0" collapsed="false">
      <c r="A249" s="12" t="n">
        <v>248</v>
      </c>
      <c r="B249" s="12" t="n">
        <v>35</v>
      </c>
      <c r="C249" s="12" t="s">
        <v>40</v>
      </c>
      <c r="D249" s="12" t="n">
        <v>2</v>
      </c>
      <c r="E249" s="12" t="s">
        <v>48</v>
      </c>
      <c r="F249" s="12" t="s">
        <v>45</v>
      </c>
      <c r="G249" s="12" t="s">
        <v>42</v>
      </c>
      <c r="H249" s="12" t="n">
        <v>1204</v>
      </c>
      <c r="I249" s="12" t="n">
        <v>6</v>
      </c>
      <c r="J249" s="12" t="s">
        <v>23</v>
      </c>
    </row>
    <row r="250" customFormat="false" ht="15" hidden="false" customHeight="true" outlineLevel="0" collapsed="false">
      <c r="A250" s="12" t="n">
        <v>249</v>
      </c>
      <c r="B250" s="12" t="n">
        <v>26</v>
      </c>
      <c r="C250" s="12" t="s">
        <v>40</v>
      </c>
      <c r="D250" s="12" t="n">
        <v>2</v>
      </c>
      <c r="E250" s="12" t="s">
        <v>41</v>
      </c>
      <c r="F250" s="12" t="s">
        <v>43</v>
      </c>
      <c r="G250" s="12" t="s">
        <v>49</v>
      </c>
      <c r="H250" s="12" t="n">
        <v>1925</v>
      </c>
      <c r="I250" s="12" t="n">
        <v>24</v>
      </c>
      <c r="J250" s="12" t="s">
        <v>25</v>
      </c>
    </row>
    <row r="251" customFormat="false" ht="15" hidden="false" customHeight="true" outlineLevel="0" collapsed="false">
      <c r="A251" s="12" t="n">
        <v>250</v>
      </c>
      <c r="B251" s="12" t="n">
        <v>22</v>
      </c>
      <c r="C251" s="12" t="s">
        <v>44</v>
      </c>
      <c r="D251" s="12" t="n">
        <v>2</v>
      </c>
      <c r="E251" s="12" t="s">
        <v>48</v>
      </c>
      <c r="F251" s="12" t="s">
        <v>43</v>
      </c>
      <c r="G251" s="12" t="s">
        <v>42</v>
      </c>
      <c r="H251" s="12" t="n">
        <v>433</v>
      </c>
      <c r="I251" s="12" t="n">
        <v>18</v>
      </c>
      <c r="J251" s="12" t="s">
        <v>24</v>
      </c>
    </row>
    <row r="252" customFormat="false" ht="15" hidden="false" customHeight="true" outlineLevel="0" collapsed="false">
      <c r="A252" s="12" t="n">
        <v>251</v>
      </c>
      <c r="B252" s="12" t="n">
        <v>39</v>
      </c>
      <c r="C252" s="12" t="s">
        <v>44</v>
      </c>
      <c r="D252" s="12" t="n">
        <v>1</v>
      </c>
      <c r="E252" s="12" t="s">
        <v>41</v>
      </c>
      <c r="F252" s="12" t="s">
        <v>49</v>
      </c>
      <c r="G252" s="12" t="s">
        <v>43</v>
      </c>
      <c r="H252" s="12" t="n">
        <v>666</v>
      </c>
      <c r="I252" s="12" t="n">
        <v>6</v>
      </c>
      <c r="J252" s="12" t="s">
        <v>23</v>
      </c>
    </row>
    <row r="253" customFormat="false" ht="15" hidden="false" customHeight="true" outlineLevel="0" collapsed="false">
      <c r="A253" s="12" t="n">
        <v>252</v>
      </c>
      <c r="B253" s="12" t="n">
        <v>46</v>
      </c>
      <c r="C253" s="12" t="s">
        <v>44</v>
      </c>
      <c r="D253" s="12" t="n">
        <v>1</v>
      </c>
      <c r="E253" s="12" t="s">
        <v>41</v>
      </c>
      <c r="F253" s="12" t="s">
        <v>43</v>
      </c>
      <c r="G253" s="12" t="s">
        <v>49</v>
      </c>
      <c r="H253" s="12" t="n">
        <v>2251</v>
      </c>
      <c r="I253" s="12" t="n">
        <v>12</v>
      </c>
      <c r="J253" s="12" t="s">
        <v>25</v>
      </c>
    </row>
    <row r="254" customFormat="false" ht="15" hidden="false" customHeight="true" outlineLevel="0" collapsed="false">
      <c r="A254" s="12" t="n">
        <v>253</v>
      </c>
      <c r="B254" s="12" t="n">
        <v>24</v>
      </c>
      <c r="C254" s="12" t="s">
        <v>44</v>
      </c>
      <c r="D254" s="12" t="n">
        <v>2</v>
      </c>
      <c r="E254" s="12" t="s">
        <v>41</v>
      </c>
      <c r="F254" s="12" t="s">
        <v>43</v>
      </c>
      <c r="G254" s="12" t="s">
        <v>45</v>
      </c>
      <c r="H254" s="12" t="n">
        <v>2150</v>
      </c>
      <c r="I254" s="12" t="n">
        <v>30</v>
      </c>
      <c r="J254" s="12" t="s">
        <v>23</v>
      </c>
    </row>
    <row r="255" customFormat="false" ht="15" hidden="false" customHeight="true" outlineLevel="0" collapsed="false">
      <c r="A255" s="12" t="n">
        <v>254</v>
      </c>
      <c r="B255" s="12" t="n">
        <v>35</v>
      </c>
      <c r="C255" s="12" t="s">
        <v>40</v>
      </c>
      <c r="D255" s="12" t="n">
        <v>2</v>
      </c>
      <c r="E255" s="12" t="s">
        <v>41</v>
      </c>
      <c r="F255" s="12" t="s">
        <v>45</v>
      </c>
      <c r="G255" s="12" t="s">
        <v>42</v>
      </c>
      <c r="H255" s="12" t="n">
        <v>4151</v>
      </c>
      <c r="I255" s="12" t="n">
        <v>24</v>
      </c>
      <c r="J255" s="12" t="s">
        <v>25</v>
      </c>
    </row>
    <row r="256" customFormat="false" ht="15" hidden="false" customHeight="true" outlineLevel="0" collapsed="false">
      <c r="A256" s="12" t="n">
        <v>255</v>
      </c>
      <c r="B256" s="12" t="n">
        <v>24</v>
      </c>
      <c r="C256" s="12" t="s">
        <v>40</v>
      </c>
      <c r="D256" s="12" t="n">
        <v>2</v>
      </c>
      <c r="E256" s="12" t="s">
        <v>41</v>
      </c>
      <c r="F256" s="12" t="s">
        <v>42</v>
      </c>
      <c r="G256" s="12" t="s">
        <v>45</v>
      </c>
      <c r="H256" s="12" t="n">
        <v>2030</v>
      </c>
      <c r="I256" s="12" t="n">
        <v>9</v>
      </c>
      <c r="J256" s="12" t="s">
        <v>25</v>
      </c>
    </row>
    <row r="257" customFormat="false" ht="15" hidden="false" customHeight="true" outlineLevel="0" collapsed="false">
      <c r="A257" s="12" t="n">
        <v>256</v>
      </c>
      <c r="B257" s="12" t="n">
        <v>27</v>
      </c>
      <c r="C257" s="12" t="s">
        <v>40</v>
      </c>
      <c r="D257" s="12" t="n">
        <v>1</v>
      </c>
      <c r="E257" s="12" t="s">
        <v>41</v>
      </c>
      <c r="F257" s="12" t="s">
        <v>42</v>
      </c>
      <c r="G257" s="12" t="s">
        <v>45</v>
      </c>
      <c r="H257" s="12" t="n">
        <v>7418</v>
      </c>
      <c r="I257" s="12" t="n">
        <v>60</v>
      </c>
      <c r="J257" s="12" t="s">
        <v>24</v>
      </c>
    </row>
    <row r="258" customFormat="false" ht="15" hidden="false" customHeight="true" outlineLevel="0" collapsed="false">
      <c r="A258" s="12" t="n">
        <v>257</v>
      </c>
      <c r="B258" s="12" t="n">
        <v>35</v>
      </c>
      <c r="C258" s="12" t="s">
        <v>40</v>
      </c>
      <c r="D258" s="12" t="n">
        <v>1</v>
      </c>
      <c r="E258" s="12" t="s">
        <v>41</v>
      </c>
      <c r="F258" s="12" t="s">
        <v>43</v>
      </c>
      <c r="G258" s="12" t="s">
        <v>42</v>
      </c>
      <c r="H258" s="12" t="n">
        <v>2684</v>
      </c>
      <c r="I258" s="12" t="n">
        <v>24</v>
      </c>
      <c r="J258" s="12" t="s">
        <v>24</v>
      </c>
    </row>
    <row r="259" customFormat="false" ht="15" hidden="false" customHeight="true" outlineLevel="0" collapsed="false">
      <c r="A259" s="12" t="n">
        <v>258</v>
      </c>
      <c r="B259" s="12" t="n">
        <v>29</v>
      </c>
      <c r="C259" s="12" t="s">
        <v>40</v>
      </c>
      <c r="D259" s="12" t="n">
        <v>2</v>
      </c>
      <c r="E259" s="12" t="s">
        <v>46</v>
      </c>
      <c r="F259" s="12" t="s">
        <v>43</v>
      </c>
      <c r="G259" s="12" t="s">
        <v>43</v>
      </c>
      <c r="H259" s="12" t="n">
        <v>2149</v>
      </c>
      <c r="I259" s="12" t="n">
        <v>12</v>
      </c>
      <c r="J259" s="12" t="s">
        <v>24</v>
      </c>
    </row>
    <row r="260" customFormat="false" ht="15" hidden="false" customHeight="true" outlineLevel="0" collapsed="false">
      <c r="A260" s="12" t="n">
        <v>259</v>
      </c>
      <c r="B260" s="12" t="n">
        <v>23</v>
      </c>
      <c r="C260" s="12" t="s">
        <v>44</v>
      </c>
      <c r="D260" s="12" t="n">
        <v>2</v>
      </c>
      <c r="E260" s="12" t="s">
        <v>41</v>
      </c>
      <c r="F260" s="12" t="s">
        <v>45</v>
      </c>
      <c r="G260" s="12" t="s">
        <v>42</v>
      </c>
      <c r="H260" s="12" t="n">
        <v>3812</v>
      </c>
      <c r="I260" s="12" t="n">
        <v>15</v>
      </c>
      <c r="J260" s="12" t="s">
        <v>23</v>
      </c>
    </row>
    <row r="261" customFormat="false" ht="15" hidden="false" customHeight="true" outlineLevel="0" collapsed="false">
      <c r="A261" s="12" t="n">
        <v>260</v>
      </c>
      <c r="B261" s="12" t="n">
        <v>57</v>
      </c>
      <c r="C261" s="12" t="s">
        <v>44</v>
      </c>
      <c r="D261" s="12" t="n">
        <v>1</v>
      </c>
      <c r="E261" s="12" t="s">
        <v>41</v>
      </c>
      <c r="F261" s="12" t="s">
        <v>45</v>
      </c>
      <c r="G261" s="12" t="s">
        <v>42</v>
      </c>
      <c r="H261" s="12" t="n">
        <v>1154</v>
      </c>
      <c r="I261" s="12" t="n">
        <v>11</v>
      </c>
      <c r="J261" s="12" t="s">
        <v>24</v>
      </c>
    </row>
    <row r="262" customFormat="false" ht="15" hidden="false" customHeight="true" outlineLevel="0" collapsed="false">
      <c r="A262" s="12" t="n">
        <v>261</v>
      </c>
      <c r="B262" s="12" t="n">
        <v>27</v>
      </c>
      <c r="C262" s="12" t="s">
        <v>40</v>
      </c>
      <c r="D262" s="12" t="n">
        <v>2</v>
      </c>
      <c r="E262" s="12" t="s">
        <v>41</v>
      </c>
      <c r="F262" s="12" t="s">
        <v>43</v>
      </c>
      <c r="G262" s="12" t="s">
        <v>43</v>
      </c>
      <c r="H262" s="12" t="n">
        <v>1657</v>
      </c>
      <c r="I262" s="12" t="n">
        <v>12</v>
      </c>
      <c r="J262" s="12" t="s">
        <v>25</v>
      </c>
    </row>
    <row r="263" customFormat="false" ht="15" hidden="false" customHeight="true" outlineLevel="0" collapsed="false">
      <c r="A263" s="12" t="n">
        <v>262</v>
      </c>
      <c r="B263" s="12" t="n">
        <v>55</v>
      </c>
      <c r="C263" s="12" t="s">
        <v>44</v>
      </c>
      <c r="D263" s="12" t="n">
        <v>2</v>
      </c>
      <c r="E263" s="12" t="s">
        <v>41</v>
      </c>
      <c r="F263" s="12" t="s">
        <v>43</v>
      </c>
      <c r="G263" s="12" t="s">
        <v>43</v>
      </c>
      <c r="H263" s="12" t="n">
        <v>1603</v>
      </c>
      <c r="I263" s="12" t="n">
        <v>24</v>
      </c>
      <c r="J263" s="12" t="s">
        <v>24</v>
      </c>
    </row>
    <row r="264" customFormat="false" ht="15" hidden="false" customHeight="true" outlineLevel="0" collapsed="false">
      <c r="A264" s="12" t="n">
        <v>263</v>
      </c>
      <c r="B264" s="12" t="n">
        <v>36</v>
      </c>
      <c r="C264" s="12" t="s">
        <v>40</v>
      </c>
      <c r="D264" s="12" t="n">
        <v>3</v>
      </c>
      <c r="E264" s="12" t="s">
        <v>46</v>
      </c>
      <c r="F264" s="12" t="s">
        <v>43</v>
      </c>
      <c r="G264" s="12" t="s">
        <v>43</v>
      </c>
      <c r="H264" s="12" t="n">
        <v>5302</v>
      </c>
      <c r="I264" s="12" t="n">
        <v>18</v>
      </c>
      <c r="J264" s="12" t="s">
        <v>23</v>
      </c>
    </row>
    <row r="265" customFormat="false" ht="15" hidden="false" customHeight="true" outlineLevel="0" collapsed="false">
      <c r="A265" s="12" t="n">
        <v>264</v>
      </c>
      <c r="B265" s="12" t="n">
        <v>57</v>
      </c>
      <c r="C265" s="12" t="s">
        <v>44</v>
      </c>
      <c r="D265" s="12" t="n">
        <v>1</v>
      </c>
      <c r="E265" s="12" t="s">
        <v>46</v>
      </c>
      <c r="F265" s="12" t="s">
        <v>43</v>
      </c>
      <c r="G265" s="12" t="s">
        <v>42</v>
      </c>
      <c r="H265" s="12" t="n">
        <v>2748</v>
      </c>
      <c r="I265" s="12" t="n">
        <v>12</v>
      </c>
      <c r="J265" s="12" t="s">
        <v>27</v>
      </c>
    </row>
    <row r="266" customFormat="false" ht="15" hidden="false" customHeight="true" outlineLevel="0" collapsed="false">
      <c r="A266" s="12" t="n">
        <v>265</v>
      </c>
      <c r="B266" s="12" t="n">
        <v>32</v>
      </c>
      <c r="C266" s="12" t="s">
        <v>40</v>
      </c>
      <c r="D266" s="12" t="n">
        <v>1</v>
      </c>
      <c r="E266" s="12" t="s">
        <v>41</v>
      </c>
      <c r="F266" s="12" t="s">
        <v>43</v>
      </c>
      <c r="G266" s="12" t="s">
        <v>42</v>
      </c>
      <c r="H266" s="12" t="n">
        <v>1231</v>
      </c>
      <c r="I266" s="12" t="n">
        <v>10</v>
      </c>
      <c r="J266" s="12" t="s">
        <v>23</v>
      </c>
    </row>
    <row r="267" customFormat="false" ht="15" hidden="false" customHeight="true" outlineLevel="0" collapsed="false">
      <c r="A267" s="12" t="n">
        <v>266</v>
      </c>
      <c r="B267" s="12" t="n">
        <v>37</v>
      </c>
      <c r="C267" s="12" t="s">
        <v>40</v>
      </c>
      <c r="D267" s="12" t="n">
        <v>2</v>
      </c>
      <c r="E267" s="12" t="s">
        <v>41</v>
      </c>
      <c r="F267" s="12" t="s">
        <v>43</v>
      </c>
      <c r="G267" s="12" t="s">
        <v>45</v>
      </c>
      <c r="H267" s="12" t="n">
        <v>802</v>
      </c>
      <c r="I267" s="12" t="n">
        <v>15</v>
      </c>
      <c r="J267" s="12" t="s">
        <v>24</v>
      </c>
    </row>
    <row r="268" customFormat="false" ht="15" hidden="false" customHeight="true" outlineLevel="0" collapsed="false">
      <c r="A268" s="12" t="n">
        <v>267</v>
      </c>
      <c r="B268" s="12" t="n">
        <v>36</v>
      </c>
      <c r="C268" s="12" t="s">
        <v>40</v>
      </c>
      <c r="D268" s="12" t="n">
        <v>2</v>
      </c>
      <c r="E268" s="12" t="s">
        <v>41</v>
      </c>
      <c r="F268" s="12" t="s">
        <v>42</v>
      </c>
      <c r="G268" s="12" t="s">
        <v>42</v>
      </c>
      <c r="H268" s="12" t="n">
        <v>6304</v>
      </c>
      <c r="I268" s="12" t="n">
        <v>36</v>
      </c>
      <c r="J268" s="12" t="s">
        <v>26</v>
      </c>
    </row>
    <row r="269" customFormat="false" ht="15" hidden="false" customHeight="true" outlineLevel="0" collapsed="false">
      <c r="A269" s="12" t="n">
        <v>268</v>
      </c>
      <c r="B269" s="12" t="n">
        <v>38</v>
      </c>
      <c r="C269" s="12" t="s">
        <v>44</v>
      </c>
      <c r="D269" s="12" t="n">
        <v>2</v>
      </c>
      <c r="E269" s="12" t="s">
        <v>41</v>
      </c>
      <c r="F269" s="12" t="s">
        <v>43</v>
      </c>
      <c r="G269" s="12" t="s">
        <v>42</v>
      </c>
      <c r="H269" s="12" t="n">
        <v>1533</v>
      </c>
      <c r="I269" s="12" t="n">
        <v>24</v>
      </c>
      <c r="J269" s="12" t="s">
        <v>24</v>
      </c>
    </row>
    <row r="270" customFormat="false" ht="15" hidden="false" customHeight="true" outlineLevel="0" collapsed="false">
      <c r="A270" s="12" t="n">
        <v>269</v>
      </c>
      <c r="B270" s="12" t="n">
        <v>45</v>
      </c>
      <c r="C270" s="12" t="s">
        <v>40</v>
      </c>
      <c r="D270" s="12" t="n">
        <v>3</v>
      </c>
      <c r="E270" s="12" t="s">
        <v>41</v>
      </c>
      <c r="F270" s="12" t="s">
        <v>43</v>
      </c>
      <c r="G270" s="12" t="s">
        <v>43</v>
      </c>
      <c r="H270" s="12" t="n">
        <v>8978</v>
      </c>
      <c r="I270" s="12" t="n">
        <v>14</v>
      </c>
      <c r="J270" s="12" t="s">
        <v>23</v>
      </c>
    </row>
    <row r="271" customFormat="false" ht="15" hidden="false" customHeight="true" outlineLevel="0" collapsed="false">
      <c r="A271" s="12" t="n">
        <v>270</v>
      </c>
      <c r="B271" s="12" t="n">
        <v>25</v>
      </c>
      <c r="C271" s="12" t="s">
        <v>40</v>
      </c>
      <c r="D271" s="12" t="n">
        <v>2</v>
      </c>
      <c r="E271" s="12" t="s">
        <v>41</v>
      </c>
      <c r="F271" s="12" t="s">
        <v>42</v>
      </c>
      <c r="G271" s="12" t="s">
        <v>42</v>
      </c>
      <c r="H271" s="12" t="n">
        <v>999</v>
      </c>
      <c r="I271" s="12" t="n">
        <v>24</v>
      </c>
      <c r="J271" s="12" t="s">
        <v>24</v>
      </c>
    </row>
    <row r="272" customFormat="false" ht="15" hidden="false" customHeight="true" outlineLevel="0" collapsed="false">
      <c r="A272" s="12" t="n">
        <v>271</v>
      </c>
      <c r="B272" s="12" t="n">
        <v>32</v>
      </c>
      <c r="C272" s="12" t="s">
        <v>40</v>
      </c>
      <c r="D272" s="12" t="n">
        <v>2</v>
      </c>
      <c r="E272" s="12" t="s">
        <v>41</v>
      </c>
      <c r="F272" s="12" t="s">
        <v>42</v>
      </c>
      <c r="G272" s="12" t="s">
        <v>42</v>
      </c>
      <c r="H272" s="12" t="n">
        <v>2662</v>
      </c>
      <c r="I272" s="12" t="n">
        <v>18</v>
      </c>
      <c r="J272" s="12" t="s">
        <v>23</v>
      </c>
    </row>
    <row r="273" customFormat="false" ht="15" hidden="false" customHeight="true" outlineLevel="0" collapsed="false">
      <c r="A273" s="12" t="n">
        <v>272</v>
      </c>
      <c r="B273" s="12" t="n">
        <v>37</v>
      </c>
      <c r="C273" s="12" t="s">
        <v>44</v>
      </c>
      <c r="D273" s="12" t="n">
        <v>2</v>
      </c>
      <c r="E273" s="12" t="s">
        <v>48</v>
      </c>
      <c r="F273" s="12" t="s">
        <v>47</v>
      </c>
      <c r="G273" s="12" t="s">
        <v>42</v>
      </c>
      <c r="H273" s="12" t="n">
        <v>1402</v>
      </c>
      <c r="I273" s="12" t="n">
        <v>12</v>
      </c>
      <c r="J273" s="12" t="s">
        <v>25</v>
      </c>
    </row>
    <row r="274" customFormat="false" ht="15" hidden="false" customHeight="true" outlineLevel="0" collapsed="false">
      <c r="A274" s="12" t="n">
        <v>273</v>
      </c>
      <c r="B274" s="12" t="n">
        <v>36</v>
      </c>
      <c r="C274" s="12" t="s">
        <v>40</v>
      </c>
      <c r="D274" s="12" t="n">
        <v>3</v>
      </c>
      <c r="E274" s="12" t="s">
        <v>46</v>
      </c>
      <c r="F274" s="12" t="s">
        <v>42</v>
      </c>
      <c r="G274" s="12" t="s">
        <v>45</v>
      </c>
      <c r="H274" s="12" t="n">
        <v>12169</v>
      </c>
      <c r="I274" s="12" t="n">
        <v>48</v>
      </c>
      <c r="J274" s="12" t="s">
        <v>23</v>
      </c>
    </row>
    <row r="275" customFormat="false" ht="15" hidden="false" customHeight="true" outlineLevel="0" collapsed="false">
      <c r="A275" s="12" t="n">
        <v>274</v>
      </c>
      <c r="B275" s="12" t="n">
        <v>28</v>
      </c>
      <c r="C275" s="12" t="s">
        <v>40</v>
      </c>
      <c r="D275" s="12" t="n">
        <v>2</v>
      </c>
      <c r="E275" s="12" t="s">
        <v>41</v>
      </c>
      <c r="F275" s="12" t="s">
        <v>43</v>
      </c>
      <c r="G275" s="12" t="s">
        <v>45</v>
      </c>
      <c r="H275" s="12" t="n">
        <v>3060</v>
      </c>
      <c r="I275" s="12" t="n">
        <v>48</v>
      </c>
      <c r="J275" s="12" t="s">
        <v>24</v>
      </c>
    </row>
    <row r="276" customFormat="false" ht="15" hidden="false" customHeight="true" outlineLevel="0" collapsed="false">
      <c r="A276" s="12" t="n">
        <v>275</v>
      </c>
      <c r="B276" s="12" t="n">
        <v>34</v>
      </c>
      <c r="C276" s="12" t="s">
        <v>40</v>
      </c>
      <c r="D276" s="12" t="n">
        <v>1</v>
      </c>
      <c r="E276" s="12" t="s">
        <v>41</v>
      </c>
      <c r="F276" s="12" t="s">
        <v>43</v>
      </c>
      <c r="G276" s="12" t="s">
        <v>43</v>
      </c>
      <c r="H276" s="12" t="n">
        <v>11998</v>
      </c>
      <c r="I276" s="12" t="n">
        <v>30</v>
      </c>
      <c r="J276" s="12" t="s">
        <v>28</v>
      </c>
    </row>
    <row r="277" customFormat="false" ht="15" hidden="false" customHeight="true" outlineLevel="0" collapsed="false">
      <c r="A277" s="12" t="n">
        <v>276</v>
      </c>
      <c r="B277" s="12" t="n">
        <v>32</v>
      </c>
      <c r="C277" s="12" t="s">
        <v>40</v>
      </c>
      <c r="D277" s="12" t="n">
        <v>2</v>
      </c>
      <c r="E277" s="12" t="s">
        <v>41</v>
      </c>
      <c r="F277" s="12" t="s">
        <v>43</v>
      </c>
      <c r="G277" s="12" t="s">
        <v>42</v>
      </c>
      <c r="H277" s="12" t="n">
        <v>2697</v>
      </c>
      <c r="I277" s="12" t="n">
        <v>9</v>
      </c>
      <c r="J277" s="12" t="s">
        <v>24</v>
      </c>
    </row>
    <row r="278" customFormat="false" ht="15" hidden="false" customHeight="true" outlineLevel="0" collapsed="false">
      <c r="A278" s="12" t="n">
        <v>277</v>
      </c>
      <c r="B278" s="12" t="n">
        <v>26</v>
      </c>
      <c r="C278" s="12" t="s">
        <v>44</v>
      </c>
      <c r="D278" s="12" t="n">
        <v>2</v>
      </c>
      <c r="E278" s="12" t="s">
        <v>41</v>
      </c>
      <c r="F278" s="12" t="s">
        <v>43</v>
      </c>
      <c r="G278" s="12" t="s">
        <v>42</v>
      </c>
      <c r="H278" s="12" t="n">
        <v>2404</v>
      </c>
      <c r="I278" s="12" t="n">
        <v>18</v>
      </c>
      <c r="J278" s="12" t="s">
        <v>24</v>
      </c>
    </row>
    <row r="279" customFormat="false" ht="15" hidden="false" customHeight="true" outlineLevel="0" collapsed="false">
      <c r="A279" s="12" t="n">
        <v>278</v>
      </c>
      <c r="B279" s="12" t="n">
        <v>49</v>
      </c>
      <c r="C279" s="12" t="s">
        <v>40</v>
      </c>
      <c r="D279" s="12" t="n">
        <v>1</v>
      </c>
      <c r="E279" s="12" t="s">
        <v>41</v>
      </c>
      <c r="F279" s="12" t="s">
        <v>42</v>
      </c>
      <c r="G279" s="12" t="s">
        <v>43</v>
      </c>
      <c r="H279" s="12" t="n">
        <v>1262</v>
      </c>
      <c r="I279" s="12" t="n">
        <v>12</v>
      </c>
      <c r="J279" s="12" t="s">
        <v>25</v>
      </c>
    </row>
    <row r="280" customFormat="false" ht="15" hidden="false" customHeight="true" outlineLevel="0" collapsed="false">
      <c r="A280" s="12" t="n">
        <v>279</v>
      </c>
      <c r="B280" s="12" t="n">
        <v>32</v>
      </c>
      <c r="C280" s="12" t="s">
        <v>44</v>
      </c>
      <c r="D280" s="12" t="n">
        <v>2</v>
      </c>
      <c r="E280" s="12" t="s">
        <v>41</v>
      </c>
      <c r="F280" s="12" t="s">
        <v>43</v>
      </c>
      <c r="G280" s="12" t="s">
        <v>42</v>
      </c>
      <c r="H280" s="12" t="n">
        <v>4611</v>
      </c>
      <c r="I280" s="12" t="n">
        <v>6</v>
      </c>
      <c r="J280" s="12" t="s">
        <v>25</v>
      </c>
    </row>
    <row r="281" customFormat="false" ht="15" hidden="false" customHeight="true" outlineLevel="0" collapsed="false">
      <c r="A281" s="12" t="n">
        <v>280</v>
      </c>
      <c r="B281" s="12" t="n">
        <v>29</v>
      </c>
      <c r="C281" s="12" t="s">
        <v>40</v>
      </c>
      <c r="D281" s="12" t="n">
        <v>3</v>
      </c>
      <c r="E281" s="12" t="s">
        <v>48</v>
      </c>
      <c r="F281" s="12" t="s">
        <v>45</v>
      </c>
      <c r="G281" s="12" t="s">
        <v>42</v>
      </c>
      <c r="H281" s="12" t="n">
        <v>1901</v>
      </c>
      <c r="I281" s="12" t="n">
        <v>24</v>
      </c>
      <c r="J281" s="12" t="s">
        <v>24</v>
      </c>
    </row>
    <row r="282" customFormat="false" ht="15" hidden="false" customHeight="true" outlineLevel="0" collapsed="false">
      <c r="A282" s="12" t="n">
        <v>281</v>
      </c>
      <c r="B282" s="12" t="n">
        <v>23</v>
      </c>
      <c r="C282" s="12" t="s">
        <v>40</v>
      </c>
      <c r="D282" s="12" t="n">
        <v>2</v>
      </c>
      <c r="E282" s="12" t="s">
        <v>48</v>
      </c>
      <c r="F282" s="12" t="s">
        <v>49</v>
      </c>
      <c r="G282" s="12" t="s">
        <v>42</v>
      </c>
      <c r="H282" s="12" t="n">
        <v>3368</v>
      </c>
      <c r="I282" s="12" t="n">
        <v>15</v>
      </c>
      <c r="J282" s="12" t="s">
        <v>23</v>
      </c>
    </row>
    <row r="283" customFormat="false" ht="15" hidden="false" customHeight="true" outlineLevel="0" collapsed="false">
      <c r="A283" s="12" t="n">
        <v>282</v>
      </c>
      <c r="B283" s="12" t="n">
        <v>50</v>
      </c>
      <c r="C283" s="12" t="s">
        <v>40</v>
      </c>
      <c r="D283" s="12" t="n">
        <v>2</v>
      </c>
      <c r="E283" s="12" t="s">
        <v>41</v>
      </c>
      <c r="F283" s="12" t="s">
        <v>43</v>
      </c>
      <c r="G283" s="12" t="s">
        <v>42</v>
      </c>
      <c r="H283" s="12" t="n">
        <v>1574</v>
      </c>
      <c r="I283" s="12" t="n">
        <v>12</v>
      </c>
      <c r="J283" s="12" t="s">
        <v>25</v>
      </c>
    </row>
    <row r="284" customFormat="false" ht="15" hidden="false" customHeight="true" outlineLevel="0" collapsed="false">
      <c r="A284" s="12" t="n">
        <v>283</v>
      </c>
      <c r="B284" s="12" t="n">
        <v>49</v>
      </c>
      <c r="C284" s="12" t="s">
        <v>40</v>
      </c>
      <c r="D284" s="12" t="n">
        <v>1</v>
      </c>
      <c r="E284" s="12" t="s">
        <v>41</v>
      </c>
      <c r="F284" s="12" t="s">
        <v>42</v>
      </c>
      <c r="G284" s="12" t="s">
        <v>49</v>
      </c>
      <c r="H284" s="12" t="n">
        <v>1445</v>
      </c>
      <c r="I284" s="12" t="n">
        <v>18</v>
      </c>
      <c r="J284" s="12" t="s">
        <v>24</v>
      </c>
    </row>
    <row r="285" customFormat="false" ht="15" hidden="false" customHeight="true" outlineLevel="0" collapsed="false">
      <c r="A285" s="12" t="n">
        <v>284</v>
      </c>
      <c r="B285" s="12" t="n">
        <v>63</v>
      </c>
      <c r="C285" s="12" t="s">
        <v>40</v>
      </c>
      <c r="D285" s="12" t="n">
        <v>2</v>
      </c>
      <c r="E285" s="12" t="s">
        <v>41</v>
      </c>
      <c r="F285" s="12" t="s">
        <v>42</v>
      </c>
      <c r="G285" s="12" t="s">
        <v>42</v>
      </c>
      <c r="H285" s="12" t="n">
        <v>1520</v>
      </c>
      <c r="I285" s="12" t="n">
        <v>15</v>
      </c>
      <c r="J285" s="12" t="s">
        <v>25</v>
      </c>
    </row>
    <row r="286" customFormat="false" ht="15" hidden="false" customHeight="true" outlineLevel="0" collapsed="false">
      <c r="A286" s="12" t="n">
        <v>285</v>
      </c>
      <c r="B286" s="12" t="n">
        <v>37</v>
      </c>
      <c r="C286" s="12" t="s">
        <v>40</v>
      </c>
      <c r="D286" s="12" t="n">
        <v>2</v>
      </c>
      <c r="E286" s="12" t="s">
        <v>41</v>
      </c>
      <c r="F286" s="12" t="s">
        <v>45</v>
      </c>
      <c r="G286" s="12" t="s">
        <v>45</v>
      </c>
      <c r="H286" s="12" t="n">
        <v>3878</v>
      </c>
      <c r="I286" s="12" t="n">
        <v>24</v>
      </c>
      <c r="J286" s="12" t="s">
        <v>23</v>
      </c>
    </row>
    <row r="287" customFormat="false" ht="15" hidden="false" customHeight="true" outlineLevel="0" collapsed="false">
      <c r="A287" s="12" t="n">
        <v>286</v>
      </c>
      <c r="B287" s="12" t="n">
        <v>35</v>
      </c>
      <c r="C287" s="12" t="s">
        <v>44</v>
      </c>
      <c r="D287" s="12" t="n">
        <v>1</v>
      </c>
      <c r="E287" s="12" t="s">
        <v>41</v>
      </c>
      <c r="F287" s="12" t="s">
        <v>43</v>
      </c>
      <c r="G287" s="12" t="s">
        <v>43</v>
      </c>
      <c r="H287" s="12" t="n">
        <v>10722</v>
      </c>
      <c r="I287" s="12" t="n">
        <v>47</v>
      </c>
      <c r="J287" s="12" t="s">
        <v>23</v>
      </c>
    </row>
    <row r="288" customFormat="false" ht="15" hidden="false" customHeight="true" outlineLevel="0" collapsed="false">
      <c r="A288" s="12" t="n">
        <v>287</v>
      </c>
      <c r="B288" s="12" t="n">
        <v>26</v>
      </c>
      <c r="C288" s="12" t="s">
        <v>40</v>
      </c>
      <c r="D288" s="12" t="n">
        <v>2</v>
      </c>
      <c r="E288" s="12" t="s">
        <v>41</v>
      </c>
      <c r="F288" s="12" t="s">
        <v>43</v>
      </c>
      <c r="G288" s="12" t="s">
        <v>43</v>
      </c>
      <c r="H288" s="12" t="n">
        <v>4788</v>
      </c>
      <c r="I288" s="12" t="n">
        <v>48</v>
      </c>
      <c r="J288" s="12" t="s">
        <v>23</v>
      </c>
    </row>
    <row r="289" customFormat="false" ht="15" hidden="false" customHeight="true" outlineLevel="0" collapsed="false">
      <c r="A289" s="12" t="n">
        <v>288</v>
      </c>
      <c r="B289" s="12" t="n">
        <v>31</v>
      </c>
      <c r="C289" s="12" t="s">
        <v>40</v>
      </c>
      <c r="D289" s="12" t="n">
        <v>3</v>
      </c>
      <c r="E289" s="12" t="s">
        <v>46</v>
      </c>
      <c r="F289" s="12" t="s">
        <v>45</v>
      </c>
      <c r="G289" s="12" t="s">
        <v>45</v>
      </c>
      <c r="H289" s="12" t="n">
        <v>7582</v>
      </c>
      <c r="I289" s="12" t="n">
        <v>48</v>
      </c>
      <c r="J289" s="12" t="s">
        <v>30</v>
      </c>
    </row>
    <row r="290" customFormat="false" ht="15" hidden="false" customHeight="true" outlineLevel="0" collapsed="false">
      <c r="A290" s="12" t="n">
        <v>289</v>
      </c>
      <c r="B290" s="12" t="n">
        <v>49</v>
      </c>
      <c r="C290" s="12" t="s">
        <v>44</v>
      </c>
      <c r="D290" s="12" t="n">
        <v>2</v>
      </c>
      <c r="E290" s="12" t="s">
        <v>41</v>
      </c>
      <c r="F290" s="12" t="s">
        <v>43</v>
      </c>
      <c r="G290" s="12" t="s">
        <v>45</v>
      </c>
      <c r="H290" s="12" t="n">
        <v>1092</v>
      </c>
      <c r="I290" s="12" t="n">
        <v>12</v>
      </c>
      <c r="J290" s="12" t="s">
        <v>24</v>
      </c>
    </row>
    <row r="291" customFormat="false" ht="15" hidden="false" customHeight="true" outlineLevel="0" collapsed="false">
      <c r="A291" s="12" t="n">
        <v>290</v>
      </c>
      <c r="B291" s="12" t="n">
        <v>48</v>
      </c>
      <c r="C291" s="12" t="s">
        <v>40</v>
      </c>
      <c r="D291" s="12" t="n">
        <v>2</v>
      </c>
      <c r="E291" s="12" t="s">
        <v>41</v>
      </c>
      <c r="F291" s="12" t="s">
        <v>43</v>
      </c>
      <c r="G291" s="12" t="s">
        <v>43</v>
      </c>
      <c r="H291" s="12" t="n">
        <v>1024</v>
      </c>
      <c r="I291" s="12" t="n">
        <v>24</v>
      </c>
      <c r="J291" s="12" t="s">
        <v>24</v>
      </c>
    </row>
    <row r="292" customFormat="false" ht="15" hidden="false" customHeight="true" outlineLevel="0" collapsed="false">
      <c r="A292" s="12" t="n">
        <v>291</v>
      </c>
      <c r="B292" s="12" t="n">
        <v>26</v>
      </c>
      <c r="C292" s="12" t="s">
        <v>40</v>
      </c>
      <c r="D292" s="12" t="n">
        <v>2</v>
      </c>
      <c r="E292" s="12" t="s">
        <v>41</v>
      </c>
      <c r="F292" s="12" t="s">
        <v>43</v>
      </c>
      <c r="G292" s="12" t="s">
        <v>42</v>
      </c>
      <c r="H292" s="12" t="n">
        <v>1076</v>
      </c>
      <c r="I292" s="12" t="n">
        <v>12</v>
      </c>
      <c r="J292" s="12" t="s">
        <v>26</v>
      </c>
    </row>
    <row r="293" customFormat="false" ht="15" hidden="false" customHeight="true" outlineLevel="0" collapsed="false">
      <c r="A293" s="12" t="n">
        <v>292</v>
      </c>
      <c r="B293" s="12" t="n">
        <v>28</v>
      </c>
      <c r="C293" s="12" t="s">
        <v>40</v>
      </c>
      <c r="D293" s="12" t="n">
        <v>3</v>
      </c>
      <c r="E293" s="12" t="s">
        <v>48</v>
      </c>
      <c r="F293" s="12" t="s">
        <v>43</v>
      </c>
      <c r="G293" s="12" t="s">
        <v>45</v>
      </c>
      <c r="H293" s="12" t="n">
        <v>9398</v>
      </c>
      <c r="I293" s="12" t="n">
        <v>36</v>
      </c>
      <c r="J293" s="12" t="s">
        <v>23</v>
      </c>
    </row>
    <row r="294" customFormat="false" ht="15" hidden="false" customHeight="true" outlineLevel="0" collapsed="false">
      <c r="A294" s="12" t="n">
        <v>293</v>
      </c>
      <c r="B294" s="12" t="n">
        <v>44</v>
      </c>
      <c r="C294" s="12" t="s">
        <v>44</v>
      </c>
      <c r="D294" s="12" t="n">
        <v>3</v>
      </c>
      <c r="E294" s="12" t="s">
        <v>46</v>
      </c>
      <c r="F294" s="12" t="s">
        <v>43</v>
      </c>
      <c r="G294" s="12" t="s">
        <v>43</v>
      </c>
      <c r="H294" s="12" t="n">
        <v>6419</v>
      </c>
      <c r="I294" s="12" t="n">
        <v>24</v>
      </c>
      <c r="J294" s="12" t="s">
        <v>23</v>
      </c>
    </row>
    <row r="295" customFormat="false" ht="15" hidden="false" customHeight="true" outlineLevel="0" collapsed="false">
      <c r="A295" s="12" t="n">
        <v>294</v>
      </c>
      <c r="B295" s="12" t="n">
        <v>56</v>
      </c>
      <c r="C295" s="12" t="s">
        <v>40</v>
      </c>
      <c r="D295" s="12" t="n">
        <v>2</v>
      </c>
      <c r="E295" s="12" t="s">
        <v>46</v>
      </c>
      <c r="F295" s="12" t="s">
        <v>43</v>
      </c>
      <c r="G295" s="12" t="s">
        <v>49</v>
      </c>
      <c r="H295" s="12" t="n">
        <v>4796</v>
      </c>
      <c r="I295" s="12" t="n">
        <v>42</v>
      </c>
      <c r="J295" s="12" t="s">
        <v>23</v>
      </c>
    </row>
    <row r="296" customFormat="false" ht="15" hidden="false" customHeight="true" outlineLevel="0" collapsed="false">
      <c r="A296" s="12" t="n">
        <v>295</v>
      </c>
      <c r="B296" s="12" t="n">
        <v>46</v>
      </c>
      <c r="C296" s="12" t="s">
        <v>40</v>
      </c>
      <c r="D296" s="12" t="n">
        <v>3</v>
      </c>
      <c r="E296" s="12" t="s">
        <v>41</v>
      </c>
      <c r="F296" s="12" t="s">
        <v>42</v>
      </c>
      <c r="G296" s="12" t="s">
        <v>42</v>
      </c>
      <c r="H296" s="12" t="n">
        <v>7629</v>
      </c>
      <c r="I296" s="12" t="n">
        <v>48</v>
      </c>
      <c r="J296" s="12" t="s">
        <v>26</v>
      </c>
    </row>
    <row r="297" customFormat="false" ht="15" hidden="false" customHeight="true" outlineLevel="0" collapsed="false">
      <c r="A297" s="12" t="n">
        <v>296</v>
      </c>
      <c r="B297" s="12" t="n">
        <v>26</v>
      </c>
      <c r="C297" s="12" t="s">
        <v>44</v>
      </c>
      <c r="D297" s="12" t="n">
        <v>2</v>
      </c>
      <c r="E297" s="12" t="s">
        <v>41</v>
      </c>
      <c r="F297" s="12" t="s">
        <v>43</v>
      </c>
      <c r="G297" s="12" t="s">
        <v>45</v>
      </c>
      <c r="H297" s="12" t="n">
        <v>9960</v>
      </c>
      <c r="I297" s="12" t="n">
        <v>48</v>
      </c>
      <c r="J297" s="12" t="s">
        <v>25</v>
      </c>
    </row>
    <row r="298" customFormat="false" ht="15" hidden="false" customHeight="true" outlineLevel="0" collapsed="false">
      <c r="A298" s="12" t="n">
        <v>297</v>
      </c>
      <c r="B298" s="12" t="n">
        <v>20</v>
      </c>
      <c r="C298" s="12" t="s">
        <v>44</v>
      </c>
      <c r="D298" s="12" t="n">
        <v>2</v>
      </c>
      <c r="E298" s="12" t="s">
        <v>48</v>
      </c>
      <c r="F298" s="12" t="s">
        <v>42</v>
      </c>
      <c r="G298" s="12" t="s">
        <v>42</v>
      </c>
      <c r="H298" s="12" t="n">
        <v>4675</v>
      </c>
      <c r="I298" s="12" t="n">
        <v>12</v>
      </c>
      <c r="J298" s="12" t="s">
        <v>23</v>
      </c>
    </row>
    <row r="299" customFormat="false" ht="15" hidden="false" customHeight="true" outlineLevel="0" collapsed="false">
      <c r="A299" s="12" t="n">
        <v>298</v>
      </c>
      <c r="B299" s="12" t="n">
        <v>45</v>
      </c>
      <c r="C299" s="12" t="s">
        <v>40</v>
      </c>
      <c r="D299" s="12" t="n">
        <v>1</v>
      </c>
      <c r="E299" s="12" t="s">
        <v>41</v>
      </c>
      <c r="F299" s="12" t="s">
        <v>42</v>
      </c>
      <c r="G299" s="12" t="s">
        <v>42</v>
      </c>
      <c r="H299" s="12" t="n">
        <v>1287</v>
      </c>
      <c r="I299" s="12" t="n">
        <v>10</v>
      </c>
      <c r="J299" s="12" t="s">
        <v>23</v>
      </c>
    </row>
    <row r="300" customFormat="false" ht="15" hidden="false" customHeight="true" outlineLevel="0" collapsed="false">
      <c r="A300" s="12" t="n">
        <v>299</v>
      </c>
      <c r="B300" s="12" t="n">
        <v>43</v>
      </c>
      <c r="C300" s="12" t="s">
        <v>40</v>
      </c>
      <c r="D300" s="12" t="n">
        <v>2</v>
      </c>
      <c r="E300" s="12" t="s">
        <v>41</v>
      </c>
      <c r="F300" s="12" t="s">
        <v>43</v>
      </c>
      <c r="G300" s="12" t="s">
        <v>42</v>
      </c>
      <c r="H300" s="12" t="n">
        <v>2515</v>
      </c>
      <c r="I300" s="12" t="n">
        <v>18</v>
      </c>
      <c r="J300" s="12" t="s">
        <v>25</v>
      </c>
    </row>
    <row r="301" customFormat="false" ht="15" hidden="false" customHeight="true" outlineLevel="0" collapsed="false">
      <c r="A301" s="12" t="n">
        <v>300</v>
      </c>
      <c r="B301" s="12" t="n">
        <v>32</v>
      </c>
      <c r="C301" s="12" t="s">
        <v>40</v>
      </c>
      <c r="D301" s="12" t="n">
        <v>2</v>
      </c>
      <c r="E301" s="12" t="s">
        <v>41</v>
      </c>
      <c r="F301" s="12" t="s">
        <v>49</v>
      </c>
      <c r="G301" s="12" t="s">
        <v>45</v>
      </c>
      <c r="H301" s="12" t="n">
        <v>2745</v>
      </c>
      <c r="I301" s="12" t="n">
        <v>21</v>
      </c>
      <c r="J301" s="12" t="s">
        <v>25</v>
      </c>
    </row>
    <row r="302" customFormat="false" ht="15" hidden="false" customHeight="true" outlineLevel="0" collapsed="false">
      <c r="A302" s="12" t="n">
        <v>301</v>
      </c>
      <c r="B302" s="12" t="n">
        <v>54</v>
      </c>
      <c r="C302" s="12" t="s">
        <v>44</v>
      </c>
      <c r="D302" s="12" t="n">
        <v>0</v>
      </c>
      <c r="E302" s="12" t="s">
        <v>41</v>
      </c>
      <c r="F302" s="12" t="s">
        <v>43</v>
      </c>
      <c r="G302" s="12" t="s">
        <v>42</v>
      </c>
      <c r="H302" s="12" t="n">
        <v>672</v>
      </c>
      <c r="I302" s="12" t="n">
        <v>6</v>
      </c>
      <c r="J302" s="12" t="s">
        <v>23</v>
      </c>
    </row>
    <row r="303" customFormat="false" ht="15" hidden="false" customHeight="true" outlineLevel="0" collapsed="false">
      <c r="A303" s="12" t="n">
        <v>302</v>
      </c>
      <c r="B303" s="12" t="n">
        <v>42</v>
      </c>
      <c r="C303" s="12" t="s">
        <v>44</v>
      </c>
      <c r="D303" s="12" t="n">
        <v>2</v>
      </c>
      <c r="E303" s="12" t="s">
        <v>41</v>
      </c>
      <c r="F303" s="12" t="s">
        <v>43</v>
      </c>
      <c r="G303" s="12" t="s">
        <v>45</v>
      </c>
      <c r="H303" s="12" t="n">
        <v>3804</v>
      </c>
      <c r="I303" s="12" t="n">
        <v>36</v>
      </c>
      <c r="J303" s="12" t="s">
        <v>24</v>
      </c>
    </row>
    <row r="304" customFormat="false" ht="15" hidden="false" customHeight="true" outlineLevel="0" collapsed="false">
      <c r="A304" s="12" t="n">
        <v>303</v>
      </c>
      <c r="B304" s="12" t="n">
        <v>37</v>
      </c>
      <c r="C304" s="12" t="s">
        <v>40</v>
      </c>
      <c r="D304" s="12" t="n">
        <v>1</v>
      </c>
      <c r="E304" s="12" t="s">
        <v>41</v>
      </c>
      <c r="F304" s="12" t="s">
        <v>42</v>
      </c>
      <c r="G304" s="12" t="s">
        <v>49</v>
      </c>
      <c r="H304" s="12" t="n">
        <v>1344</v>
      </c>
      <c r="I304" s="12" t="n">
        <v>24</v>
      </c>
      <c r="J304" s="12" t="s">
        <v>23</v>
      </c>
    </row>
    <row r="305" customFormat="false" ht="15" hidden="false" customHeight="true" outlineLevel="0" collapsed="false">
      <c r="A305" s="12" t="n">
        <v>304</v>
      </c>
      <c r="B305" s="12" t="n">
        <v>49</v>
      </c>
      <c r="C305" s="12" t="s">
        <v>40</v>
      </c>
      <c r="D305" s="12" t="n">
        <v>2</v>
      </c>
      <c r="E305" s="12" t="s">
        <v>41</v>
      </c>
      <c r="F305" s="12" t="s">
        <v>43</v>
      </c>
      <c r="G305" s="12" t="s">
        <v>43</v>
      </c>
      <c r="H305" s="12" t="n">
        <v>1038</v>
      </c>
      <c r="I305" s="12" t="n">
        <v>10</v>
      </c>
      <c r="J305" s="12" t="s">
        <v>23</v>
      </c>
    </row>
    <row r="306" customFormat="false" ht="15" hidden="false" customHeight="true" outlineLevel="0" collapsed="false">
      <c r="A306" s="12" t="n">
        <v>305</v>
      </c>
      <c r="B306" s="12" t="n">
        <v>44</v>
      </c>
      <c r="C306" s="12" t="s">
        <v>40</v>
      </c>
      <c r="D306" s="12" t="n">
        <v>2</v>
      </c>
      <c r="E306" s="12" t="s">
        <v>46</v>
      </c>
      <c r="F306" s="12" t="s">
        <v>47</v>
      </c>
      <c r="G306" s="12" t="s">
        <v>42</v>
      </c>
      <c r="H306" s="12" t="n">
        <v>10127</v>
      </c>
      <c r="I306" s="12" t="n">
        <v>48</v>
      </c>
      <c r="J306" s="12" t="s">
        <v>23</v>
      </c>
    </row>
    <row r="307" customFormat="false" ht="15" hidden="false" customHeight="true" outlineLevel="0" collapsed="false">
      <c r="A307" s="12" t="n">
        <v>306</v>
      </c>
      <c r="B307" s="12" t="n">
        <v>33</v>
      </c>
      <c r="C307" s="12" t="s">
        <v>40</v>
      </c>
      <c r="D307" s="12" t="n">
        <v>2</v>
      </c>
      <c r="E307" s="12" t="s">
        <v>41</v>
      </c>
      <c r="F307" s="12" t="s">
        <v>49</v>
      </c>
      <c r="G307" s="12" t="s">
        <v>42</v>
      </c>
      <c r="H307" s="12" t="n">
        <v>1543</v>
      </c>
      <c r="I307" s="12" t="n">
        <v>6</v>
      </c>
      <c r="J307" s="12" t="s">
        <v>25</v>
      </c>
    </row>
    <row r="308" customFormat="false" ht="15" hidden="false" customHeight="true" outlineLevel="0" collapsed="false">
      <c r="A308" s="12" t="n">
        <v>307</v>
      </c>
      <c r="B308" s="12" t="n">
        <v>24</v>
      </c>
      <c r="C308" s="12" t="s">
        <v>44</v>
      </c>
      <c r="D308" s="12" t="n">
        <v>1</v>
      </c>
      <c r="E308" s="12" t="s">
        <v>48</v>
      </c>
      <c r="F308" s="12" t="s">
        <v>42</v>
      </c>
      <c r="G308" s="12" t="s">
        <v>42</v>
      </c>
      <c r="H308" s="12" t="n">
        <v>4811</v>
      </c>
      <c r="I308" s="12" t="n">
        <v>30</v>
      </c>
      <c r="J308" s="12" t="s">
        <v>23</v>
      </c>
    </row>
    <row r="309" customFormat="false" ht="15" hidden="false" customHeight="true" outlineLevel="0" collapsed="false">
      <c r="A309" s="12" t="n">
        <v>308</v>
      </c>
      <c r="B309" s="12" t="n">
        <v>33</v>
      </c>
      <c r="C309" s="12" t="s">
        <v>40</v>
      </c>
      <c r="D309" s="12" t="n">
        <v>1</v>
      </c>
      <c r="E309" s="12" t="s">
        <v>41</v>
      </c>
      <c r="F309" s="12" t="s">
        <v>45</v>
      </c>
      <c r="G309" s="12" t="s">
        <v>43</v>
      </c>
      <c r="H309" s="12" t="n">
        <v>727</v>
      </c>
      <c r="I309" s="12" t="n">
        <v>12</v>
      </c>
      <c r="J309" s="12" t="s">
        <v>24</v>
      </c>
    </row>
    <row r="310" customFormat="false" ht="15" hidden="false" customHeight="true" outlineLevel="0" collapsed="false">
      <c r="A310" s="12" t="n">
        <v>309</v>
      </c>
      <c r="B310" s="12" t="n">
        <v>24</v>
      </c>
      <c r="C310" s="12" t="s">
        <v>44</v>
      </c>
      <c r="D310" s="12" t="n">
        <v>2</v>
      </c>
      <c r="E310" s="12" t="s">
        <v>41</v>
      </c>
      <c r="F310" s="12" t="s">
        <v>43</v>
      </c>
      <c r="G310" s="12" t="s">
        <v>45</v>
      </c>
      <c r="H310" s="12" t="n">
        <v>1237</v>
      </c>
      <c r="I310" s="12" t="n">
        <v>8</v>
      </c>
      <c r="J310" s="12" t="s">
        <v>25</v>
      </c>
    </row>
    <row r="311" customFormat="false" ht="15" hidden="false" customHeight="true" outlineLevel="0" collapsed="false">
      <c r="A311" s="12" t="n">
        <v>310</v>
      </c>
      <c r="B311" s="12" t="n">
        <v>22</v>
      </c>
      <c r="C311" s="12" t="s">
        <v>40</v>
      </c>
      <c r="D311" s="12" t="n">
        <v>1</v>
      </c>
      <c r="E311" s="12" t="s">
        <v>48</v>
      </c>
      <c r="F311" s="12" t="s">
        <v>43</v>
      </c>
      <c r="G311" s="12" t="s">
        <v>45</v>
      </c>
      <c r="H311" s="12" t="n">
        <v>276</v>
      </c>
      <c r="I311" s="12" t="n">
        <v>9</v>
      </c>
      <c r="J311" s="12" t="s">
        <v>23</v>
      </c>
    </row>
    <row r="312" customFormat="false" ht="15" hidden="false" customHeight="true" outlineLevel="0" collapsed="false">
      <c r="A312" s="12" t="n">
        <v>311</v>
      </c>
      <c r="B312" s="12" t="n">
        <v>40</v>
      </c>
      <c r="C312" s="12" t="s">
        <v>40</v>
      </c>
      <c r="D312" s="12" t="n">
        <v>0</v>
      </c>
      <c r="E312" s="12" t="s">
        <v>46</v>
      </c>
      <c r="F312" s="12" t="s">
        <v>42</v>
      </c>
      <c r="G312" s="12" t="s">
        <v>45</v>
      </c>
      <c r="H312" s="12" t="n">
        <v>5381</v>
      </c>
      <c r="I312" s="12" t="n">
        <v>48</v>
      </c>
      <c r="J312" s="12" t="s">
        <v>30</v>
      </c>
    </row>
    <row r="313" customFormat="false" ht="15" hidden="false" customHeight="true" outlineLevel="0" collapsed="false">
      <c r="A313" s="12" t="n">
        <v>312</v>
      </c>
      <c r="B313" s="12" t="n">
        <v>25</v>
      </c>
      <c r="C313" s="12" t="s">
        <v>40</v>
      </c>
      <c r="D313" s="12" t="n">
        <v>2</v>
      </c>
      <c r="E313" s="12" t="s">
        <v>41</v>
      </c>
      <c r="F313" s="12" t="s">
        <v>45</v>
      </c>
      <c r="G313" s="12" t="s">
        <v>42</v>
      </c>
      <c r="H313" s="12" t="n">
        <v>5511</v>
      </c>
      <c r="I313" s="12" t="n">
        <v>24</v>
      </c>
      <c r="J313" s="12" t="s">
        <v>25</v>
      </c>
    </row>
    <row r="314" customFormat="false" ht="15" hidden="false" customHeight="true" outlineLevel="0" collapsed="false">
      <c r="A314" s="12" t="n">
        <v>313</v>
      </c>
      <c r="B314" s="12" t="n">
        <v>26</v>
      </c>
      <c r="C314" s="12" t="s">
        <v>44</v>
      </c>
      <c r="D314" s="12" t="n">
        <v>2</v>
      </c>
      <c r="E314" s="12" t="s">
        <v>41</v>
      </c>
      <c r="F314" s="12" t="s">
        <v>43</v>
      </c>
      <c r="G314" s="12" t="s">
        <v>49</v>
      </c>
      <c r="H314" s="12" t="n">
        <v>3749</v>
      </c>
      <c r="I314" s="12" t="n">
        <v>24</v>
      </c>
      <c r="J314" s="12" t="s">
        <v>25</v>
      </c>
    </row>
    <row r="315" customFormat="false" ht="15" hidden="false" customHeight="true" outlineLevel="0" collapsed="false">
      <c r="A315" s="12" t="n">
        <v>314</v>
      </c>
      <c r="B315" s="12" t="n">
        <v>25</v>
      </c>
      <c r="C315" s="12" t="s">
        <v>40</v>
      </c>
      <c r="D315" s="12" t="n">
        <v>1</v>
      </c>
      <c r="E315" s="12" t="s">
        <v>41</v>
      </c>
      <c r="F315" s="12" t="s">
        <v>43</v>
      </c>
      <c r="G315" s="12" t="s">
        <v>45</v>
      </c>
      <c r="H315" s="12" t="n">
        <v>685</v>
      </c>
      <c r="I315" s="12" t="n">
        <v>12</v>
      </c>
      <c r="J315" s="12" t="s">
        <v>23</v>
      </c>
    </row>
    <row r="316" customFormat="false" ht="15" hidden="false" customHeight="true" outlineLevel="0" collapsed="false">
      <c r="A316" s="12" t="n">
        <v>315</v>
      </c>
      <c r="B316" s="12" t="n">
        <v>29</v>
      </c>
      <c r="C316" s="12" t="s">
        <v>40</v>
      </c>
      <c r="D316" s="12" t="n">
        <v>1</v>
      </c>
      <c r="E316" s="12" t="s">
        <v>41</v>
      </c>
      <c r="F316" s="12" t="s">
        <v>42</v>
      </c>
      <c r="G316" s="12" t="s">
        <v>49</v>
      </c>
      <c r="H316" s="12" t="n">
        <v>1494</v>
      </c>
      <c r="I316" s="12" t="n">
        <v>4</v>
      </c>
      <c r="J316" s="12" t="s">
        <v>23</v>
      </c>
    </row>
    <row r="317" customFormat="false" ht="15" hidden="false" customHeight="true" outlineLevel="0" collapsed="false">
      <c r="A317" s="12" t="n">
        <v>316</v>
      </c>
      <c r="B317" s="12" t="n">
        <v>31</v>
      </c>
      <c r="C317" s="12" t="s">
        <v>40</v>
      </c>
      <c r="D317" s="12" t="n">
        <v>2</v>
      </c>
      <c r="E317" s="12" t="s">
        <v>41</v>
      </c>
      <c r="F317" s="12" t="s">
        <v>43</v>
      </c>
      <c r="G317" s="12" t="s">
        <v>43</v>
      </c>
      <c r="H317" s="12" t="n">
        <v>2746</v>
      </c>
      <c r="I317" s="12" t="n">
        <v>36</v>
      </c>
      <c r="J317" s="12" t="s">
        <v>25</v>
      </c>
    </row>
    <row r="318" customFormat="false" ht="15" hidden="false" customHeight="true" outlineLevel="0" collapsed="false">
      <c r="A318" s="12" t="n">
        <v>317</v>
      </c>
      <c r="B318" s="12" t="n">
        <v>38</v>
      </c>
      <c r="C318" s="12" t="s">
        <v>40</v>
      </c>
      <c r="D318" s="12" t="n">
        <v>1</v>
      </c>
      <c r="E318" s="12" t="s">
        <v>41</v>
      </c>
      <c r="F318" s="12" t="s">
        <v>43</v>
      </c>
      <c r="G318" s="12" t="s">
        <v>43</v>
      </c>
      <c r="H318" s="12" t="n">
        <v>708</v>
      </c>
      <c r="I318" s="12" t="n">
        <v>12</v>
      </c>
      <c r="J318" s="12" t="s">
        <v>25</v>
      </c>
    </row>
    <row r="319" customFormat="false" ht="15" hidden="false" customHeight="true" outlineLevel="0" collapsed="false">
      <c r="A319" s="12" t="n">
        <v>318</v>
      </c>
      <c r="B319" s="12" t="n">
        <v>48</v>
      </c>
      <c r="C319" s="12" t="s">
        <v>44</v>
      </c>
      <c r="D319" s="12" t="n">
        <v>1</v>
      </c>
      <c r="E319" s="12" t="s">
        <v>41</v>
      </c>
      <c r="F319" s="12" t="s">
        <v>42</v>
      </c>
      <c r="G319" s="12" t="s">
        <v>45</v>
      </c>
      <c r="H319" s="12" t="n">
        <v>4351</v>
      </c>
      <c r="I319" s="12" t="n">
        <v>24</v>
      </c>
      <c r="J319" s="12" t="s">
        <v>25</v>
      </c>
    </row>
    <row r="320" customFormat="false" ht="15" hidden="false" customHeight="true" outlineLevel="0" collapsed="false">
      <c r="A320" s="12" t="n">
        <v>319</v>
      </c>
      <c r="B320" s="12" t="n">
        <v>32</v>
      </c>
      <c r="C320" s="12" t="s">
        <v>40</v>
      </c>
      <c r="D320" s="12" t="n">
        <v>2</v>
      </c>
      <c r="E320" s="12" t="s">
        <v>41</v>
      </c>
      <c r="F320" s="12" t="s">
        <v>43</v>
      </c>
      <c r="G320" s="12" t="s">
        <v>42</v>
      </c>
      <c r="H320" s="12" t="n">
        <v>701</v>
      </c>
      <c r="I320" s="12" t="n">
        <v>12</v>
      </c>
      <c r="J320" s="12" t="s">
        <v>27</v>
      </c>
    </row>
    <row r="321" customFormat="false" ht="15" hidden="false" customHeight="true" outlineLevel="0" collapsed="false">
      <c r="A321" s="12" t="n">
        <v>320</v>
      </c>
      <c r="B321" s="12" t="n">
        <v>27</v>
      </c>
      <c r="C321" s="12" t="s">
        <v>44</v>
      </c>
      <c r="D321" s="12" t="n">
        <v>1</v>
      </c>
      <c r="E321" s="12" t="s">
        <v>41</v>
      </c>
      <c r="F321" s="12" t="s">
        <v>43</v>
      </c>
      <c r="G321" s="12" t="s">
        <v>43</v>
      </c>
      <c r="H321" s="12" t="n">
        <v>3643</v>
      </c>
      <c r="I321" s="12" t="n">
        <v>15</v>
      </c>
      <c r="J321" s="12" t="s">
        <v>25</v>
      </c>
    </row>
    <row r="322" customFormat="false" ht="15" hidden="false" customHeight="true" outlineLevel="0" collapsed="false">
      <c r="A322" s="12" t="n">
        <v>321</v>
      </c>
      <c r="B322" s="12" t="n">
        <v>28</v>
      </c>
      <c r="C322" s="12" t="s">
        <v>40</v>
      </c>
      <c r="D322" s="12" t="n">
        <v>3</v>
      </c>
      <c r="E322" s="12" t="s">
        <v>41</v>
      </c>
      <c r="F322" s="12" t="s">
        <v>43</v>
      </c>
      <c r="G322" s="12" t="s">
        <v>45</v>
      </c>
      <c r="H322" s="12" t="n">
        <v>4249</v>
      </c>
      <c r="I322" s="12" t="n">
        <v>30</v>
      </c>
      <c r="J322" s="12" t="s">
        <v>23</v>
      </c>
    </row>
    <row r="323" customFormat="false" ht="15" hidden="false" customHeight="true" outlineLevel="0" collapsed="false">
      <c r="A323" s="12" t="n">
        <v>322</v>
      </c>
      <c r="B323" s="12" t="n">
        <v>32</v>
      </c>
      <c r="C323" s="12" t="s">
        <v>40</v>
      </c>
      <c r="D323" s="12" t="n">
        <v>2</v>
      </c>
      <c r="E323" s="12" t="s">
        <v>41</v>
      </c>
      <c r="F323" s="12" t="s">
        <v>43</v>
      </c>
      <c r="G323" s="12" t="s">
        <v>43</v>
      </c>
      <c r="H323" s="12" t="n">
        <v>1938</v>
      </c>
      <c r="I323" s="12" t="n">
        <v>24</v>
      </c>
      <c r="J323" s="12" t="s">
        <v>24</v>
      </c>
    </row>
    <row r="324" customFormat="false" ht="15" hidden="false" customHeight="true" outlineLevel="0" collapsed="false">
      <c r="A324" s="12" t="n">
        <v>323</v>
      </c>
      <c r="B324" s="12" t="n">
        <v>34</v>
      </c>
      <c r="C324" s="12" t="s">
        <v>40</v>
      </c>
      <c r="D324" s="12" t="n">
        <v>3</v>
      </c>
      <c r="E324" s="12" t="s">
        <v>46</v>
      </c>
      <c r="F324" s="12" t="s">
        <v>43</v>
      </c>
      <c r="G324" s="12" t="s">
        <v>43</v>
      </c>
      <c r="H324" s="12" t="n">
        <v>2910</v>
      </c>
      <c r="I324" s="12" t="n">
        <v>24</v>
      </c>
      <c r="J324" s="12" t="s">
        <v>23</v>
      </c>
    </row>
    <row r="325" customFormat="false" ht="15" hidden="false" customHeight="true" outlineLevel="0" collapsed="false">
      <c r="A325" s="12" t="n">
        <v>324</v>
      </c>
      <c r="B325" s="12" t="n">
        <v>28</v>
      </c>
      <c r="C325" s="12" t="s">
        <v>40</v>
      </c>
      <c r="D325" s="12" t="n">
        <v>2</v>
      </c>
      <c r="E325" s="12" t="s">
        <v>41</v>
      </c>
      <c r="F325" s="12" t="s">
        <v>49</v>
      </c>
      <c r="G325" s="12" t="s">
        <v>43</v>
      </c>
      <c r="H325" s="12" t="n">
        <v>2659</v>
      </c>
      <c r="I325" s="12" t="n">
        <v>18</v>
      </c>
      <c r="J325" s="12" t="s">
        <v>25</v>
      </c>
    </row>
    <row r="326" customFormat="false" ht="15" hidden="false" customHeight="true" outlineLevel="0" collapsed="false">
      <c r="A326" s="12" t="n">
        <v>325</v>
      </c>
      <c r="B326" s="12" t="n">
        <v>36</v>
      </c>
      <c r="C326" s="12" t="s">
        <v>44</v>
      </c>
      <c r="D326" s="12" t="n">
        <v>2</v>
      </c>
      <c r="E326" s="12" t="s">
        <v>41</v>
      </c>
      <c r="F326" s="12" t="s">
        <v>43</v>
      </c>
      <c r="G326" s="12" t="s">
        <v>42</v>
      </c>
      <c r="H326" s="12" t="n">
        <v>1028</v>
      </c>
      <c r="I326" s="12" t="n">
        <v>18</v>
      </c>
      <c r="J326" s="12" t="s">
        <v>23</v>
      </c>
    </row>
    <row r="327" customFormat="false" ht="15" hidden="false" customHeight="true" outlineLevel="0" collapsed="false">
      <c r="A327" s="12" t="n">
        <v>326</v>
      </c>
      <c r="B327" s="12" t="n">
        <v>39</v>
      </c>
      <c r="C327" s="12" t="s">
        <v>40</v>
      </c>
      <c r="D327" s="12" t="n">
        <v>1</v>
      </c>
      <c r="E327" s="12" t="s">
        <v>41</v>
      </c>
      <c r="F327" s="12" t="s">
        <v>43</v>
      </c>
      <c r="G327" s="12" t="s">
        <v>43</v>
      </c>
      <c r="H327" s="12" t="n">
        <v>3398</v>
      </c>
      <c r="I327" s="12" t="n">
        <v>8</v>
      </c>
      <c r="J327" s="12" t="s">
        <v>23</v>
      </c>
    </row>
    <row r="328" customFormat="false" ht="15" hidden="false" customHeight="true" outlineLevel="0" collapsed="false">
      <c r="A328" s="12" t="n">
        <v>327</v>
      </c>
      <c r="B328" s="12" t="n">
        <v>49</v>
      </c>
      <c r="C328" s="12" t="s">
        <v>40</v>
      </c>
      <c r="D328" s="12" t="n">
        <v>2</v>
      </c>
      <c r="E328" s="12" t="s">
        <v>48</v>
      </c>
      <c r="F328" s="12" t="s">
        <v>42</v>
      </c>
      <c r="G328" s="12" t="s">
        <v>42</v>
      </c>
      <c r="H328" s="12" t="n">
        <v>5801</v>
      </c>
      <c r="I328" s="12" t="n">
        <v>12</v>
      </c>
      <c r="J328" s="12" t="s">
        <v>25</v>
      </c>
    </row>
    <row r="329" customFormat="false" ht="15" hidden="false" customHeight="true" outlineLevel="0" collapsed="false">
      <c r="A329" s="12" t="n">
        <v>328</v>
      </c>
      <c r="B329" s="12" t="n">
        <v>34</v>
      </c>
      <c r="C329" s="12" t="s">
        <v>44</v>
      </c>
      <c r="D329" s="12" t="n">
        <v>2</v>
      </c>
      <c r="E329" s="12" t="s">
        <v>41</v>
      </c>
      <c r="F329" s="12" t="s">
        <v>49</v>
      </c>
      <c r="G329" s="12" t="s">
        <v>42</v>
      </c>
      <c r="H329" s="12" t="n">
        <v>1525</v>
      </c>
      <c r="I329" s="12" t="n">
        <v>24</v>
      </c>
      <c r="J329" s="12" t="s">
        <v>23</v>
      </c>
    </row>
    <row r="330" customFormat="false" ht="15" hidden="false" customHeight="true" outlineLevel="0" collapsed="false">
      <c r="A330" s="12" t="n">
        <v>329</v>
      </c>
      <c r="B330" s="12" t="n">
        <v>31</v>
      </c>
      <c r="C330" s="12" t="s">
        <v>40</v>
      </c>
      <c r="D330" s="12" t="n">
        <v>2</v>
      </c>
      <c r="E330" s="12" t="s">
        <v>41</v>
      </c>
      <c r="F330" s="12" t="s">
        <v>43</v>
      </c>
      <c r="G330" s="12" t="s">
        <v>49</v>
      </c>
      <c r="H330" s="12" t="n">
        <v>4473</v>
      </c>
      <c r="I330" s="12" t="n">
        <v>36</v>
      </c>
      <c r="J330" s="12" t="s">
        <v>24</v>
      </c>
    </row>
    <row r="331" customFormat="false" ht="15" hidden="false" customHeight="true" outlineLevel="0" collapsed="false">
      <c r="A331" s="12" t="n">
        <v>330</v>
      </c>
      <c r="B331" s="12" t="n">
        <v>28</v>
      </c>
      <c r="C331" s="12" t="s">
        <v>40</v>
      </c>
      <c r="D331" s="12" t="n">
        <v>2</v>
      </c>
      <c r="E331" s="12" t="s">
        <v>41</v>
      </c>
      <c r="F331" s="12" t="s">
        <v>43</v>
      </c>
      <c r="G331" s="12" t="s">
        <v>45</v>
      </c>
      <c r="H331" s="12" t="n">
        <v>1068</v>
      </c>
      <c r="I331" s="12" t="n">
        <v>6</v>
      </c>
      <c r="J331" s="12" t="s">
        <v>24</v>
      </c>
    </row>
    <row r="332" customFormat="false" ht="15" hidden="false" customHeight="true" outlineLevel="0" collapsed="false">
      <c r="A332" s="12" t="n">
        <v>331</v>
      </c>
      <c r="B332" s="12" t="n">
        <v>75</v>
      </c>
      <c r="C332" s="12" t="s">
        <v>40</v>
      </c>
      <c r="D332" s="12" t="n">
        <v>3</v>
      </c>
      <c r="E332" s="12" t="s">
        <v>46</v>
      </c>
      <c r="F332" s="12" t="s">
        <v>43</v>
      </c>
      <c r="G332" s="12" t="s">
        <v>43</v>
      </c>
      <c r="H332" s="12" t="n">
        <v>6615</v>
      </c>
      <c r="I332" s="12" t="n">
        <v>24</v>
      </c>
      <c r="J332" s="12" t="s">
        <v>23</v>
      </c>
    </row>
    <row r="333" customFormat="false" ht="15" hidden="false" customHeight="true" outlineLevel="0" collapsed="false">
      <c r="A333" s="12" t="n">
        <v>332</v>
      </c>
      <c r="B333" s="12" t="n">
        <v>30</v>
      </c>
      <c r="C333" s="12" t="s">
        <v>44</v>
      </c>
      <c r="D333" s="12" t="n">
        <v>2</v>
      </c>
      <c r="E333" s="12" t="s">
        <v>41</v>
      </c>
      <c r="F333" s="12" t="s">
        <v>45</v>
      </c>
      <c r="G333" s="12" t="s">
        <v>42</v>
      </c>
      <c r="H333" s="12" t="n">
        <v>1864</v>
      </c>
      <c r="I333" s="12" t="n">
        <v>18</v>
      </c>
      <c r="J333" s="12" t="s">
        <v>27</v>
      </c>
    </row>
    <row r="334" customFormat="false" ht="15" hidden="false" customHeight="true" outlineLevel="0" collapsed="false">
      <c r="A334" s="12" t="n">
        <v>333</v>
      </c>
      <c r="B334" s="12" t="n">
        <v>24</v>
      </c>
      <c r="C334" s="12" t="s">
        <v>44</v>
      </c>
      <c r="D334" s="12" t="n">
        <v>3</v>
      </c>
      <c r="E334" s="12" t="s">
        <v>41</v>
      </c>
      <c r="F334" s="12" t="s">
        <v>45</v>
      </c>
      <c r="G334" s="12" t="s">
        <v>45</v>
      </c>
      <c r="H334" s="12" t="n">
        <v>7408</v>
      </c>
      <c r="I334" s="12" t="n">
        <v>60</v>
      </c>
      <c r="J334" s="12" t="s">
        <v>23</v>
      </c>
    </row>
    <row r="335" customFormat="false" ht="15" hidden="false" customHeight="true" outlineLevel="0" collapsed="false">
      <c r="A335" s="12" t="n">
        <v>334</v>
      </c>
      <c r="B335" s="12" t="n">
        <v>24</v>
      </c>
      <c r="C335" s="12" t="s">
        <v>44</v>
      </c>
      <c r="D335" s="12" t="n">
        <v>1</v>
      </c>
      <c r="E335" s="12" t="s">
        <v>48</v>
      </c>
      <c r="F335" s="12" t="s">
        <v>45</v>
      </c>
      <c r="G335" s="12" t="s">
        <v>42</v>
      </c>
      <c r="H335" s="12" t="n">
        <v>11590</v>
      </c>
      <c r="I335" s="12" t="n">
        <v>48</v>
      </c>
      <c r="J335" s="12" t="s">
        <v>23</v>
      </c>
    </row>
    <row r="336" customFormat="false" ht="15" hidden="false" customHeight="true" outlineLevel="0" collapsed="false">
      <c r="A336" s="12" t="n">
        <v>335</v>
      </c>
      <c r="B336" s="12" t="n">
        <v>23</v>
      </c>
      <c r="C336" s="12" t="s">
        <v>40</v>
      </c>
      <c r="D336" s="12" t="n">
        <v>2</v>
      </c>
      <c r="E336" s="12" t="s">
        <v>48</v>
      </c>
      <c r="F336" s="12" t="s">
        <v>43</v>
      </c>
      <c r="G336" s="12" t="s">
        <v>43</v>
      </c>
      <c r="H336" s="12" t="n">
        <v>4110</v>
      </c>
      <c r="I336" s="12" t="n">
        <v>24</v>
      </c>
      <c r="J336" s="12" t="s">
        <v>25</v>
      </c>
    </row>
    <row r="337" customFormat="false" ht="15" hidden="false" customHeight="true" outlineLevel="0" collapsed="false">
      <c r="A337" s="12" t="n">
        <v>336</v>
      </c>
      <c r="B337" s="12" t="n">
        <v>44</v>
      </c>
      <c r="C337" s="12" t="s">
        <v>40</v>
      </c>
      <c r="D337" s="12" t="n">
        <v>3</v>
      </c>
      <c r="E337" s="12" t="s">
        <v>48</v>
      </c>
      <c r="F337" s="12" t="s">
        <v>43</v>
      </c>
      <c r="G337" s="12" t="s">
        <v>43</v>
      </c>
      <c r="H337" s="12" t="n">
        <v>3384</v>
      </c>
      <c r="I337" s="12" t="n">
        <v>6</v>
      </c>
      <c r="J337" s="12" t="s">
        <v>25</v>
      </c>
    </row>
    <row r="338" customFormat="false" ht="15" hidden="false" customHeight="true" outlineLevel="0" collapsed="false">
      <c r="A338" s="12" t="n">
        <v>337</v>
      </c>
      <c r="B338" s="12" t="n">
        <v>23</v>
      </c>
      <c r="C338" s="12" t="s">
        <v>44</v>
      </c>
      <c r="D338" s="12" t="n">
        <v>1</v>
      </c>
      <c r="E338" s="12" t="s">
        <v>41</v>
      </c>
      <c r="F338" s="12" t="s">
        <v>43</v>
      </c>
      <c r="G338" s="12" t="s">
        <v>45</v>
      </c>
      <c r="H338" s="12" t="n">
        <v>2101</v>
      </c>
      <c r="I338" s="12" t="n">
        <v>13</v>
      </c>
      <c r="J338" s="12" t="s">
        <v>24</v>
      </c>
    </row>
    <row r="339" customFormat="false" ht="15" hidden="false" customHeight="true" outlineLevel="0" collapsed="false">
      <c r="A339" s="12" t="n">
        <v>338</v>
      </c>
      <c r="B339" s="12" t="n">
        <v>24</v>
      </c>
      <c r="C339" s="12" t="s">
        <v>44</v>
      </c>
      <c r="D339" s="12" t="n">
        <v>2</v>
      </c>
      <c r="E339" s="12" t="s">
        <v>48</v>
      </c>
      <c r="F339" s="12" t="s">
        <v>42</v>
      </c>
      <c r="G339" s="12" t="s">
        <v>43</v>
      </c>
      <c r="H339" s="12" t="n">
        <v>1275</v>
      </c>
      <c r="I339" s="12" t="n">
        <v>15</v>
      </c>
      <c r="J339" s="12" t="s">
        <v>29</v>
      </c>
    </row>
    <row r="340" customFormat="false" ht="15" hidden="false" customHeight="true" outlineLevel="0" collapsed="false">
      <c r="A340" s="12" t="n">
        <v>339</v>
      </c>
      <c r="B340" s="12" t="n">
        <v>28</v>
      </c>
      <c r="C340" s="12" t="s">
        <v>40</v>
      </c>
      <c r="D340" s="12" t="n">
        <v>2</v>
      </c>
      <c r="E340" s="12" t="s">
        <v>41</v>
      </c>
      <c r="F340" s="12" t="s">
        <v>43</v>
      </c>
      <c r="G340" s="12" t="s">
        <v>43</v>
      </c>
      <c r="H340" s="12" t="n">
        <v>4169</v>
      </c>
      <c r="I340" s="12" t="n">
        <v>24</v>
      </c>
      <c r="J340" s="12" t="s">
        <v>25</v>
      </c>
    </row>
    <row r="341" customFormat="false" ht="15" hidden="false" customHeight="true" outlineLevel="0" collapsed="false">
      <c r="A341" s="12" t="n">
        <v>340</v>
      </c>
      <c r="B341" s="12" t="n">
        <v>31</v>
      </c>
      <c r="C341" s="12" t="s">
        <v>40</v>
      </c>
      <c r="D341" s="12" t="n">
        <v>1</v>
      </c>
      <c r="E341" s="12" t="s">
        <v>41</v>
      </c>
      <c r="F341" s="12" t="s">
        <v>43</v>
      </c>
      <c r="G341" s="12" t="s">
        <v>45</v>
      </c>
      <c r="H341" s="12" t="n">
        <v>1521</v>
      </c>
      <c r="I341" s="12" t="n">
        <v>10</v>
      </c>
      <c r="J341" s="12" t="s">
        <v>25</v>
      </c>
    </row>
    <row r="342" customFormat="false" ht="15" hidden="false" customHeight="true" outlineLevel="0" collapsed="false">
      <c r="A342" s="12" t="n">
        <v>341</v>
      </c>
      <c r="B342" s="12" t="n">
        <v>24</v>
      </c>
      <c r="C342" s="12" t="s">
        <v>44</v>
      </c>
      <c r="D342" s="12" t="n">
        <v>2</v>
      </c>
      <c r="E342" s="12" t="s">
        <v>46</v>
      </c>
      <c r="F342" s="12" t="s">
        <v>43</v>
      </c>
      <c r="G342" s="12" t="s">
        <v>45</v>
      </c>
      <c r="H342" s="12" t="n">
        <v>5743</v>
      </c>
      <c r="I342" s="12" t="n">
        <v>24</v>
      </c>
      <c r="J342" s="12" t="s">
        <v>27</v>
      </c>
    </row>
    <row r="343" customFormat="false" ht="15" hidden="false" customHeight="true" outlineLevel="0" collapsed="false">
      <c r="A343" s="12" t="n">
        <v>342</v>
      </c>
      <c r="B343" s="12" t="n">
        <v>26</v>
      </c>
      <c r="C343" s="12" t="s">
        <v>44</v>
      </c>
      <c r="D343" s="12" t="n">
        <v>1</v>
      </c>
      <c r="E343" s="12" t="s">
        <v>48</v>
      </c>
      <c r="F343" s="12" t="s">
        <v>43</v>
      </c>
      <c r="G343" s="12" t="s">
        <v>43</v>
      </c>
      <c r="H343" s="12" t="n">
        <v>3599</v>
      </c>
      <c r="I343" s="12" t="n">
        <v>21</v>
      </c>
      <c r="J343" s="12" t="s">
        <v>25</v>
      </c>
    </row>
    <row r="344" customFormat="false" ht="15" hidden="false" customHeight="true" outlineLevel="0" collapsed="false">
      <c r="A344" s="12" t="n">
        <v>343</v>
      </c>
      <c r="B344" s="12" t="n">
        <v>25</v>
      </c>
      <c r="C344" s="12" t="s">
        <v>40</v>
      </c>
      <c r="D344" s="12" t="n">
        <v>2</v>
      </c>
      <c r="E344" s="12" t="s">
        <v>48</v>
      </c>
      <c r="F344" s="12" t="s">
        <v>47</v>
      </c>
      <c r="G344" s="12" t="s">
        <v>45</v>
      </c>
      <c r="H344" s="12" t="n">
        <v>3213</v>
      </c>
      <c r="I344" s="12" t="n">
        <v>18</v>
      </c>
      <c r="J344" s="12" t="s">
        <v>24</v>
      </c>
    </row>
    <row r="345" customFormat="false" ht="15" hidden="false" customHeight="true" outlineLevel="0" collapsed="false">
      <c r="A345" s="12" t="n">
        <v>344</v>
      </c>
      <c r="B345" s="12" t="n">
        <v>33</v>
      </c>
      <c r="C345" s="12" t="s">
        <v>40</v>
      </c>
      <c r="D345" s="12" t="n">
        <v>3</v>
      </c>
      <c r="E345" s="12" t="s">
        <v>41</v>
      </c>
      <c r="F345" s="12" t="s">
        <v>43</v>
      </c>
      <c r="G345" s="12" t="s">
        <v>45</v>
      </c>
      <c r="H345" s="12" t="n">
        <v>4439</v>
      </c>
      <c r="I345" s="12" t="n">
        <v>18</v>
      </c>
      <c r="J345" s="12" t="s">
        <v>26</v>
      </c>
    </row>
    <row r="346" customFormat="false" ht="15" hidden="false" customHeight="true" outlineLevel="0" collapsed="false">
      <c r="A346" s="12" t="n">
        <v>345</v>
      </c>
      <c r="B346" s="12" t="n">
        <v>37</v>
      </c>
      <c r="C346" s="12" t="s">
        <v>40</v>
      </c>
      <c r="D346" s="12" t="n">
        <v>1</v>
      </c>
      <c r="E346" s="12" t="s">
        <v>41</v>
      </c>
      <c r="F346" s="12" t="s">
        <v>43</v>
      </c>
      <c r="G346" s="12" t="s">
        <v>49</v>
      </c>
      <c r="H346" s="12" t="n">
        <v>3949</v>
      </c>
      <c r="I346" s="12" t="n">
        <v>10</v>
      </c>
      <c r="J346" s="12" t="s">
        <v>23</v>
      </c>
    </row>
    <row r="347" customFormat="false" ht="15" hidden="false" customHeight="true" outlineLevel="0" collapsed="false">
      <c r="A347" s="12" t="n">
        <v>346</v>
      </c>
      <c r="B347" s="12" t="n">
        <v>43</v>
      </c>
      <c r="C347" s="12" t="s">
        <v>44</v>
      </c>
      <c r="D347" s="12" t="n">
        <v>1</v>
      </c>
      <c r="E347" s="12" t="s">
        <v>41</v>
      </c>
      <c r="F347" s="12" t="s">
        <v>43</v>
      </c>
      <c r="G347" s="12" t="s">
        <v>42</v>
      </c>
      <c r="H347" s="12" t="n">
        <v>1459</v>
      </c>
      <c r="I347" s="12" t="n">
        <v>15</v>
      </c>
      <c r="J347" s="12" t="s">
        <v>24</v>
      </c>
    </row>
    <row r="348" customFormat="false" ht="15" hidden="false" customHeight="true" outlineLevel="0" collapsed="false">
      <c r="A348" s="12" t="n">
        <v>347</v>
      </c>
      <c r="B348" s="12" t="n">
        <v>23</v>
      </c>
      <c r="C348" s="12" t="s">
        <v>40</v>
      </c>
      <c r="D348" s="12" t="n">
        <v>2</v>
      </c>
      <c r="E348" s="12" t="s">
        <v>41</v>
      </c>
      <c r="F348" s="12" t="s">
        <v>43</v>
      </c>
      <c r="G348" s="12" t="s">
        <v>45</v>
      </c>
      <c r="H348" s="12" t="n">
        <v>882</v>
      </c>
      <c r="I348" s="12" t="n">
        <v>13</v>
      </c>
      <c r="J348" s="12" t="s">
        <v>24</v>
      </c>
    </row>
    <row r="349" customFormat="false" ht="15" hidden="false" customHeight="true" outlineLevel="0" collapsed="false">
      <c r="A349" s="12" t="n">
        <v>348</v>
      </c>
      <c r="B349" s="12" t="n">
        <v>23</v>
      </c>
      <c r="C349" s="12" t="s">
        <v>44</v>
      </c>
      <c r="D349" s="12" t="n">
        <v>0</v>
      </c>
      <c r="E349" s="12" t="s">
        <v>48</v>
      </c>
      <c r="F349" s="12" t="s">
        <v>47</v>
      </c>
      <c r="G349" s="12" t="s">
        <v>45</v>
      </c>
      <c r="H349" s="12" t="n">
        <v>3758</v>
      </c>
      <c r="I349" s="12" t="n">
        <v>24</v>
      </c>
      <c r="J349" s="12" t="s">
        <v>24</v>
      </c>
    </row>
    <row r="350" customFormat="false" ht="15" hidden="false" customHeight="true" outlineLevel="0" collapsed="false">
      <c r="A350" s="12" t="n">
        <v>349</v>
      </c>
      <c r="B350" s="12" t="n">
        <v>34</v>
      </c>
      <c r="C350" s="12" t="s">
        <v>40</v>
      </c>
      <c r="D350" s="12" t="n">
        <v>1</v>
      </c>
      <c r="E350" s="12" t="s">
        <v>41</v>
      </c>
      <c r="F350" s="12" t="s">
        <v>45</v>
      </c>
      <c r="G350" s="12" t="s">
        <v>42</v>
      </c>
      <c r="H350" s="12" t="n">
        <v>1743</v>
      </c>
      <c r="I350" s="12" t="n">
        <v>6</v>
      </c>
      <c r="J350" s="12" t="s">
        <v>26</v>
      </c>
    </row>
    <row r="351" customFormat="false" ht="15" hidden="false" customHeight="true" outlineLevel="0" collapsed="false">
      <c r="A351" s="12" t="n">
        <v>350</v>
      </c>
      <c r="B351" s="12" t="n">
        <v>32</v>
      </c>
      <c r="C351" s="12" t="s">
        <v>40</v>
      </c>
      <c r="D351" s="12" t="n">
        <v>2</v>
      </c>
      <c r="E351" s="12" t="s">
        <v>46</v>
      </c>
      <c r="F351" s="12" t="s">
        <v>49</v>
      </c>
      <c r="G351" s="12" t="s">
        <v>45</v>
      </c>
      <c r="H351" s="12" t="n">
        <v>1136</v>
      </c>
      <c r="I351" s="12" t="n">
        <v>9</v>
      </c>
      <c r="J351" s="12" t="s">
        <v>27</v>
      </c>
    </row>
    <row r="352" customFormat="false" ht="15" hidden="false" customHeight="true" outlineLevel="0" collapsed="false">
      <c r="A352" s="12" t="n">
        <v>351</v>
      </c>
      <c r="B352" s="12" t="n">
        <v>23</v>
      </c>
      <c r="C352" s="12" t="s">
        <v>44</v>
      </c>
      <c r="D352" s="12" t="n">
        <v>2</v>
      </c>
      <c r="E352" s="12" t="s">
        <v>48</v>
      </c>
      <c r="F352" s="12" t="s">
        <v>43</v>
      </c>
      <c r="G352" s="12" t="s">
        <v>42</v>
      </c>
      <c r="H352" s="12" t="n">
        <v>1236</v>
      </c>
      <c r="I352" s="12" t="n">
        <v>9</v>
      </c>
      <c r="J352" s="12" t="s">
        <v>29</v>
      </c>
    </row>
    <row r="353" customFormat="false" ht="15" hidden="false" customHeight="true" outlineLevel="0" collapsed="false">
      <c r="A353" s="12" t="n">
        <v>352</v>
      </c>
      <c r="B353" s="12" t="n">
        <v>29</v>
      </c>
      <c r="C353" s="12" t="s">
        <v>44</v>
      </c>
      <c r="D353" s="12" t="n">
        <v>2</v>
      </c>
      <c r="E353" s="12" t="s">
        <v>41</v>
      </c>
      <c r="F353" s="12" t="s">
        <v>43</v>
      </c>
      <c r="G353" s="12" t="s">
        <v>45</v>
      </c>
      <c r="H353" s="12" t="n">
        <v>959</v>
      </c>
      <c r="I353" s="12" t="n">
        <v>9</v>
      </c>
      <c r="J353" s="12" t="s">
        <v>25</v>
      </c>
    </row>
    <row r="354" customFormat="false" ht="15" hidden="false" customHeight="true" outlineLevel="0" collapsed="false">
      <c r="A354" s="12" t="n">
        <v>353</v>
      </c>
      <c r="B354" s="12" t="n">
        <v>38</v>
      </c>
      <c r="C354" s="12" t="s">
        <v>40</v>
      </c>
      <c r="D354" s="12" t="n">
        <v>3</v>
      </c>
      <c r="E354" s="12" t="s">
        <v>41</v>
      </c>
      <c r="F354" s="12" t="s">
        <v>42</v>
      </c>
      <c r="G354" s="12" t="s">
        <v>42</v>
      </c>
      <c r="H354" s="12" t="n">
        <v>3229</v>
      </c>
      <c r="I354" s="12" t="n">
        <v>18</v>
      </c>
      <c r="J354" s="12" t="s">
        <v>23</v>
      </c>
    </row>
    <row r="355" customFormat="false" ht="15" hidden="false" customHeight="true" outlineLevel="0" collapsed="false">
      <c r="A355" s="12" t="n">
        <v>354</v>
      </c>
      <c r="B355" s="12" t="n">
        <v>28</v>
      </c>
      <c r="C355" s="12" t="s">
        <v>40</v>
      </c>
      <c r="D355" s="12" t="n">
        <v>2</v>
      </c>
      <c r="E355" s="12" t="s">
        <v>48</v>
      </c>
      <c r="F355" s="12" t="s">
        <v>43</v>
      </c>
      <c r="G355" s="12" t="s">
        <v>43</v>
      </c>
      <c r="H355" s="12" t="n">
        <v>6199</v>
      </c>
      <c r="I355" s="12" t="n">
        <v>12</v>
      </c>
      <c r="J355" s="12" t="s">
        <v>24</v>
      </c>
    </row>
    <row r="356" customFormat="false" ht="15" hidden="false" customHeight="true" outlineLevel="0" collapsed="false">
      <c r="A356" s="12" t="n">
        <v>355</v>
      </c>
      <c r="B356" s="12" t="n">
        <v>46</v>
      </c>
      <c r="C356" s="12" t="s">
        <v>40</v>
      </c>
      <c r="D356" s="12" t="n">
        <v>2</v>
      </c>
      <c r="E356" s="12" t="s">
        <v>46</v>
      </c>
      <c r="F356" s="12" t="s">
        <v>47</v>
      </c>
      <c r="G356" s="12" t="s">
        <v>42</v>
      </c>
      <c r="H356" s="12" t="n">
        <v>727</v>
      </c>
      <c r="I356" s="12" t="n">
        <v>10</v>
      </c>
      <c r="J356" s="12" t="s">
        <v>27</v>
      </c>
    </row>
    <row r="357" customFormat="false" ht="15" hidden="false" customHeight="true" outlineLevel="0" collapsed="false">
      <c r="A357" s="12" t="n">
        <v>356</v>
      </c>
      <c r="B357" s="12" t="n">
        <v>23</v>
      </c>
      <c r="C357" s="12" t="s">
        <v>40</v>
      </c>
      <c r="D357" s="12" t="n">
        <v>1</v>
      </c>
      <c r="E357" s="12" t="s">
        <v>41</v>
      </c>
      <c r="F357" s="12" t="s">
        <v>43</v>
      </c>
      <c r="G357" s="12" t="s">
        <v>45</v>
      </c>
      <c r="H357" s="12" t="n">
        <v>1246</v>
      </c>
      <c r="I357" s="12" t="n">
        <v>24</v>
      </c>
      <c r="J357" s="12" t="s">
        <v>23</v>
      </c>
    </row>
    <row r="358" customFormat="false" ht="15" hidden="false" customHeight="true" outlineLevel="0" collapsed="false">
      <c r="A358" s="12" t="n">
        <v>357</v>
      </c>
      <c r="B358" s="12" t="n">
        <v>49</v>
      </c>
      <c r="C358" s="12" t="s">
        <v>40</v>
      </c>
      <c r="D358" s="12" t="n">
        <v>2</v>
      </c>
      <c r="E358" s="12" t="s">
        <v>41</v>
      </c>
      <c r="F358" s="12" t="s">
        <v>42</v>
      </c>
      <c r="G358" s="12" t="s">
        <v>42</v>
      </c>
      <c r="H358" s="12" t="n">
        <v>2331</v>
      </c>
      <c r="I358" s="12" t="n">
        <v>12</v>
      </c>
      <c r="J358" s="12" t="s">
        <v>24</v>
      </c>
    </row>
    <row r="359" customFormat="false" ht="15" hidden="false" customHeight="true" outlineLevel="0" collapsed="false">
      <c r="A359" s="12" t="n">
        <v>358</v>
      </c>
      <c r="B359" s="12" t="n">
        <v>26</v>
      </c>
      <c r="C359" s="12" t="s">
        <v>40</v>
      </c>
      <c r="D359" s="12" t="n">
        <v>3</v>
      </c>
      <c r="E359" s="12" t="s">
        <v>41</v>
      </c>
      <c r="F359" s="12" t="s">
        <v>43</v>
      </c>
      <c r="G359" s="12" t="s">
        <v>42</v>
      </c>
      <c r="H359" s="12" t="n">
        <v>4463</v>
      </c>
      <c r="I359" s="12" t="n">
        <v>36</v>
      </c>
      <c r="J359" s="12" t="s">
        <v>24</v>
      </c>
    </row>
    <row r="360" customFormat="false" ht="15" hidden="false" customHeight="true" outlineLevel="0" collapsed="false">
      <c r="A360" s="12" t="n">
        <v>359</v>
      </c>
      <c r="B360" s="12" t="n">
        <v>28</v>
      </c>
      <c r="C360" s="12" t="s">
        <v>40</v>
      </c>
      <c r="D360" s="12" t="n">
        <v>2</v>
      </c>
      <c r="E360" s="12" t="s">
        <v>41</v>
      </c>
      <c r="F360" s="12" t="s">
        <v>43</v>
      </c>
      <c r="G360" s="12" t="s">
        <v>42</v>
      </c>
      <c r="H360" s="12" t="n">
        <v>776</v>
      </c>
      <c r="I360" s="12" t="n">
        <v>12</v>
      </c>
      <c r="J360" s="12" t="s">
        <v>24</v>
      </c>
    </row>
    <row r="361" customFormat="false" ht="15" hidden="false" customHeight="true" outlineLevel="0" collapsed="false">
      <c r="A361" s="12" t="n">
        <v>360</v>
      </c>
      <c r="B361" s="12" t="n">
        <v>23</v>
      </c>
      <c r="C361" s="12" t="s">
        <v>44</v>
      </c>
      <c r="D361" s="12" t="n">
        <v>2</v>
      </c>
      <c r="E361" s="12" t="s">
        <v>48</v>
      </c>
      <c r="F361" s="12" t="s">
        <v>43</v>
      </c>
      <c r="G361" s="12" t="s">
        <v>43</v>
      </c>
      <c r="H361" s="12" t="n">
        <v>2406</v>
      </c>
      <c r="I361" s="12" t="n">
        <v>30</v>
      </c>
      <c r="J361" s="12" t="s">
        <v>25</v>
      </c>
    </row>
    <row r="362" customFormat="false" ht="15" hidden="false" customHeight="true" outlineLevel="0" collapsed="false">
      <c r="A362" s="12" t="n">
        <v>361</v>
      </c>
      <c r="B362" s="12" t="n">
        <v>61</v>
      </c>
      <c r="C362" s="12" t="s">
        <v>40</v>
      </c>
      <c r="D362" s="12" t="n">
        <v>2</v>
      </c>
      <c r="E362" s="12" t="s">
        <v>46</v>
      </c>
      <c r="F362" s="12" t="s">
        <v>42</v>
      </c>
      <c r="G362" s="12" t="s">
        <v>45</v>
      </c>
      <c r="H362" s="12" t="n">
        <v>1239</v>
      </c>
      <c r="I362" s="12" t="n">
        <v>18</v>
      </c>
      <c r="J362" s="12" t="s">
        <v>27</v>
      </c>
    </row>
    <row r="363" customFormat="false" ht="15" hidden="false" customHeight="true" outlineLevel="0" collapsed="false">
      <c r="A363" s="12" t="n">
        <v>362</v>
      </c>
      <c r="B363" s="12" t="n">
        <v>37</v>
      </c>
      <c r="C363" s="12" t="s">
        <v>40</v>
      </c>
      <c r="D363" s="12" t="n">
        <v>3</v>
      </c>
      <c r="E363" s="12" t="s">
        <v>41</v>
      </c>
      <c r="F363" s="12" t="s">
        <v>42</v>
      </c>
      <c r="G363" s="12" t="s">
        <v>49</v>
      </c>
      <c r="H363" s="12" t="n">
        <v>3399</v>
      </c>
      <c r="I363" s="12" t="n">
        <v>12</v>
      </c>
      <c r="J363" s="12" t="s">
        <v>24</v>
      </c>
    </row>
    <row r="364" customFormat="false" ht="15" hidden="false" customHeight="true" outlineLevel="0" collapsed="false">
      <c r="A364" s="12" t="n">
        <v>363</v>
      </c>
      <c r="B364" s="12" t="n">
        <v>36</v>
      </c>
      <c r="C364" s="12" t="s">
        <v>44</v>
      </c>
      <c r="D364" s="12" t="n">
        <v>2</v>
      </c>
      <c r="E364" s="12" t="s">
        <v>41</v>
      </c>
      <c r="F364" s="12" t="s">
        <v>43</v>
      </c>
      <c r="G364" s="12" t="s">
        <v>49</v>
      </c>
      <c r="H364" s="12" t="n">
        <v>2247</v>
      </c>
      <c r="I364" s="12" t="n">
        <v>12</v>
      </c>
      <c r="J364" s="12" t="s">
        <v>23</v>
      </c>
    </row>
    <row r="365" customFormat="false" ht="15" hidden="false" customHeight="true" outlineLevel="0" collapsed="false">
      <c r="A365" s="12" t="n">
        <v>364</v>
      </c>
      <c r="B365" s="12" t="n">
        <v>21</v>
      </c>
      <c r="C365" s="12" t="s">
        <v>40</v>
      </c>
      <c r="D365" s="12" t="n">
        <v>2</v>
      </c>
      <c r="E365" s="12" t="s">
        <v>48</v>
      </c>
      <c r="F365" s="12" t="s">
        <v>43</v>
      </c>
      <c r="G365" s="12" t="s">
        <v>42</v>
      </c>
      <c r="H365" s="12" t="n">
        <v>1766</v>
      </c>
      <c r="I365" s="12" t="n">
        <v>6</v>
      </c>
      <c r="J365" s="12" t="s">
        <v>25</v>
      </c>
    </row>
    <row r="366" customFormat="false" ht="15" hidden="false" customHeight="true" outlineLevel="0" collapsed="false">
      <c r="A366" s="12" t="n">
        <v>365</v>
      </c>
      <c r="B366" s="12" t="n">
        <v>25</v>
      </c>
      <c r="C366" s="12" t="s">
        <v>40</v>
      </c>
      <c r="D366" s="12" t="n">
        <v>0</v>
      </c>
      <c r="E366" s="12" t="s">
        <v>41</v>
      </c>
      <c r="F366" s="12" t="s">
        <v>43</v>
      </c>
      <c r="G366" s="12" t="s">
        <v>43</v>
      </c>
      <c r="H366" s="12" t="n">
        <v>2473</v>
      </c>
      <c r="I366" s="12" t="n">
        <v>18</v>
      </c>
      <c r="J366" s="12" t="s">
        <v>25</v>
      </c>
    </row>
    <row r="367" customFormat="false" ht="15" hidden="false" customHeight="true" outlineLevel="0" collapsed="false">
      <c r="A367" s="12" t="n">
        <v>366</v>
      </c>
      <c r="B367" s="12" t="n">
        <v>36</v>
      </c>
      <c r="C367" s="12" t="s">
        <v>40</v>
      </c>
      <c r="D367" s="12" t="n">
        <v>2</v>
      </c>
      <c r="E367" s="12" t="s">
        <v>41</v>
      </c>
      <c r="F367" s="12" t="s">
        <v>43</v>
      </c>
      <c r="G367" s="12" t="s">
        <v>42</v>
      </c>
      <c r="H367" s="12" t="n">
        <v>1542</v>
      </c>
      <c r="I367" s="12" t="n">
        <v>12</v>
      </c>
      <c r="J367" s="12" t="s">
        <v>26</v>
      </c>
    </row>
    <row r="368" customFormat="false" ht="15" hidden="false" customHeight="true" outlineLevel="0" collapsed="false">
      <c r="A368" s="12" t="n">
        <v>367</v>
      </c>
      <c r="B368" s="12" t="n">
        <v>27</v>
      </c>
      <c r="C368" s="12" t="s">
        <v>40</v>
      </c>
      <c r="D368" s="12" t="n">
        <v>2</v>
      </c>
      <c r="E368" s="12" t="s">
        <v>41</v>
      </c>
      <c r="F368" s="12" t="s">
        <v>43</v>
      </c>
      <c r="G368" s="12" t="s">
        <v>42</v>
      </c>
      <c r="H368" s="12" t="n">
        <v>3850</v>
      </c>
      <c r="I368" s="12" t="n">
        <v>18</v>
      </c>
      <c r="J368" s="12" t="s">
        <v>23</v>
      </c>
    </row>
    <row r="369" customFormat="false" ht="15" hidden="false" customHeight="true" outlineLevel="0" collapsed="false">
      <c r="A369" s="12" t="n">
        <v>368</v>
      </c>
      <c r="B369" s="12" t="n">
        <v>22</v>
      </c>
      <c r="C369" s="12" t="s">
        <v>44</v>
      </c>
      <c r="D369" s="12" t="n">
        <v>2</v>
      </c>
      <c r="E369" s="12" t="s">
        <v>48</v>
      </c>
      <c r="F369" s="12" t="s">
        <v>43</v>
      </c>
      <c r="G369" s="12" t="s">
        <v>43</v>
      </c>
      <c r="H369" s="12" t="n">
        <v>3650</v>
      </c>
      <c r="I369" s="12" t="n">
        <v>18</v>
      </c>
      <c r="J369" s="12" t="s">
        <v>25</v>
      </c>
    </row>
    <row r="370" customFormat="false" ht="15" hidden="false" customHeight="true" outlineLevel="0" collapsed="false">
      <c r="A370" s="12" t="n">
        <v>369</v>
      </c>
      <c r="B370" s="12" t="n">
        <v>42</v>
      </c>
      <c r="C370" s="12" t="s">
        <v>40</v>
      </c>
      <c r="D370" s="12" t="n">
        <v>2</v>
      </c>
      <c r="E370" s="12" t="s">
        <v>41</v>
      </c>
      <c r="F370" s="12" t="s">
        <v>43</v>
      </c>
      <c r="G370" s="12" t="s">
        <v>43</v>
      </c>
      <c r="H370" s="12" t="n">
        <v>3446</v>
      </c>
      <c r="I370" s="12" t="n">
        <v>36</v>
      </c>
      <c r="J370" s="12" t="s">
        <v>25</v>
      </c>
    </row>
    <row r="371" customFormat="false" ht="15" hidden="false" customHeight="true" outlineLevel="0" collapsed="false">
      <c r="A371" s="12" t="n">
        <v>370</v>
      </c>
      <c r="B371" s="12" t="n">
        <v>40</v>
      </c>
      <c r="C371" s="12" t="s">
        <v>44</v>
      </c>
      <c r="D371" s="12" t="n">
        <v>2</v>
      </c>
      <c r="E371" s="12" t="s">
        <v>48</v>
      </c>
      <c r="F371" s="12" t="s">
        <v>43</v>
      </c>
      <c r="G371" s="12" t="s">
        <v>45</v>
      </c>
      <c r="H371" s="12" t="n">
        <v>3001</v>
      </c>
      <c r="I371" s="12" t="n">
        <v>18</v>
      </c>
      <c r="J371" s="12" t="s">
        <v>25</v>
      </c>
    </row>
    <row r="372" customFormat="false" ht="15" hidden="false" customHeight="true" outlineLevel="0" collapsed="false">
      <c r="A372" s="12" t="n">
        <v>371</v>
      </c>
      <c r="B372" s="12" t="n">
        <v>36</v>
      </c>
      <c r="C372" s="12" t="s">
        <v>40</v>
      </c>
      <c r="D372" s="12" t="n">
        <v>2</v>
      </c>
      <c r="E372" s="12" t="s">
        <v>41</v>
      </c>
      <c r="F372" s="12" t="s">
        <v>42</v>
      </c>
      <c r="G372" s="12" t="s">
        <v>42</v>
      </c>
      <c r="H372" s="12" t="n">
        <v>3079</v>
      </c>
      <c r="I372" s="12" t="n">
        <v>36</v>
      </c>
      <c r="J372" s="12" t="s">
        <v>23</v>
      </c>
    </row>
    <row r="373" customFormat="false" ht="15" hidden="false" customHeight="true" outlineLevel="0" collapsed="false">
      <c r="A373" s="12" t="n">
        <v>372</v>
      </c>
      <c r="B373" s="12" t="n">
        <v>33</v>
      </c>
      <c r="C373" s="12" t="s">
        <v>40</v>
      </c>
      <c r="D373" s="12" t="n">
        <v>2</v>
      </c>
      <c r="E373" s="12" t="s">
        <v>41</v>
      </c>
      <c r="F373" s="12" t="s">
        <v>43</v>
      </c>
      <c r="G373" s="12" t="s">
        <v>42</v>
      </c>
      <c r="H373" s="12" t="n">
        <v>6070</v>
      </c>
      <c r="I373" s="12" t="n">
        <v>18</v>
      </c>
      <c r="J373" s="12" t="s">
        <v>24</v>
      </c>
    </row>
    <row r="374" customFormat="false" ht="15" hidden="false" customHeight="true" outlineLevel="0" collapsed="false">
      <c r="A374" s="12" t="n">
        <v>373</v>
      </c>
      <c r="B374" s="12" t="n">
        <v>23</v>
      </c>
      <c r="C374" s="12" t="s">
        <v>44</v>
      </c>
      <c r="D374" s="12" t="n">
        <v>2</v>
      </c>
      <c r="E374" s="12" t="s">
        <v>48</v>
      </c>
      <c r="F374" s="12" t="s">
        <v>43</v>
      </c>
      <c r="G374" s="12" t="s">
        <v>42</v>
      </c>
      <c r="H374" s="12" t="n">
        <v>2146</v>
      </c>
      <c r="I374" s="12" t="n">
        <v>10</v>
      </c>
      <c r="J374" s="12" t="s">
        <v>25</v>
      </c>
    </row>
    <row r="375" customFormat="false" ht="15" hidden="false" customHeight="true" outlineLevel="0" collapsed="false">
      <c r="A375" s="12" t="n">
        <v>374</v>
      </c>
      <c r="B375" s="12" t="n">
        <v>63</v>
      </c>
      <c r="C375" s="12" t="s">
        <v>40</v>
      </c>
      <c r="D375" s="12" t="n">
        <v>3</v>
      </c>
      <c r="E375" s="12" t="s">
        <v>46</v>
      </c>
      <c r="F375" s="12" t="s">
        <v>42</v>
      </c>
      <c r="G375" s="12" t="s">
        <v>42</v>
      </c>
      <c r="H375" s="12" t="n">
        <v>13756</v>
      </c>
      <c r="I375" s="12" t="n">
        <v>60</v>
      </c>
      <c r="J375" s="12" t="s">
        <v>23</v>
      </c>
    </row>
    <row r="376" customFormat="false" ht="15" hidden="false" customHeight="true" outlineLevel="0" collapsed="false">
      <c r="A376" s="12" t="n">
        <v>375</v>
      </c>
      <c r="B376" s="12" t="n">
        <v>60</v>
      </c>
      <c r="C376" s="12" t="s">
        <v>44</v>
      </c>
      <c r="D376" s="12" t="n">
        <v>3</v>
      </c>
      <c r="E376" s="12" t="s">
        <v>46</v>
      </c>
      <c r="F376" s="12" t="s">
        <v>45</v>
      </c>
      <c r="G376" s="12" t="s">
        <v>45</v>
      </c>
      <c r="H376" s="12" t="n">
        <v>14782</v>
      </c>
      <c r="I376" s="12" t="n">
        <v>60</v>
      </c>
      <c r="J376" s="12" t="s">
        <v>30</v>
      </c>
    </row>
    <row r="377" customFormat="false" ht="15" hidden="false" customHeight="true" outlineLevel="0" collapsed="false">
      <c r="A377" s="12" t="n">
        <v>376</v>
      </c>
      <c r="B377" s="12" t="n">
        <v>37</v>
      </c>
      <c r="C377" s="12" t="s">
        <v>44</v>
      </c>
      <c r="D377" s="12" t="n">
        <v>2</v>
      </c>
      <c r="E377" s="12" t="s">
        <v>48</v>
      </c>
      <c r="F377" s="12" t="s">
        <v>43</v>
      </c>
      <c r="G377" s="12" t="s">
        <v>43</v>
      </c>
      <c r="H377" s="12" t="n">
        <v>7685</v>
      </c>
      <c r="I377" s="12" t="n">
        <v>48</v>
      </c>
      <c r="J377" s="12" t="s">
        <v>26</v>
      </c>
    </row>
    <row r="378" customFormat="false" ht="15" hidden="false" customHeight="true" outlineLevel="0" collapsed="false">
      <c r="A378" s="12" t="n">
        <v>377</v>
      </c>
      <c r="B378" s="12" t="n">
        <v>34</v>
      </c>
      <c r="C378" s="12" t="s">
        <v>40</v>
      </c>
      <c r="D378" s="12" t="n">
        <v>2</v>
      </c>
      <c r="E378" s="12" t="s">
        <v>41</v>
      </c>
      <c r="F378" s="12" t="s">
        <v>43</v>
      </c>
      <c r="G378" s="12" t="s">
        <v>42</v>
      </c>
      <c r="H378" s="12" t="n">
        <v>2320</v>
      </c>
      <c r="I378" s="12" t="n">
        <v>18</v>
      </c>
      <c r="J378" s="12" t="s">
        <v>24</v>
      </c>
    </row>
    <row r="379" customFormat="false" ht="15" hidden="false" customHeight="true" outlineLevel="0" collapsed="false">
      <c r="A379" s="12" t="n">
        <v>378</v>
      </c>
      <c r="B379" s="12" t="n">
        <v>36</v>
      </c>
      <c r="C379" s="12" t="s">
        <v>40</v>
      </c>
      <c r="D379" s="12" t="n">
        <v>2</v>
      </c>
      <c r="E379" s="12" t="s">
        <v>46</v>
      </c>
      <c r="F379" s="12" t="s">
        <v>42</v>
      </c>
      <c r="G379" s="12" t="s">
        <v>42</v>
      </c>
      <c r="H379" s="12" t="n">
        <v>846</v>
      </c>
      <c r="I379" s="12" t="n">
        <v>7</v>
      </c>
      <c r="J379" s="12" t="s">
        <v>24</v>
      </c>
    </row>
    <row r="380" customFormat="false" ht="15" hidden="false" customHeight="true" outlineLevel="0" collapsed="false">
      <c r="A380" s="12" t="n">
        <v>379</v>
      </c>
      <c r="B380" s="12" t="n">
        <v>57</v>
      </c>
      <c r="C380" s="12" t="s">
        <v>40</v>
      </c>
      <c r="D380" s="12" t="n">
        <v>3</v>
      </c>
      <c r="E380" s="12" t="s">
        <v>46</v>
      </c>
      <c r="F380" s="12" t="s">
        <v>43</v>
      </c>
      <c r="G380" s="12" t="s">
        <v>45</v>
      </c>
      <c r="H380" s="12" t="n">
        <v>14318</v>
      </c>
      <c r="I380" s="12" t="n">
        <v>36</v>
      </c>
      <c r="J380" s="12" t="s">
        <v>23</v>
      </c>
    </row>
    <row r="381" customFormat="false" ht="15" hidden="false" customHeight="true" outlineLevel="0" collapsed="false">
      <c r="A381" s="12" t="n">
        <v>380</v>
      </c>
      <c r="B381" s="12" t="n">
        <v>52</v>
      </c>
      <c r="C381" s="12" t="s">
        <v>44</v>
      </c>
      <c r="D381" s="12" t="n">
        <v>1</v>
      </c>
      <c r="E381" s="12" t="s">
        <v>41</v>
      </c>
      <c r="F381" s="12" t="s">
        <v>45</v>
      </c>
      <c r="G381" s="12" t="s">
        <v>42</v>
      </c>
      <c r="H381" s="12" t="n">
        <v>362</v>
      </c>
      <c r="I381" s="12" t="n">
        <v>6</v>
      </c>
      <c r="J381" s="12" t="s">
        <v>23</v>
      </c>
    </row>
    <row r="382" customFormat="false" ht="15" hidden="false" customHeight="true" outlineLevel="0" collapsed="false">
      <c r="A382" s="12" t="n">
        <v>381</v>
      </c>
      <c r="B382" s="12" t="n">
        <v>39</v>
      </c>
      <c r="C382" s="12" t="s">
        <v>40</v>
      </c>
      <c r="D382" s="12" t="n">
        <v>2</v>
      </c>
      <c r="E382" s="12" t="s">
        <v>41</v>
      </c>
      <c r="F382" s="12" t="s">
        <v>42</v>
      </c>
      <c r="G382" s="12" t="s">
        <v>43</v>
      </c>
      <c r="H382" s="12" t="n">
        <v>2212</v>
      </c>
      <c r="I382" s="12" t="n">
        <v>20</v>
      </c>
      <c r="J382" s="12" t="s">
        <v>25</v>
      </c>
    </row>
    <row r="383" customFormat="false" ht="15" hidden="false" customHeight="true" outlineLevel="0" collapsed="false">
      <c r="A383" s="12" t="n">
        <v>382</v>
      </c>
      <c r="B383" s="12" t="n">
        <v>38</v>
      </c>
      <c r="C383" s="12" t="s">
        <v>44</v>
      </c>
      <c r="D383" s="12" t="n">
        <v>3</v>
      </c>
      <c r="E383" s="12" t="s">
        <v>46</v>
      </c>
      <c r="F383" s="12" t="s">
        <v>43</v>
      </c>
      <c r="G383" s="12" t="s">
        <v>45</v>
      </c>
      <c r="H383" s="12" t="n">
        <v>12976</v>
      </c>
      <c r="I383" s="12" t="n">
        <v>18</v>
      </c>
      <c r="J383" s="12" t="s">
        <v>23</v>
      </c>
    </row>
    <row r="384" customFormat="false" ht="15" hidden="false" customHeight="true" outlineLevel="0" collapsed="false">
      <c r="A384" s="12" t="n">
        <v>383</v>
      </c>
      <c r="B384" s="12" t="n">
        <v>25</v>
      </c>
      <c r="C384" s="12" t="s">
        <v>44</v>
      </c>
      <c r="D384" s="12" t="n">
        <v>2</v>
      </c>
      <c r="E384" s="12" t="s">
        <v>48</v>
      </c>
      <c r="F384" s="12" t="s">
        <v>42</v>
      </c>
      <c r="G384" s="12" t="s">
        <v>42</v>
      </c>
      <c r="H384" s="12" t="n">
        <v>1283</v>
      </c>
      <c r="I384" s="12" t="n">
        <v>22</v>
      </c>
      <c r="J384" s="12" t="s">
        <v>23</v>
      </c>
    </row>
    <row r="385" customFormat="false" ht="15" hidden="false" customHeight="true" outlineLevel="0" collapsed="false">
      <c r="A385" s="12" t="n">
        <v>384</v>
      </c>
      <c r="B385" s="12" t="n">
        <v>26</v>
      </c>
      <c r="C385" s="12" t="s">
        <v>40</v>
      </c>
      <c r="D385" s="12" t="n">
        <v>2</v>
      </c>
      <c r="E385" s="12" t="s">
        <v>41</v>
      </c>
      <c r="F385" s="12" t="s">
        <v>43</v>
      </c>
      <c r="G385" s="12" t="s">
        <v>49</v>
      </c>
      <c r="H385" s="12" t="n">
        <v>1330</v>
      </c>
      <c r="I385" s="12" t="n">
        <v>12</v>
      </c>
      <c r="J385" s="12" t="s">
        <v>23</v>
      </c>
    </row>
    <row r="386" customFormat="false" ht="15" hidden="false" customHeight="true" outlineLevel="0" collapsed="false">
      <c r="A386" s="12" t="n">
        <v>385</v>
      </c>
      <c r="B386" s="12" t="n">
        <v>26</v>
      </c>
      <c r="C386" s="12" t="s">
        <v>40</v>
      </c>
      <c r="D386" s="12" t="n">
        <v>1</v>
      </c>
      <c r="E386" s="12" t="s">
        <v>41</v>
      </c>
      <c r="F386" s="12" t="s">
        <v>45</v>
      </c>
      <c r="G386" s="12" t="s">
        <v>42</v>
      </c>
      <c r="H386" s="12" t="n">
        <v>4272</v>
      </c>
      <c r="I386" s="12" t="n">
        <v>30</v>
      </c>
      <c r="J386" s="12" t="s">
        <v>26</v>
      </c>
    </row>
    <row r="387" customFormat="false" ht="15" hidden="false" customHeight="true" outlineLevel="0" collapsed="false">
      <c r="A387" s="12" t="n">
        <v>386</v>
      </c>
      <c r="B387" s="12" t="n">
        <v>25</v>
      </c>
      <c r="C387" s="12" t="s">
        <v>44</v>
      </c>
      <c r="D387" s="12" t="n">
        <v>2</v>
      </c>
      <c r="E387" s="12" t="s">
        <v>41</v>
      </c>
      <c r="F387" s="12" t="s">
        <v>43</v>
      </c>
      <c r="G387" s="12" t="s">
        <v>42</v>
      </c>
      <c r="H387" s="12" t="n">
        <v>2238</v>
      </c>
      <c r="I387" s="12" t="n">
        <v>18</v>
      </c>
      <c r="J387" s="12" t="s">
        <v>24</v>
      </c>
    </row>
    <row r="388" customFormat="false" ht="15" hidden="false" customHeight="true" outlineLevel="0" collapsed="false">
      <c r="A388" s="12" t="n">
        <v>387</v>
      </c>
      <c r="B388" s="12" t="n">
        <v>21</v>
      </c>
      <c r="C388" s="12" t="s">
        <v>44</v>
      </c>
      <c r="D388" s="12" t="n">
        <v>2</v>
      </c>
      <c r="E388" s="12" t="s">
        <v>48</v>
      </c>
      <c r="F388" s="12" t="s">
        <v>42</v>
      </c>
      <c r="G388" s="12" t="s">
        <v>42</v>
      </c>
      <c r="H388" s="12" t="n">
        <v>1126</v>
      </c>
      <c r="I388" s="12" t="n">
        <v>18</v>
      </c>
      <c r="J388" s="12" t="s">
        <v>24</v>
      </c>
    </row>
    <row r="389" customFormat="false" ht="15" hidden="false" customHeight="true" outlineLevel="0" collapsed="false">
      <c r="A389" s="12" t="n">
        <v>388</v>
      </c>
      <c r="B389" s="12" t="n">
        <v>40</v>
      </c>
      <c r="C389" s="12" t="s">
        <v>40</v>
      </c>
      <c r="D389" s="12" t="n">
        <v>3</v>
      </c>
      <c r="E389" s="12" t="s">
        <v>41</v>
      </c>
      <c r="F389" s="12" t="s">
        <v>43</v>
      </c>
      <c r="G389" s="12" t="s">
        <v>45</v>
      </c>
      <c r="H389" s="12" t="n">
        <v>7374</v>
      </c>
      <c r="I389" s="12" t="n">
        <v>18</v>
      </c>
      <c r="J389" s="12" t="s">
        <v>25</v>
      </c>
    </row>
    <row r="390" customFormat="false" ht="15" hidden="false" customHeight="true" outlineLevel="0" collapsed="false">
      <c r="A390" s="12" t="n">
        <v>389</v>
      </c>
      <c r="B390" s="12" t="n">
        <v>27</v>
      </c>
      <c r="C390" s="12" t="s">
        <v>40</v>
      </c>
      <c r="D390" s="12" t="n">
        <v>2</v>
      </c>
      <c r="E390" s="12" t="s">
        <v>41</v>
      </c>
      <c r="F390" s="12" t="s">
        <v>47</v>
      </c>
      <c r="G390" s="12" t="s">
        <v>45</v>
      </c>
      <c r="H390" s="12" t="n">
        <v>2326</v>
      </c>
      <c r="I390" s="12" t="n">
        <v>15</v>
      </c>
      <c r="J390" s="12" t="s">
        <v>26</v>
      </c>
    </row>
    <row r="391" customFormat="false" ht="15" hidden="false" customHeight="true" outlineLevel="0" collapsed="false">
      <c r="A391" s="12" t="n">
        <v>390</v>
      </c>
      <c r="B391" s="12" t="n">
        <v>27</v>
      </c>
      <c r="C391" s="12" t="s">
        <v>44</v>
      </c>
      <c r="D391" s="12" t="n">
        <v>2</v>
      </c>
      <c r="E391" s="12" t="s">
        <v>41</v>
      </c>
      <c r="F391" s="12" t="s">
        <v>43</v>
      </c>
      <c r="G391" s="12" t="s">
        <v>42</v>
      </c>
      <c r="H391" s="12" t="n">
        <v>1449</v>
      </c>
      <c r="I391" s="12" t="n">
        <v>9</v>
      </c>
      <c r="J391" s="12" t="s">
        <v>26</v>
      </c>
    </row>
    <row r="392" customFormat="false" ht="15" hidden="false" customHeight="true" outlineLevel="0" collapsed="false">
      <c r="A392" s="12" t="n">
        <v>391</v>
      </c>
      <c r="B392" s="12" t="n">
        <v>30</v>
      </c>
      <c r="C392" s="12" t="s">
        <v>40</v>
      </c>
      <c r="D392" s="12" t="n">
        <v>3</v>
      </c>
      <c r="E392" s="12" t="s">
        <v>41</v>
      </c>
      <c r="F392" s="12" t="s">
        <v>43</v>
      </c>
      <c r="G392" s="12" t="s">
        <v>42</v>
      </c>
      <c r="H392" s="12" t="n">
        <v>1820</v>
      </c>
      <c r="I392" s="12" t="n">
        <v>18</v>
      </c>
      <c r="J392" s="12" t="s">
        <v>23</v>
      </c>
    </row>
    <row r="393" customFormat="false" ht="15" hidden="false" customHeight="true" outlineLevel="0" collapsed="false">
      <c r="A393" s="12" t="n">
        <v>392</v>
      </c>
      <c r="B393" s="12" t="n">
        <v>19</v>
      </c>
      <c r="C393" s="12" t="s">
        <v>44</v>
      </c>
      <c r="D393" s="12" t="n">
        <v>1</v>
      </c>
      <c r="E393" s="12" t="s">
        <v>48</v>
      </c>
      <c r="F393" s="12" t="s">
        <v>49</v>
      </c>
      <c r="G393" s="12" t="s">
        <v>45</v>
      </c>
      <c r="H393" s="12" t="n">
        <v>983</v>
      </c>
      <c r="I393" s="12" t="n">
        <v>12</v>
      </c>
      <c r="J393" s="12" t="s">
        <v>25</v>
      </c>
    </row>
    <row r="394" customFormat="false" ht="15" hidden="false" customHeight="true" outlineLevel="0" collapsed="false">
      <c r="A394" s="12" t="n">
        <v>393</v>
      </c>
      <c r="B394" s="12" t="n">
        <v>39</v>
      </c>
      <c r="C394" s="12" t="s">
        <v>40</v>
      </c>
      <c r="D394" s="12" t="n">
        <v>3</v>
      </c>
      <c r="E394" s="12" t="s">
        <v>46</v>
      </c>
      <c r="F394" s="12" t="s">
        <v>43</v>
      </c>
      <c r="G394" s="12" t="s">
        <v>43</v>
      </c>
      <c r="H394" s="12" t="n">
        <v>3249</v>
      </c>
      <c r="I394" s="12" t="n">
        <v>36</v>
      </c>
      <c r="J394" s="12" t="s">
        <v>23</v>
      </c>
    </row>
    <row r="395" customFormat="false" ht="15" hidden="false" customHeight="true" outlineLevel="0" collapsed="false">
      <c r="A395" s="12" t="n">
        <v>394</v>
      </c>
      <c r="B395" s="12" t="n">
        <v>31</v>
      </c>
      <c r="C395" s="12" t="s">
        <v>44</v>
      </c>
      <c r="D395" s="12" t="n">
        <v>2</v>
      </c>
      <c r="E395" s="12" t="s">
        <v>41</v>
      </c>
      <c r="F395" s="12" t="s">
        <v>43</v>
      </c>
      <c r="G395" s="12" t="s">
        <v>43</v>
      </c>
      <c r="H395" s="12" t="n">
        <v>1957</v>
      </c>
      <c r="I395" s="12" t="n">
        <v>6</v>
      </c>
      <c r="J395" s="12" t="s">
        <v>24</v>
      </c>
    </row>
    <row r="396" customFormat="false" ht="15" hidden="false" customHeight="true" outlineLevel="0" collapsed="false">
      <c r="A396" s="12" t="n">
        <v>395</v>
      </c>
      <c r="B396" s="12" t="n">
        <v>31</v>
      </c>
      <c r="C396" s="12" t="s">
        <v>40</v>
      </c>
      <c r="D396" s="12" t="n">
        <v>3</v>
      </c>
      <c r="E396" s="12" t="s">
        <v>41</v>
      </c>
      <c r="F396" s="12" t="s">
        <v>43</v>
      </c>
      <c r="G396" s="12" t="s">
        <v>42</v>
      </c>
      <c r="H396" s="12" t="n">
        <v>2406</v>
      </c>
      <c r="I396" s="12" t="n">
        <v>9</v>
      </c>
      <c r="J396" s="12" t="s">
        <v>25</v>
      </c>
    </row>
    <row r="397" customFormat="false" ht="15" hidden="false" customHeight="true" outlineLevel="0" collapsed="false">
      <c r="A397" s="12" t="n">
        <v>396</v>
      </c>
      <c r="B397" s="12" t="n">
        <v>32</v>
      </c>
      <c r="C397" s="12" t="s">
        <v>40</v>
      </c>
      <c r="D397" s="12" t="n">
        <v>2</v>
      </c>
      <c r="E397" s="12" t="s">
        <v>48</v>
      </c>
      <c r="F397" s="12" t="s">
        <v>45</v>
      </c>
      <c r="G397" s="12" t="s">
        <v>45</v>
      </c>
      <c r="H397" s="12" t="n">
        <v>11760</v>
      </c>
      <c r="I397" s="12" t="n">
        <v>39</v>
      </c>
      <c r="J397" s="12" t="s">
        <v>27</v>
      </c>
    </row>
    <row r="398" customFormat="false" ht="15" hidden="false" customHeight="true" outlineLevel="0" collapsed="false">
      <c r="A398" s="12" t="n">
        <v>397</v>
      </c>
      <c r="B398" s="12" t="n">
        <v>55</v>
      </c>
      <c r="C398" s="12" t="s">
        <v>44</v>
      </c>
      <c r="D398" s="12" t="n">
        <v>3</v>
      </c>
      <c r="E398" s="12" t="s">
        <v>46</v>
      </c>
      <c r="F398" s="12" t="s">
        <v>43</v>
      </c>
      <c r="G398" s="12" t="s">
        <v>43</v>
      </c>
      <c r="H398" s="12" t="n">
        <v>2578</v>
      </c>
      <c r="I398" s="12" t="n">
        <v>12</v>
      </c>
      <c r="J398" s="12" t="s">
        <v>25</v>
      </c>
    </row>
    <row r="399" customFormat="false" ht="15" hidden="false" customHeight="true" outlineLevel="0" collapsed="false">
      <c r="A399" s="12" t="n">
        <v>398</v>
      </c>
      <c r="B399" s="12" t="n">
        <v>46</v>
      </c>
      <c r="C399" s="12" t="s">
        <v>40</v>
      </c>
      <c r="D399" s="12" t="n">
        <v>2</v>
      </c>
      <c r="E399" s="12" t="s">
        <v>41</v>
      </c>
      <c r="F399" s="12" t="s">
        <v>43</v>
      </c>
      <c r="G399" s="12" t="s">
        <v>43</v>
      </c>
      <c r="H399" s="12" t="n">
        <v>2348</v>
      </c>
      <c r="I399" s="12" t="n">
        <v>36</v>
      </c>
      <c r="J399" s="12" t="s">
        <v>25</v>
      </c>
    </row>
    <row r="400" customFormat="false" ht="15" hidden="false" customHeight="true" outlineLevel="0" collapsed="false">
      <c r="A400" s="12" t="n">
        <v>399</v>
      </c>
      <c r="B400" s="12" t="n">
        <v>46</v>
      </c>
      <c r="C400" s="12" t="s">
        <v>40</v>
      </c>
      <c r="D400" s="12" t="n">
        <v>2</v>
      </c>
      <c r="E400" s="12" t="s">
        <v>48</v>
      </c>
      <c r="F400" s="12" t="s">
        <v>43</v>
      </c>
      <c r="G400" s="12" t="s">
        <v>45</v>
      </c>
      <c r="H400" s="12" t="n">
        <v>1223</v>
      </c>
      <c r="I400" s="12" t="n">
        <v>12</v>
      </c>
      <c r="J400" s="12" t="s">
        <v>23</v>
      </c>
    </row>
    <row r="401" customFormat="false" ht="15" hidden="false" customHeight="true" outlineLevel="0" collapsed="false">
      <c r="A401" s="12" t="n">
        <v>400</v>
      </c>
      <c r="B401" s="12" t="n">
        <v>43</v>
      </c>
      <c r="C401" s="12" t="s">
        <v>44</v>
      </c>
      <c r="D401" s="12" t="n">
        <v>1</v>
      </c>
      <c r="E401" s="12" t="s">
        <v>41</v>
      </c>
      <c r="F401" s="12" t="s">
        <v>49</v>
      </c>
      <c r="G401" s="12" t="s">
        <v>42</v>
      </c>
      <c r="H401" s="12" t="n">
        <v>1516</v>
      </c>
      <c r="I401" s="12" t="n">
        <v>24</v>
      </c>
      <c r="J401" s="12" t="s">
        <v>24</v>
      </c>
    </row>
    <row r="402" customFormat="false" ht="15" hidden="false" customHeight="true" outlineLevel="0" collapsed="false">
      <c r="A402" s="12" t="n">
        <v>401</v>
      </c>
      <c r="B402" s="12" t="n">
        <v>39</v>
      </c>
      <c r="C402" s="12" t="s">
        <v>40</v>
      </c>
      <c r="D402" s="12" t="n">
        <v>2</v>
      </c>
      <c r="E402" s="12" t="s">
        <v>41</v>
      </c>
      <c r="F402" s="12" t="s">
        <v>43</v>
      </c>
      <c r="G402" s="12" t="s">
        <v>42</v>
      </c>
      <c r="H402" s="12" t="n">
        <v>1473</v>
      </c>
      <c r="I402" s="12" t="n">
        <v>18</v>
      </c>
      <c r="J402" s="12" t="s">
        <v>24</v>
      </c>
    </row>
    <row r="403" customFormat="false" ht="15" hidden="false" customHeight="true" outlineLevel="0" collapsed="false">
      <c r="A403" s="12" t="n">
        <v>402</v>
      </c>
      <c r="B403" s="12" t="n">
        <v>28</v>
      </c>
      <c r="C403" s="12" t="s">
        <v>40</v>
      </c>
      <c r="D403" s="12" t="n">
        <v>2</v>
      </c>
      <c r="E403" s="12" t="s">
        <v>41</v>
      </c>
      <c r="F403" s="12" t="s">
        <v>42</v>
      </c>
      <c r="G403" s="12" t="s">
        <v>45</v>
      </c>
      <c r="H403" s="12" t="n">
        <v>1887</v>
      </c>
      <c r="I403" s="12" t="n">
        <v>18</v>
      </c>
      <c r="J403" s="12" t="s">
        <v>26</v>
      </c>
    </row>
    <row r="404" customFormat="false" ht="15" hidden="false" customHeight="true" outlineLevel="0" collapsed="false">
      <c r="A404" s="12" t="n">
        <v>403</v>
      </c>
      <c r="B404" s="12" t="n">
        <v>27</v>
      </c>
      <c r="C404" s="12" t="s">
        <v>40</v>
      </c>
      <c r="D404" s="12" t="n">
        <v>2</v>
      </c>
      <c r="E404" s="12" t="s">
        <v>41</v>
      </c>
      <c r="F404" s="12" t="s">
        <v>43</v>
      </c>
      <c r="G404" s="12" t="s">
        <v>42</v>
      </c>
      <c r="H404" s="12" t="n">
        <v>8648</v>
      </c>
      <c r="I404" s="12" t="n">
        <v>24</v>
      </c>
      <c r="J404" s="12" t="s">
        <v>26</v>
      </c>
    </row>
    <row r="405" customFormat="false" ht="15" hidden="false" customHeight="true" outlineLevel="0" collapsed="false">
      <c r="A405" s="12" t="n">
        <v>404</v>
      </c>
      <c r="B405" s="12" t="n">
        <v>27</v>
      </c>
      <c r="C405" s="12" t="s">
        <v>40</v>
      </c>
      <c r="D405" s="12" t="n">
        <v>1</v>
      </c>
      <c r="E405" s="12" t="s">
        <v>41</v>
      </c>
      <c r="F405" s="12" t="s">
        <v>43</v>
      </c>
      <c r="G405" s="12" t="s">
        <v>42</v>
      </c>
      <c r="H405" s="12" t="n">
        <v>802</v>
      </c>
      <c r="I405" s="12" t="n">
        <v>14</v>
      </c>
      <c r="J405" s="12" t="s">
        <v>23</v>
      </c>
    </row>
    <row r="406" customFormat="false" ht="15" hidden="false" customHeight="true" outlineLevel="0" collapsed="false">
      <c r="A406" s="12" t="n">
        <v>405</v>
      </c>
      <c r="B406" s="12" t="n">
        <v>43</v>
      </c>
      <c r="C406" s="12" t="s">
        <v>40</v>
      </c>
      <c r="D406" s="12" t="n">
        <v>2</v>
      </c>
      <c r="E406" s="12" t="s">
        <v>41</v>
      </c>
      <c r="F406" s="12" t="s">
        <v>42</v>
      </c>
      <c r="G406" s="12" t="s">
        <v>45</v>
      </c>
      <c r="H406" s="12" t="n">
        <v>2899</v>
      </c>
      <c r="I406" s="12" t="n">
        <v>18</v>
      </c>
      <c r="J406" s="12" t="s">
        <v>23</v>
      </c>
    </row>
    <row r="407" customFormat="false" ht="15" hidden="false" customHeight="true" outlineLevel="0" collapsed="false">
      <c r="A407" s="12" t="n">
        <v>406</v>
      </c>
      <c r="B407" s="12" t="n">
        <v>22</v>
      </c>
      <c r="C407" s="12" t="s">
        <v>40</v>
      </c>
      <c r="D407" s="12" t="n">
        <v>2</v>
      </c>
      <c r="E407" s="12" t="s">
        <v>41</v>
      </c>
      <c r="F407" s="12" t="s">
        <v>43</v>
      </c>
      <c r="G407" s="12" t="s">
        <v>45</v>
      </c>
      <c r="H407" s="12" t="n">
        <v>2039</v>
      </c>
      <c r="I407" s="12" t="n">
        <v>24</v>
      </c>
      <c r="J407" s="12" t="s">
        <v>24</v>
      </c>
    </row>
    <row r="408" customFormat="false" ht="15" hidden="false" customHeight="true" outlineLevel="0" collapsed="false">
      <c r="A408" s="12" t="n">
        <v>407</v>
      </c>
      <c r="B408" s="12" t="n">
        <v>43</v>
      </c>
      <c r="C408" s="12" t="s">
        <v>40</v>
      </c>
      <c r="D408" s="12" t="n">
        <v>2</v>
      </c>
      <c r="E408" s="12" t="s">
        <v>41</v>
      </c>
      <c r="F408" s="12" t="s">
        <v>42</v>
      </c>
      <c r="G408" s="12" t="s">
        <v>42</v>
      </c>
      <c r="H408" s="12" t="n">
        <v>2197</v>
      </c>
      <c r="I408" s="12" t="n">
        <v>24</v>
      </c>
      <c r="J408" s="12" t="s">
        <v>23</v>
      </c>
    </row>
    <row r="409" customFormat="false" ht="15" hidden="false" customHeight="true" outlineLevel="0" collapsed="false">
      <c r="A409" s="12" t="n">
        <v>408</v>
      </c>
      <c r="B409" s="12" t="n">
        <v>27</v>
      </c>
      <c r="C409" s="12" t="s">
        <v>40</v>
      </c>
      <c r="D409" s="12" t="n">
        <v>2</v>
      </c>
      <c r="E409" s="12" t="s">
        <v>41</v>
      </c>
      <c r="F409" s="12" t="s">
        <v>43</v>
      </c>
      <c r="G409" s="12" t="s">
        <v>43</v>
      </c>
      <c r="H409" s="12" t="n">
        <v>1053</v>
      </c>
      <c r="I409" s="12" t="n">
        <v>15</v>
      </c>
      <c r="J409" s="12" t="s">
        <v>24</v>
      </c>
    </row>
    <row r="410" customFormat="false" ht="15" hidden="false" customHeight="true" outlineLevel="0" collapsed="false">
      <c r="A410" s="12" t="n">
        <v>409</v>
      </c>
      <c r="B410" s="12" t="n">
        <v>26</v>
      </c>
      <c r="C410" s="12" t="s">
        <v>40</v>
      </c>
      <c r="D410" s="12" t="n">
        <v>3</v>
      </c>
      <c r="E410" s="12" t="s">
        <v>41</v>
      </c>
      <c r="F410" s="12" t="s">
        <v>47</v>
      </c>
      <c r="G410" s="12" t="s">
        <v>42</v>
      </c>
      <c r="H410" s="12" t="n">
        <v>3235</v>
      </c>
      <c r="I410" s="12" t="n">
        <v>24</v>
      </c>
      <c r="J410" s="12" t="s">
        <v>24</v>
      </c>
    </row>
    <row r="411" customFormat="false" ht="15" hidden="false" customHeight="true" outlineLevel="0" collapsed="false">
      <c r="A411" s="12" t="n">
        <v>410</v>
      </c>
      <c r="B411" s="12" t="n">
        <v>28</v>
      </c>
      <c r="C411" s="12" t="s">
        <v>40</v>
      </c>
      <c r="D411" s="12" t="n">
        <v>2</v>
      </c>
      <c r="E411" s="12" t="s">
        <v>41</v>
      </c>
      <c r="F411" s="12" t="s">
        <v>47</v>
      </c>
      <c r="G411" s="12" t="s">
        <v>49</v>
      </c>
      <c r="H411" s="12" t="n">
        <v>939</v>
      </c>
      <c r="I411" s="12" t="n">
        <v>12</v>
      </c>
      <c r="J411" s="12" t="s">
        <v>23</v>
      </c>
    </row>
    <row r="412" customFormat="false" ht="15" hidden="false" customHeight="true" outlineLevel="0" collapsed="false">
      <c r="A412" s="12" t="n">
        <v>411</v>
      </c>
      <c r="B412" s="12" t="n">
        <v>20</v>
      </c>
      <c r="C412" s="12" t="s">
        <v>44</v>
      </c>
      <c r="D412" s="12" t="n">
        <v>2</v>
      </c>
      <c r="E412" s="12" t="s">
        <v>41</v>
      </c>
      <c r="F412" s="12" t="s">
        <v>43</v>
      </c>
      <c r="G412" s="12" t="s">
        <v>45</v>
      </c>
      <c r="H412" s="12" t="n">
        <v>1967</v>
      </c>
      <c r="I412" s="12" t="n">
        <v>24</v>
      </c>
      <c r="J412" s="12" t="s">
        <v>24</v>
      </c>
    </row>
    <row r="413" customFormat="false" ht="15" hidden="false" customHeight="true" outlineLevel="0" collapsed="false">
      <c r="A413" s="12" t="n">
        <v>412</v>
      </c>
      <c r="B413" s="12" t="n">
        <v>35</v>
      </c>
      <c r="C413" s="12" t="s">
        <v>40</v>
      </c>
      <c r="D413" s="12" t="n">
        <v>3</v>
      </c>
      <c r="E413" s="12" t="s">
        <v>41</v>
      </c>
      <c r="F413" s="12" t="s">
        <v>43</v>
      </c>
      <c r="G413" s="12" t="s">
        <v>42</v>
      </c>
      <c r="H413" s="12" t="n">
        <v>7253</v>
      </c>
      <c r="I413" s="12" t="n">
        <v>33</v>
      </c>
      <c r="J413" s="12" t="s">
        <v>23</v>
      </c>
    </row>
    <row r="414" customFormat="false" ht="15" hidden="false" customHeight="true" outlineLevel="0" collapsed="false">
      <c r="A414" s="12" t="n">
        <v>413</v>
      </c>
      <c r="B414" s="12" t="n">
        <v>42</v>
      </c>
      <c r="C414" s="12" t="s">
        <v>40</v>
      </c>
      <c r="D414" s="12" t="n">
        <v>3</v>
      </c>
      <c r="E414" s="12" t="s">
        <v>41</v>
      </c>
      <c r="F414" s="12" t="s">
        <v>43</v>
      </c>
      <c r="G414" s="12" t="s">
        <v>42</v>
      </c>
      <c r="H414" s="12" t="n">
        <v>2292</v>
      </c>
      <c r="I414" s="12" t="n">
        <v>12</v>
      </c>
      <c r="J414" s="12" t="s">
        <v>26</v>
      </c>
    </row>
    <row r="415" customFormat="false" ht="15" hidden="false" customHeight="true" outlineLevel="0" collapsed="false">
      <c r="A415" s="12" t="n">
        <v>414</v>
      </c>
      <c r="B415" s="12" t="n">
        <v>40</v>
      </c>
      <c r="C415" s="12" t="s">
        <v>40</v>
      </c>
      <c r="D415" s="12" t="n">
        <v>1</v>
      </c>
      <c r="E415" s="12" t="s">
        <v>48</v>
      </c>
      <c r="F415" s="12" t="s">
        <v>47</v>
      </c>
      <c r="G415" s="12" t="s">
        <v>42</v>
      </c>
      <c r="H415" s="12" t="n">
        <v>1597</v>
      </c>
      <c r="I415" s="12" t="n">
        <v>10</v>
      </c>
      <c r="J415" s="12" t="s">
        <v>23</v>
      </c>
    </row>
    <row r="416" customFormat="false" ht="15" hidden="false" customHeight="true" outlineLevel="0" collapsed="false">
      <c r="A416" s="12" t="n">
        <v>415</v>
      </c>
      <c r="B416" s="12" t="n">
        <v>35</v>
      </c>
      <c r="C416" s="12" t="s">
        <v>44</v>
      </c>
      <c r="D416" s="12" t="n">
        <v>2</v>
      </c>
      <c r="E416" s="12" t="s">
        <v>41</v>
      </c>
      <c r="F416" s="12" t="s">
        <v>42</v>
      </c>
      <c r="G416" s="12" t="s">
        <v>43</v>
      </c>
      <c r="H416" s="12" t="n">
        <v>1381</v>
      </c>
      <c r="I416" s="12" t="n">
        <v>24</v>
      </c>
      <c r="J416" s="12" t="s">
        <v>23</v>
      </c>
    </row>
    <row r="417" customFormat="false" ht="15" hidden="false" customHeight="true" outlineLevel="0" collapsed="false">
      <c r="A417" s="12" t="n">
        <v>416</v>
      </c>
      <c r="B417" s="12" t="n">
        <v>35</v>
      </c>
      <c r="C417" s="12" t="s">
        <v>40</v>
      </c>
      <c r="D417" s="12" t="n">
        <v>2</v>
      </c>
      <c r="E417" s="12" t="s">
        <v>41</v>
      </c>
      <c r="F417" s="12" t="s">
        <v>43</v>
      </c>
      <c r="G417" s="12" t="s">
        <v>42</v>
      </c>
      <c r="H417" s="12" t="n">
        <v>5842</v>
      </c>
      <c r="I417" s="12" t="n">
        <v>36</v>
      </c>
      <c r="J417" s="12" t="s">
        <v>23</v>
      </c>
    </row>
    <row r="418" customFormat="false" ht="15" hidden="false" customHeight="true" outlineLevel="0" collapsed="false">
      <c r="A418" s="12" t="n">
        <v>417</v>
      </c>
      <c r="B418" s="12" t="n">
        <v>33</v>
      </c>
      <c r="C418" s="12" t="s">
        <v>40</v>
      </c>
      <c r="D418" s="12" t="n">
        <v>1</v>
      </c>
      <c r="E418" s="12" t="s">
        <v>41</v>
      </c>
      <c r="F418" s="12" t="s">
        <v>43</v>
      </c>
      <c r="G418" s="12" t="s">
        <v>43</v>
      </c>
      <c r="H418" s="12" t="n">
        <v>2579</v>
      </c>
      <c r="I418" s="12" t="n">
        <v>12</v>
      </c>
      <c r="J418" s="12" t="s">
        <v>23</v>
      </c>
    </row>
    <row r="419" customFormat="false" ht="15" hidden="false" customHeight="true" outlineLevel="0" collapsed="false">
      <c r="A419" s="12" t="n">
        <v>418</v>
      </c>
      <c r="B419" s="12" t="n">
        <v>23</v>
      </c>
      <c r="C419" s="12" t="s">
        <v>44</v>
      </c>
      <c r="D419" s="12" t="n">
        <v>2</v>
      </c>
      <c r="E419" s="12" t="s">
        <v>48</v>
      </c>
      <c r="F419" s="12" t="s">
        <v>42</v>
      </c>
      <c r="G419" s="12" t="s">
        <v>43</v>
      </c>
      <c r="H419" s="12" t="n">
        <v>8471</v>
      </c>
      <c r="I419" s="12" t="n">
        <v>18</v>
      </c>
      <c r="J419" s="12" t="s">
        <v>27</v>
      </c>
    </row>
    <row r="420" customFormat="false" ht="15" hidden="false" customHeight="true" outlineLevel="0" collapsed="false">
      <c r="A420" s="12" t="n">
        <v>419</v>
      </c>
      <c r="B420" s="12" t="n">
        <v>31</v>
      </c>
      <c r="C420" s="12" t="s">
        <v>44</v>
      </c>
      <c r="D420" s="12" t="n">
        <v>3</v>
      </c>
      <c r="E420" s="12" t="s">
        <v>41</v>
      </c>
      <c r="F420" s="12" t="s">
        <v>47</v>
      </c>
      <c r="G420" s="12" t="s">
        <v>42</v>
      </c>
      <c r="H420" s="12" t="n">
        <v>2782</v>
      </c>
      <c r="I420" s="12" t="n">
        <v>21</v>
      </c>
      <c r="J420" s="12" t="s">
        <v>23</v>
      </c>
    </row>
    <row r="421" customFormat="false" ht="15" hidden="false" customHeight="true" outlineLevel="0" collapsed="false">
      <c r="A421" s="12" t="n">
        <v>420</v>
      </c>
      <c r="B421" s="12" t="n">
        <v>33</v>
      </c>
      <c r="C421" s="12" t="s">
        <v>44</v>
      </c>
      <c r="D421" s="12" t="n">
        <v>2</v>
      </c>
      <c r="E421" s="12" t="s">
        <v>41</v>
      </c>
      <c r="F421" s="12" t="s">
        <v>42</v>
      </c>
      <c r="G421" s="12" t="s">
        <v>45</v>
      </c>
      <c r="H421" s="12" t="n">
        <v>1042</v>
      </c>
      <c r="I421" s="12" t="n">
        <v>18</v>
      </c>
      <c r="J421" s="12" t="s">
        <v>23</v>
      </c>
    </row>
    <row r="422" customFormat="false" ht="15" hidden="false" customHeight="true" outlineLevel="0" collapsed="false">
      <c r="A422" s="12" t="n">
        <v>421</v>
      </c>
      <c r="B422" s="12" t="n">
        <v>20</v>
      </c>
      <c r="C422" s="12" t="s">
        <v>44</v>
      </c>
      <c r="D422" s="12" t="n">
        <v>2</v>
      </c>
      <c r="E422" s="12" t="s">
        <v>48</v>
      </c>
      <c r="F422" s="12" t="s">
        <v>49</v>
      </c>
      <c r="G422" s="12" t="s">
        <v>42</v>
      </c>
      <c r="H422" s="12" t="n">
        <v>3186</v>
      </c>
      <c r="I422" s="12" t="n">
        <v>15</v>
      </c>
      <c r="J422" s="12" t="s">
        <v>23</v>
      </c>
    </row>
    <row r="423" customFormat="false" ht="15" hidden="false" customHeight="true" outlineLevel="0" collapsed="false">
      <c r="A423" s="12" t="n">
        <v>422</v>
      </c>
      <c r="B423" s="12" t="n">
        <v>30</v>
      </c>
      <c r="C423" s="12" t="s">
        <v>40</v>
      </c>
      <c r="D423" s="12" t="n">
        <v>2</v>
      </c>
      <c r="E423" s="12" t="s">
        <v>41</v>
      </c>
      <c r="F423" s="12" t="s">
        <v>42</v>
      </c>
      <c r="G423" s="12" t="s">
        <v>45</v>
      </c>
      <c r="H423" s="12" t="n">
        <v>2028</v>
      </c>
      <c r="I423" s="12" t="n">
        <v>12</v>
      </c>
      <c r="J423" s="12" t="s">
        <v>23</v>
      </c>
    </row>
    <row r="424" customFormat="false" ht="15" hidden="false" customHeight="true" outlineLevel="0" collapsed="false">
      <c r="A424" s="12" t="n">
        <v>423</v>
      </c>
      <c r="B424" s="12" t="n">
        <v>47</v>
      </c>
      <c r="C424" s="12" t="s">
        <v>40</v>
      </c>
      <c r="D424" s="12" t="n">
        <v>1</v>
      </c>
      <c r="E424" s="12" t="s">
        <v>41</v>
      </c>
      <c r="F424" s="12" t="s">
        <v>43</v>
      </c>
      <c r="G424" s="12" t="s">
        <v>45</v>
      </c>
      <c r="H424" s="12" t="n">
        <v>958</v>
      </c>
      <c r="I424" s="12" t="n">
        <v>12</v>
      </c>
      <c r="J424" s="12" t="s">
        <v>23</v>
      </c>
    </row>
    <row r="425" customFormat="false" ht="15" hidden="false" customHeight="true" outlineLevel="0" collapsed="false">
      <c r="A425" s="12" t="n">
        <v>424</v>
      </c>
      <c r="B425" s="12" t="n">
        <v>34</v>
      </c>
      <c r="C425" s="12" t="s">
        <v>40</v>
      </c>
      <c r="D425" s="12" t="n">
        <v>3</v>
      </c>
      <c r="E425" s="12" t="s">
        <v>41</v>
      </c>
      <c r="F425" s="12" t="s">
        <v>45</v>
      </c>
      <c r="G425" s="12" t="s">
        <v>42</v>
      </c>
      <c r="H425" s="12" t="n">
        <v>1591</v>
      </c>
      <c r="I425" s="12" t="n">
        <v>21</v>
      </c>
      <c r="J425" s="12" t="s">
        <v>25</v>
      </c>
    </row>
    <row r="426" customFormat="false" ht="15" hidden="false" customHeight="true" outlineLevel="0" collapsed="false">
      <c r="A426" s="12" t="n">
        <v>425</v>
      </c>
      <c r="B426" s="12" t="n">
        <v>25</v>
      </c>
      <c r="C426" s="12" t="s">
        <v>44</v>
      </c>
      <c r="D426" s="12" t="n">
        <v>2</v>
      </c>
      <c r="E426" s="12" t="s">
        <v>41</v>
      </c>
      <c r="F426" s="12" t="s">
        <v>42</v>
      </c>
      <c r="G426" s="12" t="s">
        <v>45</v>
      </c>
      <c r="H426" s="12" t="n">
        <v>2762</v>
      </c>
      <c r="I426" s="12" t="n">
        <v>12</v>
      </c>
      <c r="J426" s="12" t="s">
        <v>25</v>
      </c>
    </row>
    <row r="427" customFormat="false" ht="15" hidden="false" customHeight="true" outlineLevel="0" collapsed="false">
      <c r="A427" s="12" t="n">
        <v>426</v>
      </c>
      <c r="B427" s="12" t="n">
        <v>21</v>
      </c>
      <c r="C427" s="12" t="s">
        <v>40</v>
      </c>
      <c r="D427" s="12" t="n">
        <v>2</v>
      </c>
      <c r="E427" s="12" t="s">
        <v>48</v>
      </c>
      <c r="F427" s="12" t="s">
        <v>43</v>
      </c>
      <c r="G427" s="12" t="s">
        <v>45</v>
      </c>
      <c r="H427" s="12" t="n">
        <v>2779</v>
      </c>
      <c r="I427" s="12" t="n">
        <v>18</v>
      </c>
      <c r="J427" s="12" t="s">
        <v>23</v>
      </c>
    </row>
    <row r="428" customFormat="false" ht="15" hidden="false" customHeight="true" outlineLevel="0" collapsed="false">
      <c r="A428" s="12" t="n">
        <v>427</v>
      </c>
      <c r="B428" s="12" t="n">
        <v>29</v>
      </c>
      <c r="C428" s="12" t="s">
        <v>40</v>
      </c>
      <c r="D428" s="12" t="n">
        <v>2</v>
      </c>
      <c r="E428" s="12" t="s">
        <v>41</v>
      </c>
      <c r="F428" s="12" t="s">
        <v>43</v>
      </c>
      <c r="G428" s="12" t="s">
        <v>42</v>
      </c>
      <c r="H428" s="12" t="n">
        <v>2743</v>
      </c>
      <c r="I428" s="12" t="n">
        <v>28</v>
      </c>
      <c r="J428" s="12" t="s">
        <v>24</v>
      </c>
    </row>
    <row r="429" customFormat="false" ht="15" hidden="false" customHeight="true" outlineLevel="0" collapsed="false">
      <c r="A429" s="12" t="n">
        <v>428</v>
      </c>
      <c r="B429" s="12" t="n">
        <v>46</v>
      </c>
      <c r="C429" s="12" t="s">
        <v>40</v>
      </c>
      <c r="D429" s="12" t="n">
        <v>2</v>
      </c>
      <c r="E429" s="12" t="s">
        <v>41</v>
      </c>
      <c r="F429" s="12" t="s">
        <v>49</v>
      </c>
      <c r="G429" s="12" t="s">
        <v>42</v>
      </c>
      <c r="H429" s="12" t="n">
        <v>1149</v>
      </c>
      <c r="I429" s="12" t="n">
        <v>18</v>
      </c>
      <c r="J429" s="12" t="s">
        <v>24</v>
      </c>
    </row>
    <row r="430" customFormat="false" ht="15" hidden="false" customHeight="true" outlineLevel="0" collapsed="false">
      <c r="A430" s="12" t="n">
        <v>429</v>
      </c>
      <c r="B430" s="12" t="n">
        <v>20</v>
      </c>
      <c r="C430" s="12" t="s">
        <v>40</v>
      </c>
      <c r="D430" s="12" t="n">
        <v>2</v>
      </c>
      <c r="E430" s="12" t="s">
        <v>41</v>
      </c>
      <c r="F430" s="12" t="s">
        <v>43</v>
      </c>
      <c r="G430" s="12" t="s">
        <v>42</v>
      </c>
      <c r="H430" s="12" t="n">
        <v>1313</v>
      </c>
      <c r="I430" s="12" t="n">
        <v>9</v>
      </c>
      <c r="J430" s="12" t="s">
        <v>25</v>
      </c>
    </row>
    <row r="431" customFormat="false" ht="15" hidden="false" customHeight="true" outlineLevel="0" collapsed="false">
      <c r="A431" s="12" t="n">
        <v>430</v>
      </c>
      <c r="B431" s="12" t="n">
        <v>55</v>
      </c>
      <c r="C431" s="12" t="s">
        <v>44</v>
      </c>
      <c r="D431" s="12" t="n">
        <v>0</v>
      </c>
      <c r="E431" s="12" t="s">
        <v>46</v>
      </c>
      <c r="F431" s="12" t="s">
        <v>43</v>
      </c>
      <c r="G431" s="12" t="s">
        <v>43</v>
      </c>
      <c r="H431" s="12" t="n">
        <v>1190</v>
      </c>
      <c r="I431" s="12" t="n">
        <v>18</v>
      </c>
      <c r="J431" s="12" t="s">
        <v>28</v>
      </c>
    </row>
    <row r="432" customFormat="false" ht="15" hidden="false" customHeight="true" outlineLevel="0" collapsed="false">
      <c r="A432" s="12" t="n">
        <v>431</v>
      </c>
      <c r="B432" s="12" t="n">
        <v>74</v>
      </c>
      <c r="C432" s="12" t="s">
        <v>40</v>
      </c>
      <c r="D432" s="12" t="n">
        <v>1</v>
      </c>
      <c r="E432" s="12" t="s">
        <v>41</v>
      </c>
      <c r="F432" s="12" t="s">
        <v>43</v>
      </c>
      <c r="G432" s="12" t="s">
        <v>42</v>
      </c>
      <c r="H432" s="12" t="n">
        <v>3448</v>
      </c>
      <c r="I432" s="12" t="n">
        <v>5</v>
      </c>
      <c r="J432" s="12" t="s">
        <v>26</v>
      </c>
    </row>
    <row r="433" customFormat="false" ht="15" hidden="false" customHeight="true" outlineLevel="0" collapsed="false">
      <c r="A433" s="12" t="n">
        <v>432</v>
      </c>
      <c r="B433" s="12" t="n">
        <v>29</v>
      </c>
      <c r="C433" s="12" t="s">
        <v>40</v>
      </c>
      <c r="D433" s="12" t="n">
        <v>3</v>
      </c>
      <c r="E433" s="12" t="s">
        <v>41</v>
      </c>
      <c r="F433" s="12" t="s">
        <v>43</v>
      </c>
      <c r="G433" s="12" t="s">
        <v>45</v>
      </c>
      <c r="H433" s="12" t="n">
        <v>11328</v>
      </c>
      <c r="I433" s="12" t="n">
        <v>24</v>
      </c>
      <c r="J433" s="12" t="s">
        <v>30</v>
      </c>
    </row>
    <row r="434" customFormat="false" ht="15" hidden="false" customHeight="true" outlineLevel="0" collapsed="false">
      <c r="A434" s="12" t="n">
        <v>433</v>
      </c>
      <c r="B434" s="12" t="n">
        <v>36</v>
      </c>
      <c r="C434" s="12" t="s">
        <v>40</v>
      </c>
      <c r="D434" s="12" t="n">
        <v>3</v>
      </c>
      <c r="E434" s="12" t="s">
        <v>46</v>
      </c>
      <c r="F434" s="12" t="s">
        <v>43</v>
      </c>
      <c r="G434" s="12" t="s">
        <v>43</v>
      </c>
      <c r="H434" s="12" t="n">
        <v>1872</v>
      </c>
      <c r="I434" s="12" t="n">
        <v>6</v>
      </c>
      <c r="J434" s="12" t="s">
        <v>25</v>
      </c>
    </row>
    <row r="435" customFormat="false" ht="15" hidden="false" customHeight="true" outlineLevel="0" collapsed="false">
      <c r="A435" s="12" t="n">
        <v>434</v>
      </c>
      <c r="B435" s="12" t="n">
        <v>33</v>
      </c>
      <c r="C435" s="12" t="s">
        <v>40</v>
      </c>
      <c r="D435" s="12" t="n">
        <v>2</v>
      </c>
      <c r="E435" s="12" t="s">
        <v>41</v>
      </c>
      <c r="F435" s="12" t="s">
        <v>43</v>
      </c>
      <c r="G435" s="12" t="s">
        <v>42</v>
      </c>
      <c r="H435" s="12" t="n">
        <v>2058</v>
      </c>
      <c r="I435" s="12" t="n">
        <v>24</v>
      </c>
      <c r="J435" s="12" t="s">
        <v>28</v>
      </c>
    </row>
    <row r="436" customFormat="false" ht="15" hidden="false" customHeight="true" outlineLevel="0" collapsed="false">
      <c r="A436" s="12" t="n">
        <v>435</v>
      </c>
      <c r="B436" s="12" t="n">
        <v>25</v>
      </c>
      <c r="C436" s="12" t="s">
        <v>40</v>
      </c>
      <c r="D436" s="12" t="n">
        <v>2</v>
      </c>
      <c r="E436" s="12" t="s">
        <v>41</v>
      </c>
      <c r="F436" s="12" t="s">
        <v>43</v>
      </c>
      <c r="G436" s="12" t="s">
        <v>43</v>
      </c>
      <c r="H436" s="12" t="n">
        <v>2136</v>
      </c>
      <c r="I436" s="12" t="n">
        <v>9</v>
      </c>
      <c r="J436" s="12" t="s">
        <v>25</v>
      </c>
    </row>
    <row r="437" customFormat="false" ht="15" hidden="false" customHeight="true" outlineLevel="0" collapsed="false">
      <c r="A437" s="12" t="n">
        <v>436</v>
      </c>
      <c r="B437" s="12" t="n">
        <v>25</v>
      </c>
      <c r="C437" s="12" t="s">
        <v>40</v>
      </c>
      <c r="D437" s="12" t="n">
        <v>2</v>
      </c>
      <c r="E437" s="12" t="s">
        <v>41</v>
      </c>
      <c r="F437" s="12" t="s">
        <v>42</v>
      </c>
      <c r="G437" s="12" t="s">
        <v>45</v>
      </c>
      <c r="H437" s="12" t="n">
        <v>1484</v>
      </c>
      <c r="I437" s="12" t="n">
        <v>12</v>
      </c>
      <c r="J437" s="12" t="s">
        <v>24</v>
      </c>
    </row>
    <row r="438" customFormat="false" ht="15" hidden="false" customHeight="true" outlineLevel="0" collapsed="false">
      <c r="A438" s="12" t="n">
        <v>437</v>
      </c>
      <c r="B438" s="12" t="n">
        <v>23</v>
      </c>
      <c r="C438" s="12" t="s">
        <v>40</v>
      </c>
      <c r="D438" s="12" t="n">
        <v>1</v>
      </c>
      <c r="E438" s="12" t="s">
        <v>48</v>
      </c>
      <c r="F438" s="12" t="s">
        <v>47</v>
      </c>
      <c r="G438" s="12" t="s">
        <v>42</v>
      </c>
      <c r="H438" s="12" t="n">
        <v>660</v>
      </c>
      <c r="I438" s="12" t="n">
        <v>6</v>
      </c>
      <c r="J438" s="12" t="s">
        <v>28</v>
      </c>
    </row>
    <row r="439" customFormat="false" ht="15" hidden="false" customHeight="true" outlineLevel="0" collapsed="false">
      <c r="A439" s="12" t="n">
        <v>438</v>
      </c>
      <c r="B439" s="12" t="n">
        <v>37</v>
      </c>
      <c r="C439" s="12" t="s">
        <v>44</v>
      </c>
      <c r="D439" s="12" t="n">
        <v>2</v>
      </c>
      <c r="E439" s="12" t="s">
        <v>41</v>
      </c>
      <c r="F439" s="12" t="s">
        <v>49</v>
      </c>
      <c r="G439" s="12" t="s">
        <v>42</v>
      </c>
      <c r="H439" s="12" t="n">
        <v>1287</v>
      </c>
      <c r="I439" s="12" t="n">
        <v>24</v>
      </c>
      <c r="J439" s="12" t="s">
        <v>23</v>
      </c>
    </row>
    <row r="440" customFormat="false" ht="15" hidden="false" customHeight="true" outlineLevel="0" collapsed="false">
      <c r="A440" s="12" t="n">
        <v>439</v>
      </c>
      <c r="B440" s="12" t="n">
        <v>65</v>
      </c>
      <c r="C440" s="12" t="s">
        <v>40</v>
      </c>
      <c r="D440" s="12" t="n">
        <v>0</v>
      </c>
      <c r="E440" s="12" t="s">
        <v>41</v>
      </c>
      <c r="F440" s="12" t="s">
        <v>43</v>
      </c>
      <c r="G440" s="12" t="s">
        <v>43</v>
      </c>
      <c r="H440" s="12" t="n">
        <v>3394</v>
      </c>
      <c r="I440" s="12" t="n">
        <v>42</v>
      </c>
      <c r="J440" s="12" t="s">
        <v>28</v>
      </c>
    </row>
    <row r="441" customFormat="false" ht="15" hidden="false" customHeight="true" outlineLevel="0" collapsed="false">
      <c r="A441" s="12" t="n">
        <v>440</v>
      </c>
      <c r="B441" s="12" t="n">
        <v>26</v>
      </c>
      <c r="C441" s="12" t="s">
        <v>44</v>
      </c>
      <c r="D441" s="12" t="n">
        <v>0</v>
      </c>
      <c r="E441" s="12" t="s">
        <v>41</v>
      </c>
      <c r="F441" s="12" t="s">
        <v>43</v>
      </c>
      <c r="G441" s="12" t="s">
        <v>49</v>
      </c>
      <c r="H441" s="12" t="n">
        <v>609</v>
      </c>
      <c r="I441" s="12" t="n">
        <v>12</v>
      </c>
      <c r="J441" s="12" t="s">
        <v>26</v>
      </c>
    </row>
    <row r="442" customFormat="false" ht="15" hidden="false" customHeight="true" outlineLevel="0" collapsed="false">
      <c r="A442" s="12" t="n">
        <v>441</v>
      </c>
      <c r="B442" s="12" t="n">
        <v>39</v>
      </c>
      <c r="C442" s="12" t="s">
        <v>40</v>
      </c>
      <c r="D442" s="12" t="n">
        <v>3</v>
      </c>
      <c r="E442" s="12" t="s">
        <v>41</v>
      </c>
      <c r="F442" s="12" t="s">
        <v>43</v>
      </c>
      <c r="G442" s="12" t="s">
        <v>42</v>
      </c>
      <c r="H442" s="12" t="n">
        <v>1884</v>
      </c>
      <c r="I442" s="12" t="n">
        <v>12</v>
      </c>
      <c r="J442" s="12" t="s">
        <v>23</v>
      </c>
    </row>
    <row r="443" customFormat="false" ht="15" hidden="false" customHeight="true" outlineLevel="0" collapsed="false">
      <c r="A443" s="12" t="n">
        <v>442</v>
      </c>
      <c r="B443" s="12" t="n">
        <v>30</v>
      </c>
      <c r="C443" s="12" t="s">
        <v>44</v>
      </c>
      <c r="D443" s="12" t="n">
        <v>2</v>
      </c>
      <c r="E443" s="12" t="s">
        <v>41</v>
      </c>
      <c r="F443" s="12" t="s">
        <v>43</v>
      </c>
      <c r="G443" s="12" t="s">
        <v>43</v>
      </c>
      <c r="H443" s="12" t="n">
        <v>1620</v>
      </c>
      <c r="I443" s="12" t="n">
        <v>12</v>
      </c>
      <c r="J443" s="12" t="s">
        <v>25</v>
      </c>
    </row>
    <row r="444" customFormat="false" ht="15" hidden="false" customHeight="true" outlineLevel="0" collapsed="false">
      <c r="A444" s="12" t="n">
        <v>443</v>
      </c>
      <c r="B444" s="12" t="n">
        <v>29</v>
      </c>
      <c r="C444" s="12" t="s">
        <v>40</v>
      </c>
      <c r="D444" s="12" t="n">
        <v>2</v>
      </c>
      <c r="E444" s="12" t="s">
        <v>41</v>
      </c>
      <c r="F444" s="12" t="s">
        <v>43</v>
      </c>
      <c r="G444" s="12" t="s">
        <v>45</v>
      </c>
      <c r="H444" s="12" t="n">
        <v>2629</v>
      </c>
      <c r="I444" s="12" t="n">
        <v>20</v>
      </c>
      <c r="J444" s="12" t="s">
        <v>30</v>
      </c>
    </row>
    <row r="445" customFormat="false" ht="15" hidden="false" customHeight="true" outlineLevel="0" collapsed="false">
      <c r="A445" s="12" t="n">
        <v>444</v>
      </c>
      <c r="B445" s="12" t="n">
        <v>41</v>
      </c>
      <c r="C445" s="12" t="s">
        <v>40</v>
      </c>
      <c r="D445" s="12" t="n">
        <v>1</v>
      </c>
      <c r="E445" s="12" t="s">
        <v>41</v>
      </c>
      <c r="F445" s="12" t="s">
        <v>43</v>
      </c>
      <c r="G445" s="12" t="s">
        <v>42</v>
      </c>
      <c r="H445" s="12" t="n">
        <v>719</v>
      </c>
      <c r="I445" s="12" t="n">
        <v>12</v>
      </c>
      <c r="J445" s="12" t="s">
        <v>27</v>
      </c>
    </row>
    <row r="446" customFormat="false" ht="15" hidden="false" customHeight="true" outlineLevel="0" collapsed="false">
      <c r="A446" s="12" t="n">
        <v>445</v>
      </c>
      <c r="B446" s="12" t="n">
        <v>30</v>
      </c>
      <c r="C446" s="12" t="s">
        <v>44</v>
      </c>
      <c r="D446" s="12" t="n">
        <v>3</v>
      </c>
      <c r="E446" s="12" t="s">
        <v>41</v>
      </c>
      <c r="F446" s="12" t="s">
        <v>43</v>
      </c>
      <c r="G446" s="12" t="s">
        <v>45</v>
      </c>
      <c r="H446" s="12" t="n">
        <v>5096</v>
      </c>
      <c r="I446" s="12" t="n">
        <v>48</v>
      </c>
      <c r="J446" s="12" t="s">
        <v>25</v>
      </c>
    </row>
    <row r="447" customFormat="false" ht="15" hidden="false" customHeight="true" outlineLevel="0" collapsed="false">
      <c r="A447" s="12" t="n">
        <v>446</v>
      </c>
      <c r="B447" s="12" t="n">
        <v>41</v>
      </c>
      <c r="C447" s="12" t="s">
        <v>44</v>
      </c>
      <c r="D447" s="12" t="n">
        <v>1</v>
      </c>
      <c r="E447" s="12" t="s">
        <v>48</v>
      </c>
      <c r="F447" s="12" t="s">
        <v>42</v>
      </c>
      <c r="G447" s="12" t="s">
        <v>42</v>
      </c>
      <c r="H447" s="12" t="n">
        <v>1244</v>
      </c>
      <c r="I447" s="12" t="n">
        <v>9</v>
      </c>
      <c r="J447" s="12" t="s">
        <v>27</v>
      </c>
    </row>
    <row r="448" customFormat="false" ht="15" hidden="false" customHeight="true" outlineLevel="0" collapsed="false">
      <c r="A448" s="12" t="n">
        <v>447</v>
      </c>
      <c r="B448" s="12" t="n">
        <v>34</v>
      </c>
      <c r="C448" s="12" t="s">
        <v>44</v>
      </c>
      <c r="D448" s="12" t="n">
        <v>2</v>
      </c>
      <c r="E448" s="12" t="s">
        <v>41</v>
      </c>
      <c r="F448" s="12" t="s">
        <v>43</v>
      </c>
      <c r="G448" s="12" t="s">
        <v>43</v>
      </c>
      <c r="H448" s="12" t="n">
        <v>1842</v>
      </c>
      <c r="I448" s="12" t="n">
        <v>36</v>
      </c>
      <c r="J448" s="12" t="s">
        <v>23</v>
      </c>
    </row>
    <row r="449" customFormat="false" ht="15" hidden="false" customHeight="true" outlineLevel="0" collapsed="false">
      <c r="A449" s="12" t="n">
        <v>448</v>
      </c>
      <c r="B449" s="12" t="n">
        <v>35</v>
      </c>
      <c r="C449" s="12" t="s">
        <v>40</v>
      </c>
      <c r="D449" s="12" t="n">
        <v>2</v>
      </c>
      <c r="E449" s="12" t="s">
        <v>41</v>
      </c>
      <c r="F449" s="12" t="s">
        <v>43</v>
      </c>
      <c r="G449" s="12" t="s">
        <v>45</v>
      </c>
      <c r="H449" s="12" t="n">
        <v>2576</v>
      </c>
      <c r="I449" s="12" t="n">
        <v>7</v>
      </c>
      <c r="J449" s="12" t="s">
        <v>24</v>
      </c>
    </row>
    <row r="450" customFormat="false" ht="15" hidden="false" customHeight="true" outlineLevel="0" collapsed="false">
      <c r="A450" s="12" t="n">
        <v>449</v>
      </c>
      <c r="B450" s="12" t="n">
        <v>55</v>
      </c>
      <c r="C450" s="12" t="s">
        <v>44</v>
      </c>
      <c r="D450" s="12" t="n">
        <v>3</v>
      </c>
      <c r="E450" s="12" t="s">
        <v>41</v>
      </c>
      <c r="F450" s="12" t="s">
        <v>42</v>
      </c>
      <c r="G450" s="12" t="s">
        <v>49</v>
      </c>
      <c r="H450" s="12" t="n">
        <v>1424</v>
      </c>
      <c r="I450" s="12" t="n">
        <v>12</v>
      </c>
      <c r="J450" s="12" t="s">
        <v>25</v>
      </c>
    </row>
    <row r="451" customFormat="false" ht="15" hidden="false" customHeight="true" outlineLevel="0" collapsed="false">
      <c r="A451" s="12" t="n">
        <v>450</v>
      </c>
      <c r="B451" s="12" t="n">
        <v>61</v>
      </c>
      <c r="C451" s="12" t="s">
        <v>40</v>
      </c>
      <c r="D451" s="12" t="n">
        <v>2</v>
      </c>
      <c r="E451" s="12" t="s">
        <v>41</v>
      </c>
      <c r="F451" s="12" t="s">
        <v>49</v>
      </c>
      <c r="G451" s="12" t="s">
        <v>45</v>
      </c>
      <c r="H451" s="12" t="n">
        <v>1512</v>
      </c>
      <c r="I451" s="12" t="n">
        <v>15</v>
      </c>
      <c r="J451" s="12" t="s">
        <v>28</v>
      </c>
    </row>
    <row r="452" customFormat="false" ht="15" hidden="false" customHeight="true" outlineLevel="0" collapsed="false">
      <c r="A452" s="12" t="n">
        <v>451</v>
      </c>
      <c r="B452" s="12" t="n">
        <v>30</v>
      </c>
      <c r="C452" s="12" t="s">
        <v>40</v>
      </c>
      <c r="D452" s="12" t="n">
        <v>3</v>
      </c>
      <c r="E452" s="12" t="s">
        <v>41</v>
      </c>
      <c r="F452" s="12" t="s">
        <v>42</v>
      </c>
      <c r="G452" s="12" t="s">
        <v>42</v>
      </c>
      <c r="H452" s="12" t="n">
        <v>11054</v>
      </c>
      <c r="I452" s="12" t="n">
        <v>36</v>
      </c>
      <c r="J452" s="12" t="s">
        <v>23</v>
      </c>
    </row>
    <row r="453" customFormat="false" ht="15" hidden="false" customHeight="true" outlineLevel="0" collapsed="false">
      <c r="A453" s="12" t="n">
        <v>452</v>
      </c>
      <c r="B453" s="12" t="n">
        <v>29</v>
      </c>
      <c r="C453" s="12" t="s">
        <v>44</v>
      </c>
      <c r="D453" s="12" t="n">
        <v>2</v>
      </c>
      <c r="E453" s="12" t="s">
        <v>41</v>
      </c>
      <c r="F453" s="12" t="s">
        <v>43</v>
      </c>
      <c r="G453" s="12" t="s">
        <v>42</v>
      </c>
      <c r="H453" s="12" t="n">
        <v>518</v>
      </c>
      <c r="I453" s="12" t="n">
        <v>6</v>
      </c>
      <c r="J453" s="12" t="s">
        <v>24</v>
      </c>
    </row>
    <row r="454" customFormat="false" ht="15" hidden="false" customHeight="true" outlineLevel="0" collapsed="false">
      <c r="A454" s="12" t="n">
        <v>453</v>
      </c>
      <c r="B454" s="12" t="n">
        <v>34</v>
      </c>
      <c r="C454" s="12" t="s">
        <v>40</v>
      </c>
      <c r="D454" s="12" t="n">
        <v>2</v>
      </c>
      <c r="E454" s="12" t="s">
        <v>41</v>
      </c>
      <c r="F454" s="12" t="s">
        <v>43</v>
      </c>
      <c r="G454" s="12" t="s">
        <v>42</v>
      </c>
      <c r="H454" s="12" t="n">
        <v>2759</v>
      </c>
      <c r="I454" s="12" t="n">
        <v>12</v>
      </c>
      <c r="J454" s="12" t="s">
        <v>25</v>
      </c>
    </row>
    <row r="455" customFormat="false" ht="15" hidden="false" customHeight="true" outlineLevel="0" collapsed="false">
      <c r="A455" s="12" t="n">
        <v>454</v>
      </c>
      <c r="B455" s="12" t="n">
        <v>35</v>
      </c>
      <c r="C455" s="12" t="s">
        <v>40</v>
      </c>
      <c r="D455" s="12" t="n">
        <v>3</v>
      </c>
      <c r="E455" s="12" t="s">
        <v>41</v>
      </c>
      <c r="F455" s="12" t="s">
        <v>43</v>
      </c>
      <c r="G455" s="12" t="s">
        <v>42</v>
      </c>
      <c r="H455" s="12" t="n">
        <v>2670</v>
      </c>
      <c r="I455" s="12" t="n">
        <v>24</v>
      </c>
      <c r="J455" s="12" t="s">
        <v>23</v>
      </c>
    </row>
    <row r="456" customFormat="false" ht="15" hidden="false" customHeight="true" outlineLevel="0" collapsed="false">
      <c r="A456" s="12" t="n">
        <v>455</v>
      </c>
      <c r="B456" s="12" t="n">
        <v>31</v>
      </c>
      <c r="C456" s="12" t="s">
        <v>40</v>
      </c>
      <c r="D456" s="12" t="n">
        <v>2</v>
      </c>
      <c r="E456" s="12" t="s">
        <v>41</v>
      </c>
      <c r="F456" s="12" t="s">
        <v>43</v>
      </c>
      <c r="G456" s="12" t="s">
        <v>43</v>
      </c>
      <c r="H456" s="12" t="n">
        <v>4817</v>
      </c>
      <c r="I456" s="12" t="n">
        <v>24</v>
      </c>
      <c r="J456" s="12" t="s">
        <v>23</v>
      </c>
    </row>
    <row r="457" customFormat="false" ht="15" hidden="false" customHeight="true" outlineLevel="0" collapsed="false">
      <c r="A457" s="12" t="n">
        <v>456</v>
      </c>
      <c r="B457" s="12" t="n">
        <v>29</v>
      </c>
      <c r="C457" s="12" t="s">
        <v>44</v>
      </c>
      <c r="D457" s="12" t="n">
        <v>3</v>
      </c>
      <c r="E457" s="12" t="s">
        <v>41</v>
      </c>
      <c r="F457" s="12" t="s">
        <v>43</v>
      </c>
      <c r="G457" s="12" t="s">
        <v>42</v>
      </c>
      <c r="H457" s="12" t="n">
        <v>2679</v>
      </c>
      <c r="I457" s="12" t="n">
        <v>24</v>
      </c>
      <c r="J457" s="12" t="s">
        <v>23</v>
      </c>
    </row>
    <row r="458" customFormat="false" ht="15" hidden="false" customHeight="true" outlineLevel="0" collapsed="false">
      <c r="A458" s="12" t="n">
        <v>457</v>
      </c>
      <c r="B458" s="12" t="n">
        <v>36</v>
      </c>
      <c r="C458" s="12" t="s">
        <v>40</v>
      </c>
      <c r="D458" s="12" t="n">
        <v>2</v>
      </c>
      <c r="E458" s="12" t="s">
        <v>48</v>
      </c>
      <c r="F458" s="12" t="s">
        <v>43</v>
      </c>
      <c r="G458" s="12" t="s">
        <v>43</v>
      </c>
      <c r="H458" s="12" t="n">
        <v>3905</v>
      </c>
      <c r="I458" s="12" t="n">
        <v>11</v>
      </c>
      <c r="J458" s="12" t="s">
        <v>23</v>
      </c>
    </row>
    <row r="459" customFormat="false" ht="15" hidden="false" customHeight="true" outlineLevel="0" collapsed="false">
      <c r="A459" s="12" t="n">
        <v>458</v>
      </c>
      <c r="B459" s="12" t="n">
        <v>35</v>
      </c>
      <c r="C459" s="12" t="s">
        <v>40</v>
      </c>
      <c r="D459" s="12" t="n">
        <v>2</v>
      </c>
      <c r="E459" s="12" t="s">
        <v>46</v>
      </c>
      <c r="F459" s="12" t="s">
        <v>43</v>
      </c>
      <c r="G459" s="12" t="s">
        <v>43</v>
      </c>
      <c r="H459" s="12" t="n">
        <v>3386</v>
      </c>
      <c r="I459" s="12" t="n">
        <v>12</v>
      </c>
      <c r="J459" s="12" t="s">
        <v>23</v>
      </c>
    </row>
    <row r="460" customFormat="false" ht="15" hidden="false" customHeight="true" outlineLevel="0" collapsed="false">
      <c r="A460" s="12" t="n">
        <v>459</v>
      </c>
      <c r="B460" s="12" t="n">
        <v>27</v>
      </c>
      <c r="C460" s="12" t="s">
        <v>44</v>
      </c>
      <c r="D460" s="12" t="n">
        <v>2</v>
      </c>
      <c r="E460" s="12" t="s">
        <v>41</v>
      </c>
      <c r="F460" s="12" t="s">
        <v>43</v>
      </c>
      <c r="G460" s="12" t="s">
        <v>43</v>
      </c>
      <c r="H460" s="12" t="n">
        <v>343</v>
      </c>
      <c r="I460" s="12" t="n">
        <v>6</v>
      </c>
      <c r="J460" s="12" t="s">
        <v>29</v>
      </c>
    </row>
    <row r="461" customFormat="false" ht="15" hidden="false" customHeight="true" outlineLevel="0" collapsed="false">
      <c r="A461" s="12" t="n">
        <v>460</v>
      </c>
      <c r="B461" s="12" t="n">
        <v>32</v>
      </c>
      <c r="C461" s="12" t="s">
        <v>40</v>
      </c>
      <c r="D461" s="12" t="n">
        <v>2</v>
      </c>
      <c r="E461" s="12" t="s">
        <v>41</v>
      </c>
      <c r="F461" s="12" t="s">
        <v>43</v>
      </c>
      <c r="G461" s="12" t="s">
        <v>42</v>
      </c>
      <c r="H461" s="12" t="n">
        <v>4594</v>
      </c>
      <c r="I461" s="12" t="n">
        <v>18</v>
      </c>
      <c r="J461" s="12" t="s">
        <v>24</v>
      </c>
    </row>
    <row r="462" customFormat="false" ht="15" hidden="false" customHeight="true" outlineLevel="0" collapsed="false">
      <c r="A462" s="12" t="n">
        <v>461</v>
      </c>
      <c r="B462" s="12" t="n">
        <v>37</v>
      </c>
      <c r="C462" s="12" t="s">
        <v>40</v>
      </c>
      <c r="D462" s="12" t="n">
        <v>2</v>
      </c>
      <c r="E462" s="12" t="s">
        <v>41</v>
      </c>
      <c r="F462" s="12" t="s">
        <v>43</v>
      </c>
      <c r="G462" s="12" t="s">
        <v>43</v>
      </c>
      <c r="H462" s="12" t="n">
        <v>3620</v>
      </c>
      <c r="I462" s="12" t="n">
        <v>36</v>
      </c>
      <c r="J462" s="12" t="s">
        <v>25</v>
      </c>
    </row>
    <row r="463" customFormat="false" ht="15" hidden="false" customHeight="true" outlineLevel="0" collapsed="false">
      <c r="A463" s="12" t="n">
        <v>462</v>
      </c>
      <c r="B463" s="12" t="n">
        <v>36</v>
      </c>
      <c r="C463" s="12" t="s">
        <v>40</v>
      </c>
      <c r="D463" s="12" t="n">
        <v>2</v>
      </c>
      <c r="E463" s="12" t="s">
        <v>41</v>
      </c>
      <c r="F463" s="12" t="s">
        <v>43</v>
      </c>
      <c r="G463" s="12" t="s">
        <v>43</v>
      </c>
      <c r="H463" s="12" t="n">
        <v>1721</v>
      </c>
      <c r="I463" s="12" t="n">
        <v>15</v>
      </c>
      <c r="J463" s="12" t="s">
        <v>23</v>
      </c>
    </row>
    <row r="464" customFormat="false" ht="15" hidden="false" customHeight="true" outlineLevel="0" collapsed="false">
      <c r="A464" s="12" t="n">
        <v>463</v>
      </c>
      <c r="B464" s="12" t="n">
        <v>34</v>
      </c>
      <c r="C464" s="12" t="s">
        <v>44</v>
      </c>
      <c r="D464" s="12" t="n">
        <v>3</v>
      </c>
      <c r="E464" s="12" t="s">
        <v>48</v>
      </c>
      <c r="F464" s="12" t="s">
        <v>43</v>
      </c>
      <c r="G464" s="12" t="s">
        <v>45</v>
      </c>
      <c r="H464" s="12" t="n">
        <v>3017</v>
      </c>
      <c r="I464" s="12" t="n">
        <v>12</v>
      </c>
      <c r="J464" s="12" t="s">
        <v>25</v>
      </c>
    </row>
    <row r="465" customFormat="false" ht="15" hidden="false" customHeight="true" outlineLevel="0" collapsed="false">
      <c r="A465" s="12" t="n">
        <v>464</v>
      </c>
      <c r="B465" s="12" t="n">
        <v>38</v>
      </c>
      <c r="C465" s="12" t="s">
        <v>40</v>
      </c>
      <c r="D465" s="12" t="n">
        <v>2</v>
      </c>
      <c r="E465" s="12" t="s">
        <v>41</v>
      </c>
      <c r="F465" s="12" t="s">
        <v>42</v>
      </c>
      <c r="G465" s="12" t="s">
        <v>45</v>
      </c>
      <c r="H465" s="12" t="n">
        <v>754</v>
      </c>
      <c r="I465" s="12" t="n">
        <v>12</v>
      </c>
      <c r="J465" s="12" t="s">
        <v>27</v>
      </c>
    </row>
    <row r="466" customFormat="false" ht="15" hidden="false" customHeight="true" outlineLevel="0" collapsed="false">
      <c r="A466" s="12" t="n">
        <v>465</v>
      </c>
      <c r="B466" s="12" t="n">
        <v>34</v>
      </c>
      <c r="C466" s="12" t="s">
        <v>40</v>
      </c>
      <c r="D466" s="12" t="n">
        <v>2</v>
      </c>
      <c r="E466" s="12" t="s">
        <v>41</v>
      </c>
      <c r="F466" s="12" t="s">
        <v>43</v>
      </c>
      <c r="G466" s="12" t="s">
        <v>42</v>
      </c>
      <c r="H466" s="12" t="n">
        <v>1950</v>
      </c>
      <c r="I466" s="12" t="n">
        <v>18</v>
      </c>
      <c r="J466" s="12" t="s">
        <v>26</v>
      </c>
    </row>
    <row r="467" customFormat="false" ht="15" hidden="false" customHeight="true" outlineLevel="0" collapsed="false">
      <c r="A467" s="12" t="n">
        <v>466</v>
      </c>
      <c r="B467" s="12" t="n">
        <v>63</v>
      </c>
      <c r="C467" s="12" t="s">
        <v>40</v>
      </c>
      <c r="D467" s="12" t="n">
        <v>2</v>
      </c>
      <c r="E467" s="12" t="s">
        <v>41</v>
      </c>
      <c r="F467" s="12" t="s">
        <v>43</v>
      </c>
      <c r="G467" s="12" t="s">
        <v>43</v>
      </c>
      <c r="H467" s="12" t="n">
        <v>2924</v>
      </c>
      <c r="I467" s="12" t="n">
        <v>24</v>
      </c>
      <c r="J467" s="12" t="s">
        <v>23</v>
      </c>
    </row>
    <row r="468" customFormat="false" ht="15" hidden="false" customHeight="true" outlineLevel="0" collapsed="false">
      <c r="A468" s="12" t="n">
        <v>467</v>
      </c>
      <c r="B468" s="12" t="n">
        <v>29</v>
      </c>
      <c r="C468" s="12" t="s">
        <v>44</v>
      </c>
      <c r="D468" s="12" t="n">
        <v>1</v>
      </c>
      <c r="E468" s="12" t="s">
        <v>48</v>
      </c>
      <c r="F468" s="12" t="s">
        <v>43</v>
      </c>
      <c r="G468" s="12" t="s">
        <v>43</v>
      </c>
      <c r="H468" s="12" t="n">
        <v>1659</v>
      </c>
      <c r="I468" s="12" t="n">
        <v>24</v>
      </c>
      <c r="J468" s="12" t="s">
        <v>24</v>
      </c>
    </row>
    <row r="469" customFormat="false" ht="15" hidden="false" customHeight="true" outlineLevel="0" collapsed="false">
      <c r="A469" s="12" t="n">
        <v>468</v>
      </c>
      <c r="B469" s="12" t="n">
        <v>32</v>
      </c>
      <c r="C469" s="12" t="s">
        <v>40</v>
      </c>
      <c r="D469" s="12" t="n">
        <v>2</v>
      </c>
      <c r="E469" s="12" t="s">
        <v>41</v>
      </c>
      <c r="F469" s="12" t="s">
        <v>42</v>
      </c>
      <c r="G469" s="12" t="s">
        <v>42</v>
      </c>
      <c r="H469" s="12" t="n">
        <v>7238</v>
      </c>
      <c r="I469" s="12" t="n">
        <v>48</v>
      </c>
      <c r="J469" s="12" t="s">
        <v>24</v>
      </c>
    </row>
    <row r="470" customFormat="false" ht="15" hidden="false" customHeight="true" outlineLevel="0" collapsed="false">
      <c r="A470" s="12" t="n">
        <v>469</v>
      </c>
      <c r="B470" s="12" t="n">
        <v>26</v>
      </c>
      <c r="C470" s="12" t="s">
        <v>44</v>
      </c>
      <c r="D470" s="12" t="n">
        <v>2</v>
      </c>
      <c r="E470" s="12" t="s">
        <v>41</v>
      </c>
      <c r="F470" s="12" t="s">
        <v>43</v>
      </c>
      <c r="G470" s="12" t="s">
        <v>42</v>
      </c>
      <c r="H470" s="12" t="n">
        <v>2764</v>
      </c>
      <c r="I470" s="12" t="n">
        <v>33</v>
      </c>
      <c r="J470" s="12" t="s">
        <v>26</v>
      </c>
    </row>
    <row r="471" customFormat="false" ht="15" hidden="false" customHeight="true" outlineLevel="0" collapsed="false">
      <c r="A471" s="12" t="n">
        <v>470</v>
      </c>
      <c r="B471" s="12" t="n">
        <v>35</v>
      </c>
      <c r="C471" s="12" t="s">
        <v>40</v>
      </c>
      <c r="D471" s="12" t="n">
        <v>1</v>
      </c>
      <c r="E471" s="12" t="s">
        <v>41</v>
      </c>
      <c r="F471" s="12" t="s">
        <v>43</v>
      </c>
      <c r="G471" s="12" t="s">
        <v>42</v>
      </c>
      <c r="H471" s="12" t="n">
        <v>4679</v>
      </c>
      <c r="I471" s="12" t="n">
        <v>24</v>
      </c>
      <c r="J471" s="12" t="s">
        <v>23</v>
      </c>
    </row>
    <row r="472" customFormat="false" ht="15" hidden="false" customHeight="true" outlineLevel="0" collapsed="false">
      <c r="A472" s="12" t="n">
        <v>471</v>
      </c>
      <c r="B472" s="12" t="n">
        <v>22</v>
      </c>
      <c r="C472" s="12" t="s">
        <v>40</v>
      </c>
      <c r="D472" s="12" t="n">
        <v>2</v>
      </c>
      <c r="E472" s="12" t="s">
        <v>48</v>
      </c>
      <c r="F472" s="12" t="s">
        <v>45</v>
      </c>
      <c r="G472" s="12" t="s">
        <v>45</v>
      </c>
      <c r="H472" s="12" t="n">
        <v>3092</v>
      </c>
      <c r="I472" s="12" t="n">
        <v>24</v>
      </c>
      <c r="J472" s="12" t="s">
        <v>24</v>
      </c>
    </row>
    <row r="473" customFormat="false" ht="15" hidden="false" customHeight="true" outlineLevel="0" collapsed="false">
      <c r="A473" s="12" t="n">
        <v>472</v>
      </c>
      <c r="B473" s="12" t="n">
        <v>23</v>
      </c>
      <c r="C473" s="12" t="s">
        <v>44</v>
      </c>
      <c r="D473" s="12" t="n">
        <v>2</v>
      </c>
      <c r="E473" s="12" t="s">
        <v>41</v>
      </c>
      <c r="F473" s="12" t="s">
        <v>43</v>
      </c>
      <c r="G473" s="12" t="s">
        <v>43</v>
      </c>
      <c r="H473" s="12" t="n">
        <v>448</v>
      </c>
      <c r="I473" s="12" t="n">
        <v>6</v>
      </c>
      <c r="J473" s="12" t="s">
        <v>27</v>
      </c>
    </row>
    <row r="474" customFormat="false" ht="15" hidden="false" customHeight="true" outlineLevel="0" collapsed="false">
      <c r="A474" s="12" t="n">
        <v>473</v>
      </c>
      <c r="B474" s="12" t="n">
        <v>28</v>
      </c>
      <c r="C474" s="12" t="s">
        <v>40</v>
      </c>
      <c r="D474" s="12" t="n">
        <v>1</v>
      </c>
      <c r="E474" s="12" t="s">
        <v>41</v>
      </c>
      <c r="F474" s="12" t="s">
        <v>43</v>
      </c>
      <c r="G474" s="12" t="s">
        <v>43</v>
      </c>
      <c r="H474" s="12" t="n">
        <v>654</v>
      </c>
      <c r="I474" s="12" t="n">
        <v>9</v>
      </c>
      <c r="J474" s="12" t="s">
        <v>23</v>
      </c>
    </row>
    <row r="475" customFormat="false" ht="15" hidden="false" customHeight="true" outlineLevel="0" collapsed="false">
      <c r="A475" s="12" t="n">
        <v>474</v>
      </c>
      <c r="B475" s="12" t="n">
        <v>36</v>
      </c>
      <c r="C475" s="12" t="s">
        <v>40</v>
      </c>
      <c r="D475" s="12" t="n">
        <v>3</v>
      </c>
      <c r="E475" s="12" t="s">
        <v>41</v>
      </c>
      <c r="F475" s="12" t="s">
        <v>42</v>
      </c>
      <c r="G475" s="12" t="s">
        <v>42</v>
      </c>
      <c r="H475" s="12" t="n">
        <v>1238</v>
      </c>
      <c r="I475" s="12" t="n">
        <v>6</v>
      </c>
      <c r="J475" s="12" t="s">
        <v>27</v>
      </c>
    </row>
    <row r="476" customFormat="false" ht="15" hidden="false" customHeight="true" outlineLevel="0" collapsed="false">
      <c r="A476" s="12" t="n">
        <v>475</v>
      </c>
      <c r="B476" s="12" t="n">
        <v>33</v>
      </c>
      <c r="C476" s="12" t="s">
        <v>40</v>
      </c>
      <c r="D476" s="12" t="n">
        <v>2</v>
      </c>
      <c r="E476" s="12" t="s">
        <v>41</v>
      </c>
      <c r="F476" s="12" t="s">
        <v>43</v>
      </c>
      <c r="G476" s="12" t="s">
        <v>45</v>
      </c>
      <c r="H476" s="12" t="n">
        <v>1245</v>
      </c>
      <c r="I476" s="12" t="n">
        <v>18</v>
      </c>
      <c r="J476" s="12" t="s">
        <v>24</v>
      </c>
    </row>
    <row r="477" customFormat="false" ht="15" hidden="false" customHeight="true" outlineLevel="0" collapsed="false">
      <c r="A477" s="12" t="n">
        <v>476</v>
      </c>
      <c r="B477" s="12" t="n">
        <v>26</v>
      </c>
      <c r="C477" s="12" t="s">
        <v>44</v>
      </c>
      <c r="D477" s="12" t="n">
        <v>2</v>
      </c>
      <c r="E477" s="12" t="s">
        <v>48</v>
      </c>
      <c r="F477" s="12" t="s">
        <v>43</v>
      </c>
      <c r="G477" s="12" t="s">
        <v>43</v>
      </c>
      <c r="H477" s="12" t="n">
        <v>3114</v>
      </c>
      <c r="I477" s="12" t="n">
        <v>18</v>
      </c>
      <c r="J477" s="12" t="s">
        <v>25</v>
      </c>
    </row>
    <row r="478" customFormat="false" ht="15" hidden="false" customHeight="true" outlineLevel="0" collapsed="false">
      <c r="A478" s="12" t="n">
        <v>477</v>
      </c>
      <c r="B478" s="12" t="n">
        <v>24</v>
      </c>
      <c r="C478" s="12" t="s">
        <v>40</v>
      </c>
      <c r="D478" s="12" t="n">
        <v>2</v>
      </c>
      <c r="E478" s="12" t="s">
        <v>41</v>
      </c>
      <c r="F478" s="12" t="s">
        <v>47</v>
      </c>
      <c r="G478" s="12" t="s">
        <v>42</v>
      </c>
      <c r="H478" s="12" t="n">
        <v>2569</v>
      </c>
      <c r="I478" s="12" t="n">
        <v>39</v>
      </c>
      <c r="J478" s="12" t="s">
        <v>23</v>
      </c>
    </row>
    <row r="479" customFormat="false" ht="15" hidden="false" customHeight="true" outlineLevel="0" collapsed="false">
      <c r="A479" s="12" t="n">
        <v>478</v>
      </c>
      <c r="B479" s="12" t="n">
        <v>25</v>
      </c>
      <c r="C479" s="12" t="s">
        <v>40</v>
      </c>
      <c r="D479" s="12" t="n">
        <v>2</v>
      </c>
      <c r="E479" s="12" t="s">
        <v>41</v>
      </c>
      <c r="F479" s="12" t="s">
        <v>43</v>
      </c>
      <c r="G479" s="12" t="s">
        <v>49</v>
      </c>
      <c r="H479" s="12" t="n">
        <v>5152</v>
      </c>
      <c r="I479" s="12" t="n">
        <v>24</v>
      </c>
      <c r="J479" s="12" t="s">
        <v>24</v>
      </c>
    </row>
    <row r="480" customFormat="false" ht="15" hidden="false" customHeight="true" outlineLevel="0" collapsed="false">
      <c r="A480" s="12" t="n">
        <v>479</v>
      </c>
      <c r="B480" s="12" t="n">
        <v>39</v>
      </c>
      <c r="C480" s="12" t="s">
        <v>40</v>
      </c>
      <c r="D480" s="12" t="n">
        <v>1</v>
      </c>
      <c r="E480" s="12" t="s">
        <v>41</v>
      </c>
      <c r="F480" s="12" t="s">
        <v>45</v>
      </c>
      <c r="G480" s="12" t="s">
        <v>45</v>
      </c>
      <c r="H480" s="12" t="n">
        <v>1037</v>
      </c>
      <c r="I480" s="12" t="n">
        <v>12</v>
      </c>
      <c r="J480" s="12" t="s">
        <v>26</v>
      </c>
    </row>
    <row r="481" customFormat="false" ht="15" hidden="false" customHeight="true" outlineLevel="0" collapsed="false">
      <c r="A481" s="12" t="n">
        <v>480</v>
      </c>
      <c r="B481" s="12" t="n">
        <v>44</v>
      </c>
      <c r="C481" s="12" t="s">
        <v>40</v>
      </c>
      <c r="D481" s="12" t="n">
        <v>2</v>
      </c>
      <c r="E481" s="12" t="s">
        <v>41</v>
      </c>
      <c r="F481" s="12" t="s">
        <v>43</v>
      </c>
      <c r="G481" s="12" t="s">
        <v>43</v>
      </c>
      <c r="H481" s="12" t="n">
        <v>1478</v>
      </c>
      <c r="I481" s="12" t="n">
        <v>15</v>
      </c>
      <c r="J481" s="12" t="s">
        <v>25</v>
      </c>
    </row>
    <row r="482" customFormat="false" ht="15" hidden="false" customHeight="true" outlineLevel="0" collapsed="false">
      <c r="A482" s="12" t="n">
        <v>481</v>
      </c>
      <c r="B482" s="12" t="n">
        <v>23</v>
      </c>
      <c r="C482" s="12" t="s">
        <v>44</v>
      </c>
      <c r="D482" s="12" t="n">
        <v>1</v>
      </c>
      <c r="E482" s="12" t="s">
        <v>41</v>
      </c>
      <c r="F482" s="12" t="s">
        <v>43</v>
      </c>
      <c r="G482" s="12" t="s">
        <v>45</v>
      </c>
      <c r="H482" s="12" t="n">
        <v>3573</v>
      </c>
      <c r="I482" s="12" t="n">
        <v>12</v>
      </c>
      <c r="J482" s="12" t="s">
        <v>24</v>
      </c>
    </row>
    <row r="483" customFormat="false" ht="15" hidden="false" customHeight="true" outlineLevel="0" collapsed="false">
      <c r="A483" s="12" t="n">
        <v>482</v>
      </c>
      <c r="B483" s="12" t="n">
        <v>26</v>
      </c>
      <c r="C483" s="12" t="s">
        <v>40</v>
      </c>
      <c r="D483" s="12" t="n">
        <v>2</v>
      </c>
      <c r="E483" s="12" t="s">
        <v>41</v>
      </c>
      <c r="F483" s="12" t="s">
        <v>43</v>
      </c>
      <c r="G483" s="12" t="s">
        <v>45</v>
      </c>
      <c r="H483" s="12" t="n">
        <v>1201</v>
      </c>
      <c r="I483" s="12" t="n">
        <v>24</v>
      </c>
      <c r="J483" s="12" t="s">
        <v>23</v>
      </c>
    </row>
    <row r="484" customFormat="false" ht="15" hidden="false" customHeight="true" outlineLevel="0" collapsed="false">
      <c r="A484" s="12" t="n">
        <v>483</v>
      </c>
      <c r="B484" s="12" t="n">
        <v>57</v>
      </c>
      <c r="C484" s="12" t="s">
        <v>44</v>
      </c>
      <c r="D484" s="12" t="n">
        <v>2</v>
      </c>
      <c r="E484" s="12" t="s">
        <v>48</v>
      </c>
      <c r="F484" s="12" t="s">
        <v>49</v>
      </c>
      <c r="G484" s="12" t="s">
        <v>43</v>
      </c>
      <c r="H484" s="12" t="n">
        <v>3622</v>
      </c>
      <c r="I484" s="12" t="n">
        <v>30</v>
      </c>
      <c r="J484" s="12" t="s">
        <v>25</v>
      </c>
    </row>
    <row r="485" customFormat="false" ht="15" hidden="false" customHeight="true" outlineLevel="0" collapsed="false">
      <c r="A485" s="12" t="n">
        <v>484</v>
      </c>
      <c r="B485" s="12" t="n">
        <v>30</v>
      </c>
      <c r="C485" s="12" t="s">
        <v>44</v>
      </c>
      <c r="D485" s="12" t="n">
        <v>2</v>
      </c>
      <c r="E485" s="12" t="s">
        <v>41</v>
      </c>
      <c r="F485" s="12" t="s">
        <v>49</v>
      </c>
      <c r="G485" s="12" t="s">
        <v>42</v>
      </c>
      <c r="H485" s="12" t="n">
        <v>960</v>
      </c>
      <c r="I485" s="12" t="n">
        <v>15</v>
      </c>
      <c r="J485" s="12" t="s">
        <v>25</v>
      </c>
    </row>
    <row r="486" customFormat="false" ht="15" hidden="false" customHeight="true" outlineLevel="0" collapsed="false">
      <c r="A486" s="12" t="n">
        <v>485</v>
      </c>
      <c r="B486" s="12" t="n">
        <v>44</v>
      </c>
      <c r="C486" s="12" t="s">
        <v>40</v>
      </c>
      <c r="D486" s="12" t="n">
        <v>2</v>
      </c>
      <c r="E486" s="12" t="s">
        <v>41</v>
      </c>
      <c r="F486" s="12" t="s">
        <v>47</v>
      </c>
      <c r="G486" s="12" t="s">
        <v>42</v>
      </c>
      <c r="H486" s="12" t="n">
        <v>1163</v>
      </c>
      <c r="I486" s="12" t="n">
        <v>12</v>
      </c>
      <c r="J486" s="12" t="s">
        <v>23</v>
      </c>
    </row>
    <row r="487" customFormat="false" ht="15" hidden="false" customHeight="true" outlineLevel="0" collapsed="false">
      <c r="A487" s="12" t="n">
        <v>486</v>
      </c>
      <c r="B487" s="12" t="n">
        <v>47</v>
      </c>
      <c r="C487" s="12" t="s">
        <v>40</v>
      </c>
      <c r="D487" s="12" t="n">
        <v>3</v>
      </c>
      <c r="E487" s="12" t="s">
        <v>41</v>
      </c>
      <c r="F487" s="12" t="s">
        <v>43</v>
      </c>
      <c r="G487" s="12" t="s">
        <v>45</v>
      </c>
      <c r="H487" s="12" t="n">
        <v>1209</v>
      </c>
      <c r="I487" s="12" t="n">
        <v>6</v>
      </c>
      <c r="J487" s="12" t="s">
        <v>23</v>
      </c>
    </row>
    <row r="488" customFormat="false" ht="15" hidden="false" customHeight="true" outlineLevel="0" collapsed="false">
      <c r="A488" s="12" t="n">
        <v>487</v>
      </c>
      <c r="B488" s="12" t="n">
        <v>52</v>
      </c>
      <c r="C488" s="12" t="s">
        <v>40</v>
      </c>
      <c r="D488" s="12" t="n">
        <v>2</v>
      </c>
      <c r="E488" s="12" t="s">
        <v>41</v>
      </c>
      <c r="F488" s="12" t="s">
        <v>43</v>
      </c>
      <c r="G488" s="12" t="s">
        <v>42</v>
      </c>
      <c r="H488" s="12" t="n">
        <v>3077</v>
      </c>
      <c r="I488" s="12" t="n">
        <v>12</v>
      </c>
      <c r="J488" s="12" t="s">
        <v>24</v>
      </c>
    </row>
    <row r="489" customFormat="false" ht="15" hidden="false" customHeight="true" outlineLevel="0" collapsed="false">
      <c r="A489" s="12" t="n">
        <v>488</v>
      </c>
      <c r="B489" s="12" t="n">
        <v>62</v>
      </c>
      <c r="C489" s="12" t="s">
        <v>44</v>
      </c>
      <c r="D489" s="12" t="n">
        <v>2</v>
      </c>
      <c r="E489" s="12" t="s">
        <v>46</v>
      </c>
      <c r="F489" s="12" t="s">
        <v>43</v>
      </c>
      <c r="G489" s="12" t="s">
        <v>42</v>
      </c>
      <c r="H489" s="12" t="n">
        <v>3757</v>
      </c>
      <c r="I489" s="12" t="n">
        <v>24</v>
      </c>
      <c r="J489" s="12" t="s">
        <v>23</v>
      </c>
    </row>
    <row r="490" customFormat="false" ht="15" hidden="false" customHeight="true" outlineLevel="0" collapsed="false">
      <c r="A490" s="12" t="n">
        <v>489</v>
      </c>
      <c r="B490" s="12" t="n">
        <v>35</v>
      </c>
      <c r="C490" s="12" t="s">
        <v>40</v>
      </c>
      <c r="D490" s="12" t="n">
        <v>1</v>
      </c>
      <c r="E490" s="12" t="s">
        <v>48</v>
      </c>
      <c r="F490" s="12" t="s">
        <v>45</v>
      </c>
      <c r="G490" s="12" t="s">
        <v>42</v>
      </c>
      <c r="H490" s="12" t="n">
        <v>1418</v>
      </c>
      <c r="I490" s="12" t="n">
        <v>10</v>
      </c>
      <c r="J490" s="12" t="s">
        <v>23</v>
      </c>
    </row>
    <row r="491" customFormat="false" ht="15" hidden="false" customHeight="true" outlineLevel="0" collapsed="false">
      <c r="A491" s="12" t="n">
        <v>490</v>
      </c>
      <c r="B491" s="12" t="n">
        <v>26</v>
      </c>
      <c r="C491" s="12" t="s">
        <v>40</v>
      </c>
      <c r="D491" s="12" t="n">
        <v>2</v>
      </c>
      <c r="E491" s="12" t="s">
        <v>48</v>
      </c>
      <c r="F491" s="12" t="s">
        <v>43</v>
      </c>
      <c r="G491" s="12" t="s">
        <v>42</v>
      </c>
      <c r="H491" s="12" t="n">
        <v>3518</v>
      </c>
      <c r="I491" s="12" t="n">
        <v>6</v>
      </c>
      <c r="J491" s="12" t="s">
        <v>23</v>
      </c>
    </row>
    <row r="492" customFormat="false" ht="15" hidden="false" customHeight="true" outlineLevel="0" collapsed="false">
      <c r="A492" s="12" t="n">
        <v>491</v>
      </c>
      <c r="B492" s="12" t="n">
        <v>26</v>
      </c>
      <c r="C492" s="12" t="s">
        <v>40</v>
      </c>
      <c r="D492" s="12" t="n">
        <v>2</v>
      </c>
      <c r="E492" s="12" t="s">
        <v>41</v>
      </c>
      <c r="F492" s="12" t="s">
        <v>43</v>
      </c>
      <c r="G492" s="12" t="s">
        <v>42</v>
      </c>
      <c r="H492" s="12" t="n">
        <v>1934</v>
      </c>
      <c r="I492" s="12" t="n">
        <v>12</v>
      </c>
      <c r="J492" s="12" t="s">
        <v>24</v>
      </c>
    </row>
    <row r="493" customFormat="false" ht="15" hidden="false" customHeight="true" outlineLevel="0" collapsed="false">
      <c r="A493" s="12" t="n">
        <v>492</v>
      </c>
      <c r="B493" s="12" t="n">
        <v>42</v>
      </c>
      <c r="C493" s="12" t="s">
        <v>44</v>
      </c>
      <c r="D493" s="12" t="n">
        <v>3</v>
      </c>
      <c r="E493" s="12" t="s">
        <v>46</v>
      </c>
      <c r="F493" s="12" t="s">
        <v>43</v>
      </c>
      <c r="G493" s="12" t="s">
        <v>45</v>
      </c>
      <c r="H493" s="12" t="n">
        <v>8318</v>
      </c>
      <c r="I493" s="12" t="n">
        <v>27</v>
      </c>
      <c r="J493" s="12" t="s">
        <v>26</v>
      </c>
    </row>
    <row r="494" customFormat="false" ht="15" hidden="false" customHeight="true" outlineLevel="0" collapsed="false">
      <c r="A494" s="12" t="n">
        <v>493</v>
      </c>
      <c r="B494" s="12" t="n">
        <v>27</v>
      </c>
      <c r="C494" s="12" t="s">
        <v>44</v>
      </c>
      <c r="D494" s="12" t="n">
        <v>2</v>
      </c>
      <c r="E494" s="12" t="s">
        <v>41</v>
      </c>
      <c r="F494" s="12" t="s">
        <v>45</v>
      </c>
      <c r="G494" s="12" t="s">
        <v>42</v>
      </c>
      <c r="H494" s="12" t="n">
        <v>1237</v>
      </c>
      <c r="I494" s="12" t="n">
        <v>6</v>
      </c>
      <c r="J494" s="12" t="s">
        <v>24</v>
      </c>
    </row>
    <row r="495" customFormat="false" ht="15" hidden="false" customHeight="true" outlineLevel="0" collapsed="false">
      <c r="A495" s="12" t="n">
        <v>494</v>
      </c>
      <c r="B495" s="12" t="n">
        <v>38</v>
      </c>
      <c r="C495" s="12" t="s">
        <v>40</v>
      </c>
      <c r="D495" s="12" t="n">
        <v>2</v>
      </c>
      <c r="E495" s="12" t="s">
        <v>41</v>
      </c>
      <c r="F495" s="12" t="s">
        <v>42</v>
      </c>
      <c r="G495" s="12" t="s">
        <v>45</v>
      </c>
      <c r="H495" s="12" t="n">
        <v>368</v>
      </c>
      <c r="I495" s="12" t="n">
        <v>6</v>
      </c>
      <c r="J495" s="12" t="s">
        <v>24</v>
      </c>
    </row>
    <row r="496" customFormat="false" ht="15" hidden="false" customHeight="true" outlineLevel="0" collapsed="false">
      <c r="A496" s="12" t="n">
        <v>495</v>
      </c>
      <c r="B496" s="12" t="n">
        <v>39</v>
      </c>
      <c r="C496" s="12" t="s">
        <v>40</v>
      </c>
      <c r="D496" s="12" t="n">
        <v>1</v>
      </c>
      <c r="E496" s="12" t="s">
        <v>48</v>
      </c>
      <c r="F496" s="12" t="s">
        <v>43</v>
      </c>
      <c r="G496" s="12" t="s">
        <v>43</v>
      </c>
      <c r="H496" s="12" t="n">
        <v>2122</v>
      </c>
      <c r="I496" s="12" t="n">
        <v>12</v>
      </c>
      <c r="J496" s="12" t="s">
        <v>23</v>
      </c>
    </row>
    <row r="497" customFormat="false" ht="15" hidden="false" customHeight="true" outlineLevel="0" collapsed="false">
      <c r="A497" s="12" t="n">
        <v>496</v>
      </c>
      <c r="B497" s="12" t="n">
        <v>20</v>
      </c>
      <c r="C497" s="12" t="s">
        <v>40</v>
      </c>
      <c r="D497" s="12" t="n">
        <v>2</v>
      </c>
      <c r="E497" s="12" t="s">
        <v>41</v>
      </c>
      <c r="F497" s="12" t="s">
        <v>42</v>
      </c>
      <c r="G497" s="12" t="s">
        <v>43</v>
      </c>
      <c r="H497" s="12" t="n">
        <v>2996</v>
      </c>
      <c r="I497" s="12" t="n">
        <v>24</v>
      </c>
      <c r="J497" s="12" t="s">
        <v>25</v>
      </c>
    </row>
    <row r="498" customFormat="false" ht="15" hidden="false" customHeight="true" outlineLevel="0" collapsed="false">
      <c r="A498" s="12" t="n">
        <v>497</v>
      </c>
      <c r="B498" s="12" t="n">
        <v>29</v>
      </c>
      <c r="C498" s="12" t="s">
        <v>40</v>
      </c>
      <c r="D498" s="12" t="n">
        <v>3</v>
      </c>
      <c r="E498" s="12" t="s">
        <v>48</v>
      </c>
      <c r="F498" s="12" t="s">
        <v>45</v>
      </c>
      <c r="G498" s="12" t="s">
        <v>45</v>
      </c>
      <c r="H498" s="12" t="n">
        <v>9034</v>
      </c>
      <c r="I498" s="12" t="n">
        <v>36</v>
      </c>
      <c r="J498" s="12" t="s">
        <v>25</v>
      </c>
    </row>
    <row r="499" customFormat="false" ht="15" hidden="false" customHeight="true" outlineLevel="0" collapsed="false">
      <c r="A499" s="12" t="n">
        <v>498</v>
      </c>
      <c r="B499" s="12" t="n">
        <v>40</v>
      </c>
      <c r="C499" s="12" t="s">
        <v>40</v>
      </c>
      <c r="D499" s="12" t="n">
        <v>2</v>
      </c>
      <c r="E499" s="12" t="s">
        <v>41</v>
      </c>
      <c r="F499" s="12" t="s">
        <v>43</v>
      </c>
      <c r="G499" s="12" t="s">
        <v>42</v>
      </c>
      <c r="H499" s="12" t="n">
        <v>1585</v>
      </c>
      <c r="I499" s="12" t="n">
        <v>24</v>
      </c>
      <c r="J499" s="12" t="s">
        <v>25</v>
      </c>
    </row>
    <row r="500" customFormat="false" ht="15" hidden="false" customHeight="true" outlineLevel="0" collapsed="false">
      <c r="A500" s="12" t="n">
        <v>499</v>
      </c>
      <c r="B500" s="12" t="n">
        <v>32</v>
      </c>
      <c r="C500" s="12" t="s">
        <v>40</v>
      </c>
      <c r="D500" s="12" t="n">
        <v>1</v>
      </c>
      <c r="E500" s="12" t="s">
        <v>41</v>
      </c>
      <c r="F500" s="12" t="s">
        <v>43</v>
      </c>
      <c r="G500" s="12" t="s">
        <v>45</v>
      </c>
      <c r="H500" s="12" t="n">
        <v>1301</v>
      </c>
      <c r="I500" s="12" t="n">
        <v>18</v>
      </c>
      <c r="J500" s="12" t="s">
        <v>24</v>
      </c>
    </row>
    <row r="501" customFormat="false" ht="15" hidden="false" customHeight="true" outlineLevel="0" collapsed="false">
      <c r="A501" s="12" t="n">
        <v>500</v>
      </c>
      <c r="B501" s="12" t="n">
        <v>28</v>
      </c>
      <c r="C501" s="12" t="s">
        <v>40</v>
      </c>
      <c r="D501" s="12" t="n">
        <v>2</v>
      </c>
      <c r="E501" s="12" t="s">
        <v>41</v>
      </c>
      <c r="F501" s="12" t="s">
        <v>45</v>
      </c>
      <c r="G501" s="12" t="s">
        <v>49</v>
      </c>
      <c r="H501" s="12" t="n">
        <v>1323</v>
      </c>
      <c r="I501" s="12" t="n">
        <v>6</v>
      </c>
      <c r="J501" s="12" t="s">
        <v>23</v>
      </c>
    </row>
    <row r="502" customFormat="false" ht="15" hidden="false" customHeight="true" outlineLevel="0" collapsed="false">
      <c r="A502" s="12" t="n">
        <v>501</v>
      </c>
      <c r="B502" s="12" t="n">
        <v>27</v>
      </c>
      <c r="C502" s="12" t="s">
        <v>44</v>
      </c>
      <c r="D502" s="12" t="n">
        <v>2</v>
      </c>
      <c r="E502" s="12" t="s">
        <v>41</v>
      </c>
      <c r="F502" s="12" t="s">
        <v>43</v>
      </c>
      <c r="G502" s="12" t="s">
        <v>43</v>
      </c>
      <c r="H502" s="12" t="n">
        <v>3123</v>
      </c>
      <c r="I502" s="12" t="n">
        <v>24</v>
      </c>
      <c r="J502" s="12" t="s">
        <v>23</v>
      </c>
    </row>
    <row r="503" customFormat="false" ht="15" hidden="false" customHeight="true" outlineLevel="0" collapsed="false">
      <c r="A503" s="12" t="n">
        <v>502</v>
      </c>
      <c r="B503" s="12" t="n">
        <v>42</v>
      </c>
      <c r="C503" s="12" t="s">
        <v>40</v>
      </c>
      <c r="D503" s="12" t="n">
        <v>2</v>
      </c>
      <c r="E503" s="12" t="s">
        <v>46</v>
      </c>
      <c r="F503" s="12" t="s">
        <v>43</v>
      </c>
      <c r="G503" s="12" t="s">
        <v>43</v>
      </c>
      <c r="H503" s="12" t="n">
        <v>5493</v>
      </c>
      <c r="I503" s="12" t="n">
        <v>36</v>
      </c>
      <c r="J503" s="12" t="s">
        <v>23</v>
      </c>
    </row>
    <row r="504" customFormat="false" ht="15" hidden="false" customHeight="true" outlineLevel="0" collapsed="false">
      <c r="A504" s="12" t="n">
        <v>503</v>
      </c>
      <c r="B504" s="12" t="n">
        <v>49</v>
      </c>
      <c r="C504" s="12" t="s">
        <v>40</v>
      </c>
      <c r="D504" s="12" t="n">
        <v>2</v>
      </c>
      <c r="E504" s="12" t="s">
        <v>41</v>
      </c>
      <c r="F504" s="12" t="s">
        <v>45</v>
      </c>
      <c r="G504" s="12" t="s">
        <v>49</v>
      </c>
      <c r="H504" s="12" t="n">
        <v>1126</v>
      </c>
      <c r="I504" s="12" t="n">
        <v>9</v>
      </c>
      <c r="J504" s="12" t="s">
        <v>24</v>
      </c>
    </row>
    <row r="505" customFormat="false" ht="15" hidden="false" customHeight="true" outlineLevel="0" collapsed="false">
      <c r="A505" s="12" t="n">
        <v>504</v>
      </c>
      <c r="B505" s="12" t="n">
        <v>38</v>
      </c>
      <c r="C505" s="12" t="s">
        <v>40</v>
      </c>
      <c r="D505" s="12" t="n">
        <v>2</v>
      </c>
      <c r="E505" s="12" t="s">
        <v>41</v>
      </c>
      <c r="F505" s="12" t="s">
        <v>45</v>
      </c>
      <c r="G505" s="12" t="s">
        <v>45</v>
      </c>
      <c r="H505" s="12" t="n">
        <v>1216</v>
      </c>
      <c r="I505" s="12" t="n">
        <v>24</v>
      </c>
      <c r="J505" s="12" t="s">
        <v>24</v>
      </c>
    </row>
    <row r="506" customFormat="false" ht="15" hidden="false" customHeight="true" outlineLevel="0" collapsed="false">
      <c r="A506" s="12" t="n">
        <v>505</v>
      </c>
      <c r="B506" s="12" t="n">
        <v>24</v>
      </c>
      <c r="C506" s="12" t="s">
        <v>44</v>
      </c>
      <c r="D506" s="12" t="n">
        <v>2</v>
      </c>
      <c r="E506" s="12" t="s">
        <v>48</v>
      </c>
      <c r="F506" s="12" t="s">
        <v>43</v>
      </c>
      <c r="G506" s="12" t="s">
        <v>43</v>
      </c>
      <c r="H506" s="12" t="n">
        <v>1207</v>
      </c>
      <c r="I506" s="12" t="n">
        <v>24</v>
      </c>
      <c r="J506" s="12" t="s">
        <v>23</v>
      </c>
    </row>
    <row r="507" customFormat="false" ht="15" hidden="false" customHeight="true" outlineLevel="0" collapsed="false">
      <c r="A507" s="12" t="n">
        <v>506</v>
      </c>
      <c r="B507" s="12" t="n">
        <v>27</v>
      </c>
      <c r="C507" s="12" t="s">
        <v>40</v>
      </c>
      <c r="D507" s="12" t="n">
        <v>1</v>
      </c>
      <c r="E507" s="12" t="s">
        <v>41</v>
      </c>
      <c r="F507" s="12" t="s">
        <v>42</v>
      </c>
      <c r="G507" s="12" t="s">
        <v>42</v>
      </c>
      <c r="H507" s="12" t="n">
        <v>1309</v>
      </c>
      <c r="I507" s="12" t="n">
        <v>10</v>
      </c>
      <c r="J507" s="12" t="s">
        <v>23</v>
      </c>
    </row>
    <row r="508" customFormat="false" ht="15" hidden="false" customHeight="true" outlineLevel="0" collapsed="false">
      <c r="A508" s="12" t="n">
        <v>507</v>
      </c>
      <c r="B508" s="12" t="n">
        <v>36</v>
      </c>
      <c r="C508" s="12" t="s">
        <v>40</v>
      </c>
      <c r="D508" s="12" t="n">
        <v>2</v>
      </c>
      <c r="E508" s="12" t="s">
        <v>41</v>
      </c>
      <c r="F508" s="12" t="s">
        <v>47</v>
      </c>
      <c r="G508" s="12" t="s">
        <v>49</v>
      </c>
      <c r="H508" s="12" t="n">
        <v>2360</v>
      </c>
      <c r="I508" s="12" t="n">
        <v>15</v>
      </c>
      <c r="J508" s="12" t="s">
        <v>23</v>
      </c>
    </row>
    <row r="509" customFormat="false" ht="15" hidden="false" customHeight="true" outlineLevel="0" collapsed="false">
      <c r="A509" s="12" t="n">
        <v>508</v>
      </c>
      <c r="B509" s="12" t="n">
        <v>34</v>
      </c>
      <c r="C509" s="12" t="s">
        <v>40</v>
      </c>
      <c r="D509" s="12" t="n">
        <v>3</v>
      </c>
      <c r="E509" s="12" t="s">
        <v>41</v>
      </c>
      <c r="F509" s="12" t="s">
        <v>45</v>
      </c>
      <c r="G509" s="12" t="s">
        <v>45</v>
      </c>
      <c r="H509" s="12" t="n">
        <v>6850</v>
      </c>
      <c r="I509" s="12" t="n">
        <v>15</v>
      </c>
      <c r="J509" s="12" t="s">
        <v>23</v>
      </c>
    </row>
    <row r="510" customFormat="false" ht="15" hidden="false" customHeight="true" outlineLevel="0" collapsed="false">
      <c r="A510" s="12" t="n">
        <v>509</v>
      </c>
      <c r="B510" s="12" t="n">
        <v>28</v>
      </c>
      <c r="C510" s="12" t="s">
        <v>40</v>
      </c>
      <c r="D510" s="12" t="n">
        <v>2</v>
      </c>
      <c r="E510" s="12" t="s">
        <v>41</v>
      </c>
      <c r="F510" s="12" t="s">
        <v>43</v>
      </c>
      <c r="G510" s="12" t="s">
        <v>42</v>
      </c>
      <c r="H510" s="12" t="n">
        <v>1413</v>
      </c>
      <c r="I510" s="12" t="n">
        <v>24</v>
      </c>
      <c r="J510" s="12" t="s">
        <v>24</v>
      </c>
    </row>
    <row r="511" customFormat="false" ht="15" hidden="false" customHeight="true" outlineLevel="0" collapsed="false">
      <c r="A511" s="12" t="n">
        <v>510</v>
      </c>
      <c r="B511" s="12" t="n">
        <v>45</v>
      </c>
      <c r="C511" s="12" t="s">
        <v>40</v>
      </c>
      <c r="D511" s="12" t="n">
        <v>3</v>
      </c>
      <c r="E511" s="12" t="s">
        <v>41</v>
      </c>
      <c r="F511" s="12" t="s">
        <v>45</v>
      </c>
      <c r="G511" s="12" t="s">
        <v>42</v>
      </c>
      <c r="H511" s="12" t="n">
        <v>8588</v>
      </c>
      <c r="I511" s="12" t="n">
        <v>39</v>
      </c>
      <c r="J511" s="12" t="s">
        <v>23</v>
      </c>
    </row>
    <row r="512" customFormat="false" ht="15" hidden="false" customHeight="true" outlineLevel="0" collapsed="false">
      <c r="A512" s="12" t="n">
        <v>511</v>
      </c>
      <c r="B512" s="12" t="n">
        <v>26</v>
      </c>
      <c r="C512" s="12" t="s">
        <v>40</v>
      </c>
      <c r="D512" s="12" t="n">
        <v>2</v>
      </c>
      <c r="E512" s="12" t="s">
        <v>41</v>
      </c>
      <c r="F512" s="12" t="s">
        <v>43</v>
      </c>
      <c r="G512" s="12" t="s">
        <v>43</v>
      </c>
      <c r="H512" s="12" t="n">
        <v>759</v>
      </c>
      <c r="I512" s="12" t="n">
        <v>12</v>
      </c>
      <c r="J512" s="12" t="s">
        <v>23</v>
      </c>
    </row>
    <row r="513" customFormat="false" ht="15" hidden="false" customHeight="true" outlineLevel="0" collapsed="false">
      <c r="A513" s="12" t="n">
        <v>512</v>
      </c>
      <c r="B513" s="12" t="n">
        <v>32</v>
      </c>
      <c r="C513" s="12" t="s">
        <v>40</v>
      </c>
      <c r="D513" s="12" t="n">
        <v>3</v>
      </c>
      <c r="E513" s="12" t="s">
        <v>46</v>
      </c>
      <c r="F513" s="12" t="s">
        <v>43</v>
      </c>
      <c r="G513" s="12" t="s">
        <v>42</v>
      </c>
      <c r="H513" s="12" t="n">
        <v>4686</v>
      </c>
      <c r="I513" s="12" t="n">
        <v>36</v>
      </c>
      <c r="J513" s="12" t="s">
        <v>23</v>
      </c>
    </row>
    <row r="514" customFormat="false" ht="15" hidden="false" customHeight="true" outlineLevel="0" collapsed="false">
      <c r="A514" s="12" t="n">
        <v>513</v>
      </c>
      <c r="B514" s="12" t="n">
        <v>26</v>
      </c>
      <c r="C514" s="12" t="s">
        <v>40</v>
      </c>
      <c r="D514" s="12" t="n">
        <v>2</v>
      </c>
      <c r="E514" s="12" t="s">
        <v>48</v>
      </c>
      <c r="F514" s="12" t="s">
        <v>43</v>
      </c>
      <c r="G514" s="12" t="s">
        <v>49</v>
      </c>
      <c r="H514" s="12" t="n">
        <v>2687</v>
      </c>
      <c r="I514" s="12" t="n">
        <v>15</v>
      </c>
      <c r="J514" s="12" t="s">
        <v>26</v>
      </c>
    </row>
    <row r="515" customFormat="false" ht="15" hidden="false" customHeight="true" outlineLevel="0" collapsed="false">
      <c r="A515" s="12" t="n">
        <v>514</v>
      </c>
      <c r="B515" s="12" t="n">
        <v>20</v>
      </c>
      <c r="C515" s="12" t="s">
        <v>40</v>
      </c>
      <c r="D515" s="12" t="n">
        <v>2</v>
      </c>
      <c r="E515" s="12" t="s">
        <v>48</v>
      </c>
      <c r="F515" s="12" t="s">
        <v>43</v>
      </c>
      <c r="G515" s="12" t="s">
        <v>45</v>
      </c>
      <c r="H515" s="12" t="n">
        <v>585</v>
      </c>
      <c r="I515" s="12" t="n">
        <v>12</v>
      </c>
      <c r="J515" s="12" t="s">
        <v>24</v>
      </c>
    </row>
    <row r="516" customFormat="false" ht="15" hidden="false" customHeight="true" outlineLevel="0" collapsed="false">
      <c r="A516" s="12" t="n">
        <v>515</v>
      </c>
      <c r="B516" s="12" t="n">
        <v>54</v>
      </c>
      <c r="C516" s="12" t="s">
        <v>40</v>
      </c>
      <c r="D516" s="12" t="n">
        <v>2</v>
      </c>
      <c r="E516" s="12" t="s">
        <v>41</v>
      </c>
      <c r="F516" s="12" t="s">
        <v>42</v>
      </c>
      <c r="G516" s="12" t="s">
        <v>42</v>
      </c>
      <c r="H516" s="12" t="n">
        <v>2255</v>
      </c>
      <c r="I516" s="12" t="n">
        <v>24</v>
      </c>
      <c r="J516" s="12" t="s">
        <v>23</v>
      </c>
    </row>
    <row r="517" customFormat="false" ht="15" hidden="false" customHeight="true" outlineLevel="0" collapsed="false">
      <c r="A517" s="12" t="n">
        <v>516</v>
      </c>
      <c r="B517" s="12" t="n">
        <v>37</v>
      </c>
      <c r="C517" s="12" t="s">
        <v>44</v>
      </c>
      <c r="D517" s="12" t="n">
        <v>2</v>
      </c>
      <c r="E517" s="12" t="s">
        <v>41</v>
      </c>
      <c r="F517" s="12" t="s">
        <v>43</v>
      </c>
      <c r="G517" s="12" t="s">
        <v>43</v>
      </c>
      <c r="H517" s="12" t="n">
        <v>609</v>
      </c>
      <c r="I517" s="12" t="n">
        <v>6</v>
      </c>
      <c r="J517" s="12" t="s">
        <v>23</v>
      </c>
    </row>
    <row r="518" customFormat="false" ht="15" hidden="false" customHeight="true" outlineLevel="0" collapsed="false">
      <c r="A518" s="12" t="n">
        <v>517</v>
      </c>
      <c r="B518" s="12" t="n">
        <v>40</v>
      </c>
      <c r="C518" s="12" t="s">
        <v>40</v>
      </c>
      <c r="D518" s="12" t="n">
        <v>1</v>
      </c>
      <c r="E518" s="12" t="s">
        <v>41</v>
      </c>
      <c r="F518" s="12" t="s">
        <v>43</v>
      </c>
      <c r="G518" s="12" t="s">
        <v>43</v>
      </c>
      <c r="H518" s="12" t="n">
        <v>1361</v>
      </c>
      <c r="I518" s="12" t="n">
        <v>6</v>
      </c>
      <c r="J518" s="12" t="s">
        <v>23</v>
      </c>
    </row>
    <row r="519" customFormat="false" ht="15" hidden="false" customHeight="true" outlineLevel="0" collapsed="false">
      <c r="A519" s="12" t="n">
        <v>518</v>
      </c>
      <c r="B519" s="12" t="n">
        <v>23</v>
      </c>
      <c r="C519" s="12" t="s">
        <v>44</v>
      </c>
      <c r="D519" s="12" t="n">
        <v>2</v>
      </c>
      <c r="E519" s="12" t="s">
        <v>48</v>
      </c>
      <c r="F519" s="12" t="s">
        <v>43</v>
      </c>
      <c r="G519" s="12" t="s">
        <v>42</v>
      </c>
      <c r="H519" s="12" t="n">
        <v>7127</v>
      </c>
      <c r="I519" s="12" t="n">
        <v>36</v>
      </c>
      <c r="J519" s="12" t="s">
        <v>25</v>
      </c>
    </row>
    <row r="520" customFormat="false" ht="15" hidden="false" customHeight="true" outlineLevel="0" collapsed="false">
      <c r="A520" s="12" t="n">
        <v>519</v>
      </c>
      <c r="B520" s="12" t="n">
        <v>43</v>
      </c>
      <c r="C520" s="12" t="s">
        <v>40</v>
      </c>
      <c r="D520" s="12" t="n">
        <v>2</v>
      </c>
      <c r="E520" s="12" t="s">
        <v>41</v>
      </c>
      <c r="F520" s="12" t="s">
        <v>45</v>
      </c>
      <c r="G520" s="12" t="s">
        <v>43</v>
      </c>
      <c r="H520" s="12" t="n">
        <v>1203</v>
      </c>
      <c r="I520" s="12" t="n">
        <v>6</v>
      </c>
      <c r="J520" s="12" t="s">
        <v>23</v>
      </c>
    </row>
    <row r="521" customFormat="false" ht="15" hidden="false" customHeight="true" outlineLevel="0" collapsed="false">
      <c r="A521" s="12" t="n">
        <v>520</v>
      </c>
      <c r="B521" s="12" t="n">
        <v>36</v>
      </c>
      <c r="C521" s="12" t="s">
        <v>40</v>
      </c>
      <c r="D521" s="12" t="n">
        <v>2</v>
      </c>
      <c r="E521" s="12" t="s">
        <v>46</v>
      </c>
      <c r="F521" s="12" t="s">
        <v>42</v>
      </c>
      <c r="G521" s="12" t="s">
        <v>42</v>
      </c>
      <c r="H521" s="12" t="n">
        <v>700</v>
      </c>
      <c r="I521" s="12" t="n">
        <v>6</v>
      </c>
      <c r="J521" s="12" t="s">
        <v>24</v>
      </c>
    </row>
    <row r="522" customFormat="false" ht="15" hidden="false" customHeight="true" outlineLevel="0" collapsed="false">
      <c r="A522" s="12" t="n">
        <v>521</v>
      </c>
      <c r="B522" s="12" t="n">
        <v>44</v>
      </c>
      <c r="C522" s="12" t="s">
        <v>40</v>
      </c>
      <c r="D522" s="12" t="n">
        <v>2</v>
      </c>
      <c r="E522" s="12" t="s">
        <v>46</v>
      </c>
      <c r="F522" s="12" t="s">
        <v>43</v>
      </c>
      <c r="G522" s="12" t="s">
        <v>42</v>
      </c>
      <c r="H522" s="12" t="n">
        <v>5507</v>
      </c>
      <c r="I522" s="12" t="n">
        <v>24</v>
      </c>
      <c r="J522" s="12" t="s">
        <v>28</v>
      </c>
    </row>
    <row r="523" customFormat="false" ht="15" hidden="false" customHeight="true" outlineLevel="0" collapsed="false">
      <c r="A523" s="12" t="n">
        <v>522</v>
      </c>
      <c r="B523" s="12" t="n">
        <v>24</v>
      </c>
      <c r="C523" s="12" t="s">
        <v>44</v>
      </c>
      <c r="D523" s="12" t="n">
        <v>2</v>
      </c>
      <c r="E523" s="12" t="s">
        <v>41</v>
      </c>
      <c r="F523" s="12" t="s">
        <v>43</v>
      </c>
      <c r="G523" s="12" t="s">
        <v>43</v>
      </c>
      <c r="H523" s="12" t="n">
        <v>3190</v>
      </c>
      <c r="I523" s="12" t="n">
        <v>18</v>
      </c>
      <c r="J523" s="12" t="s">
        <v>24</v>
      </c>
    </row>
    <row r="524" customFormat="false" ht="15" hidden="false" customHeight="true" outlineLevel="0" collapsed="false">
      <c r="A524" s="12" t="n">
        <v>523</v>
      </c>
      <c r="B524" s="12" t="n">
        <v>53</v>
      </c>
      <c r="C524" s="12" t="s">
        <v>40</v>
      </c>
      <c r="D524" s="12" t="n">
        <v>2</v>
      </c>
      <c r="E524" s="12" t="s">
        <v>46</v>
      </c>
      <c r="F524" s="12" t="s">
        <v>43</v>
      </c>
      <c r="G524" s="12" t="s">
        <v>43</v>
      </c>
      <c r="H524" s="12" t="n">
        <v>7119</v>
      </c>
      <c r="I524" s="12" t="n">
        <v>48</v>
      </c>
      <c r="J524" s="12" t="s">
        <v>25</v>
      </c>
    </row>
    <row r="525" customFormat="false" ht="15" hidden="false" customHeight="true" outlineLevel="0" collapsed="false">
      <c r="A525" s="12" t="n">
        <v>524</v>
      </c>
      <c r="B525" s="12" t="n">
        <v>23</v>
      </c>
      <c r="C525" s="12" t="s">
        <v>44</v>
      </c>
      <c r="D525" s="12" t="n">
        <v>2</v>
      </c>
      <c r="E525" s="12" t="s">
        <v>41</v>
      </c>
      <c r="F525" s="12" t="s">
        <v>45</v>
      </c>
      <c r="G525" s="12" t="s">
        <v>42</v>
      </c>
      <c r="H525" s="12" t="n">
        <v>3488</v>
      </c>
      <c r="I525" s="12" t="n">
        <v>24</v>
      </c>
      <c r="J525" s="12" t="s">
        <v>23</v>
      </c>
    </row>
    <row r="526" customFormat="false" ht="15" hidden="false" customHeight="true" outlineLevel="0" collapsed="false">
      <c r="A526" s="12" t="n">
        <v>525</v>
      </c>
      <c r="B526" s="12" t="n">
        <v>26</v>
      </c>
      <c r="C526" s="12" t="s">
        <v>44</v>
      </c>
      <c r="D526" s="12" t="n">
        <v>1</v>
      </c>
      <c r="E526" s="12" t="s">
        <v>41</v>
      </c>
      <c r="F526" s="12" t="s">
        <v>43</v>
      </c>
      <c r="G526" s="12" t="s">
        <v>45</v>
      </c>
      <c r="H526" s="12" t="n">
        <v>1113</v>
      </c>
      <c r="I526" s="12" t="n">
        <v>18</v>
      </c>
      <c r="J526" s="12" t="s">
        <v>24</v>
      </c>
    </row>
    <row r="527" customFormat="false" ht="15" hidden="false" customHeight="true" outlineLevel="0" collapsed="false">
      <c r="A527" s="12" t="n">
        <v>526</v>
      </c>
      <c r="B527" s="12" t="n">
        <v>30</v>
      </c>
      <c r="C527" s="12" t="s">
        <v>40</v>
      </c>
      <c r="D527" s="12" t="n">
        <v>2</v>
      </c>
      <c r="E527" s="12" t="s">
        <v>41</v>
      </c>
      <c r="F527" s="12" t="s">
        <v>43</v>
      </c>
      <c r="G527" s="12" t="s">
        <v>45</v>
      </c>
      <c r="H527" s="12" t="n">
        <v>7966</v>
      </c>
      <c r="I527" s="12" t="n">
        <v>26</v>
      </c>
      <c r="J527" s="12" t="s">
        <v>23</v>
      </c>
    </row>
    <row r="528" customFormat="false" ht="15" hidden="false" customHeight="true" outlineLevel="0" collapsed="false">
      <c r="A528" s="12" t="n">
        <v>527</v>
      </c>
      <c r="B528" s="12" t="n">
        <v>31</v>
      </c>
      <c r="C528" s="12" t="s">
        <v>44</v>
      </c>
      <c r="D528" s="12" t="n">
        <v>2</v>
      </c>
      <c r="E528" s="12" t="s">
        <v>41</v>
      </c>
      <c r="F528" s="12" t="s">
        <v>45</v>
      </c>
      <c r="G528" s="12" t="s">
        <v>42</v>
      </c>
      <c r="H528" s="12" t="n">
        <v>1532</v>
      </c>
      <c r="I528" s="12" t="n">
        <v>15</v>
      </c>
      <c r="J528" s="12" t="s">
        <v>27</v>
      </c>
    </row>
    <row r="529" customFormat="false" ht="15" hidden="false" customHeight="true" outlineLevel="0" collapsed="false">
      <c r="A529" s="12" t="n">
        <v>528</v>
      </c>
      <c r="B529" s="12" t="n">
        <v>42</v>
      </c>
      <c r="C529" s="12" t="s">
        <v>40</v>
      </c>
      <c r="D529" s="12" t="n">
        <v>1</v>
      </c>
      <c r="E529" s="12" t="s">
        <v>41</v>
      </c>
      <c r="F529" s="12" t="s">
        <v>43</v>
      </c>
      <c r="G529" s="12" t="s">
        <v>42</v>
      </c>
      <c r="H529" s="12" t="n">
        <v>1503</v>
      </c>
      <c r="I529" s="12" t="n">
        <v>4</v>
      </c>
      <c r="J529" s="12" t="s">
        <v>24</v>
      </c>
    </row>
    <row r="530" customFormat="false" ht="15" hidden="false" customHeight="true" outlineLevel="0" collapsed="false">
      <c r="A530" s="12" t="n">
        <v>529</v>
      </c>
      <c r="B530" s="12" t="n">
        <v>31</v>
      </c>
      <c r="C530" s="12" t="s">
        <v>40</v>
      </c>
      <c r="D530" s="12" t="n">
        <v>2</v>
      </c>
      <c r="E530" s="12" t="s">
        <v>48</v>
      </c>
      <c r="F530" s="12" t="s">
        <v>43</v>
      </c>
      <c r="G530" s="12" t="s">
        <v>43</v>
      </c>
      <c r="H530" s="12" t="n">
        <v>2302</v>
      </c>
      <c r="I530" s="12" t="n">
        <v>36</v>
      </c>
      <c r="J530" s="12" t="s">
        <v>24</v>
      </c>
    </row>
    <row r="531" customFormat="false" ht="15" hidden="false" customHeight="true" outlineLevel="0" collapsed="false">
      <c r="A531" s="12" t="n">
        <v>530</v>
      </c>
      <c r="B531" s="12" t="n">
        <v>41</v>
      </c>
      <c r="C531" s="12" t="s">
        <v>40</v>
      </c>
      <c r="D531" s="12" t="n">
        <v>1</v>
      </c>
      <c r="E531" s="12" t="s">
        <v>41</v>
      </c>
      <c r="F531" s="12" t="s">
        <v>43</v>
      </c>
      <c r="G531" s="12" t="s">
        <v>43</v>
      </c>
      <c r="H531" s="12" t="n">
        <v>662</v>
      </c>
      <c r="I531" s="12" t="n">
        <v>6</v>
      </c>
      <c r="J531" s="12" t="s">
        <v>23</v>
      </c>
    </row>
    <row r="532" customFormat="false" ht="15" hidden="false" customHeight="true" outlineLevel="0" collapsed="false">
      <c r="A532" s="12" t="n">
        <v>531</v>
      </c>
      <c r="B532" s="12" t="n">
        <v>32</v>
      </c>
      <c r="C532" s="12" t="s">
        <v>40</v>
      </c>
      <c r="D532" s="12" t="n">
        <v>2</v>
      </c>
      <c r="E532" s="12" t="s">
        <v>41</v>
      </c>
      <c r="F532" s="12" t="s">
        <v>43</v>
      </c>
      <c r="G532" s="12" t="s">
        <v>45</v>
      </c>
      <c r="H532" s="12" t="n">
        <v>2273</v>
      </c>
      <c r="I532" s="12" t="n">
        <v>36</v>
      </c>
      <c r="J532" s="12" t="s">
        <v>27</v>
      </c>
    </row>
    <row r="533" customFormat="false" ht="15" hidden="false" customHeight="true" outlineLevel="0" collapsed="false">
      <c r="A533" s="12" t="n">
        <v>532</v>
      </c>
      <c r="B533" s="12" t="n">
        <v>28</v>
      </c>
      <c r="C533" s="12" t="s">
        <v>44</v>
      </c>
      <c r="D533" s="12" t="n">
        <v>2</v>
      </c>
      <c r="E533" s="12" t="s">
        <v>48</v>
      </c>
      <c r="F533" s="12" t="s">
        <v>45</v>
      </c>
      <c r="G533" s="12" t="s">
        <v>45</v>
      </c>
      <c r="H533" s="12" t="n">
        <v>2631</v>
      </c>
      <c r="I533" s="12" t="n">
        <v>15</v>
      </c>
      <c r="J533" s="12" t="s">
        <v>23</v>
      </c>
    </row>
    <row r="534" customFormat="false" ht="15" hidden="false" customHeight="true" outlineLevel="0" collapsed="false">
      <c r="A534" s="12" t="n">
        <v>533</v>
      </c>
      <c r="B534" s="12" t="n">
        <v>41</v>
      </c>
      <c r="C534" s="12" t="s">
        <v>40</v>
      </c>
      <c r="D534" s="12" t="n">
        <v>2</v>
      </c>
      <c r="E534" s="12" t="s">
        <v>48</v>
      </c>
      <c r="F534" s="12" t="s">
        <v>43</v>
      </c>
      <c r="G534" s="12" t="s">
        <v>42</v>
      </c>
      <c r="H534" s="12" t="n">
        <v>1503</v>
      </c>
      <c r="I534" s="12" t="n">
        <v>12</v>
      </c>
      <c r="J534" s="12" t="s">
        <v>23</v>
      </c>
    </row>
    <row r="535" customFormat="false" ht="15" hidden="false" customHeight="true" outlineLevel="0" collapsed="false">
      <c r="A535" s="12" t="n">
        <v>534</v>
      </c>
      <c r="B535" s="12" t="n">
        <v>26</v>
      </c>
      <c r="C535" s="12" t="s">
        <v>40</v>
      </c>
      <c r="D535" s="12" t="n">
        <v>2</v>
      </c>
      <c r="E535" s="12" t="s">
        <v>41</v>
      </c>
      <c r="F535" s="12" t="s">
        <v>45</v>
      </c>
      <c r="G535" s="12" t="s">
        <v>42</v>
      </c>
      <c r="H535" s="12" t="n">
        <v>1311</v>
      </c>
      <c r="I535" s="12" t="n">
        <v>24</v>
      </c>
      <c r="J535" s="12" t="s">
        <v>24</v>
      </c>
    </row>
    <row r="536" customFormat="false" ht="15" hidden="false" customHeight="true" outlineLevel="0" collapsed="false">
      <c r="A536" s="12" t="n">
        <v>535</v>
      </c>
      <c r="B536" s="12" t="n">
        <v>25</v>
      </c>
      <c r="C536" s="12" t="s">
        <v>40</v>
      </c>
      <c r="D536" s="12" t="n">
        <v>2</v>
      </c>
      <c r="E536" s="12" t="s">
        <v>41</v>
      </c>
      <c r="F536" s="12" t="s">
        <v>42</v>
      </c>
      <c r="G536" s="12" t="s">
        <v>42</v>
      </c>
      <c r="H536" s="12" t="n">
        <v>3105</v>
      </c>
      <c r="I536" s="12" t="n">
        <v>24</v>
      </c>
      <c r="J536" s="12" t="s">
        <v>24</v>
      </c>
    </row>
    <row r="537" customFormat="false" ht="15" hidden="false" customHeight="true" outlineLevel="0" collapsed="false">
      <c r="A537" s="12" t="n">
        <v>536</v>
      </c>
      <c r="B537" s="12" t="n">
        <v>33</v>
      </c>
      <c r="C537" s="12" t="s">
        <v>40</v>
      </c>
      <c r="D537" s="12" t="n">
        <v>2</v>
      </c>
      <c r="E537" s="12" t="s">
        <v>48</v>
      </c>
      <c r="F537" s="12" t="s">
        <v>43</v>
      </c>
      <c r="G537" s="12" t="s">
        <v>49</v>
      </c>
      <c r="H537" s="12" t="n">
        <v>2319</v>
      </c>
      <c r="I537" s="12" t="n">
        <v>21</v>
      </c>
      <c r="J537" s="12" t="s">
        <v>27</v>
      </c>
    </row>
    <row r="538" customFormat="false" ht="15" hidden="false" customHeight="true" outlineLevel="0" collapsed="false">
      <c r="A538" s="12" t="n">
        <v>537</v>
      </c>
      <c r="B538" s="12" t="n">
        <v>75</v>
      </c>
      <c r="C538" s="12" t="s">
        <v>44</v>
      </c>
      <c r="D538" s="12" t="n">
        <v>3</v>
      </c>
      <c r="E538" s="12" t="s">
        <v>41</v>
      </c>
      <c r="F538" s="12" t="s">
        <v>42</v>
      </c>
      <c r="G538" s="12" t="s">
        <v>43</v>
      </c>
      <c r="H538" s="12" t="n">
        <v>1374</v>
      </c>
      <c r="I538" s="12" t="n">
        <v>6</v>
      </c>
      <c r="J538" s="12" t="s">
        <v>23</v>
      </c>
    </row>
    <row r="539" customFormat="false" ht="15" hidden="false" customHeight="true" outlineLevel="0" collapsed="false">
      <c r="A539" s="12" t="n">
        <v>538</v>
      </c>
      <c r="B539" s="12" t="n">
        <v>37</v>
      </c>
      <c r="C539" s="12" t="s">
        <v>44</v>
      </c>
      <c r="D539" s="12" t="n">
        <v>2</v>
      </c>
      <c r="E539" s="12" t="s">
        <v>41</v>
      </c>
      <c r="F539" s="12" t="s">
        <v>43</v>
      </c>
      <c r="G539" s="12" t="s">
        <v>45</v>
      </c>
      <c r="H539" s="12" t="n">
        <v>3612</v>
      </c>
      <c r="I539" s="12" t="n">
        <v>18</v>
      </c>
      <c r="J539" s="12" t="s">
        <v>25</v>
      </c>
    </row>
    <row r="540" customFormat="false" ht="15" hidden="false" customHeight="true" outlineLevel="0" collapsed="false">
      <c r="A540" s="12" t="n">
        <v>539</v>
      </c>
      <c r="B540" s="12" t="n">
        <v>42</v>
      </c>
      <c r="C540" s="12" t="s">
        <v>40</v>
      </c>
      <c r="D540" s="12" t="n">
        <v>3</v>
      </c>
      <c r="E540" s="12" t="s">
        <v>46</v>
      </c>
      <c r="F540" s="12" t="s">
        <v>43</v>
      </c>
      <c r="G540" s="12" t="s">
        <v>43</v>
      </c>
      <c r="H540" s="12" t="n">
        <v>7763</v>
      </c>
      <c r="I540" s="12" t="n">
        <v>48</v>
      </c>
      <c r="J540" s="12" t="s">
        <v>23</v>
      </c>
    </row>
    <row r="541" customFormat="false" ht="15" hidden="false" customHeight="true" outlineLevel="0" collapsed="false">
      <c r="A541" s="12" t="n">
        <v>540</v>
      </c>
      <c r="B541" s="12" t="n">
        <v>45</v>
      </c>
      <c r="C541" s="12" t="s">
        <v>44</v>
      </c>
      <c r="D541" s="12" t="n">
        <v>1</v>
      </c>
      <c r="E541" s="12" t="s">
        <v>41</v>
      </c>
      <c r="F541" s="12" t="s">
        <v>43</v>
      </c>
      <c r="G541" s="12" t="s">
        <v>49</v>
      </c>
      <c r="H541" s="12" t="n">
        <v>3049</v>
      </c>
      <c r="I541" s="12" t="n">
        <v>18</v>
      </c>
      <c r="J541" s="12" t="s">
        <v>25</v>
      </c>
    </row>
    <row r="542" customFormat="false" ht="15" hidden="false" customHeight="true" outlineLevel="0" collapsed="false">
      <c r="A542" s="12" t="n">
        <v>541</v>
      </c>
      <c r="B542" s="12" t="n">
        <v>23</v>
      </c>
      <c r="C542" s="12" t="s">
        <v>40</v>
      </c>
      <c r="D542" s="12" t="n">
        <v>2</v>
      </c>
      <c r="E542" s="12" t="s">
        <v>48</v>
      </c>
      <c r="F542" s="12" t="s">
        <v>43</v>
      </c>
      <c r="G542" s="12" t="s">
        <v>45</v>
      </c>
      <c r="H542" s="12" t="n">
        <v>1534</v>
      </c>
      <c r="I542" s="12" t="n">
        <v>12</v>
      </c>
      <c r="J542" s="12" t="s">
        <v>24</v>
      </c>
    </row>
    <row r="543" customFormat="false" ht="15" hidden="false" customHeight="true" outlineLevel="0" collapsed="false">
      <c r="A543" s="12" t="n">
        <v>542</v>
      </c>
      <c r="B543" s="12" t="n">
        <v>60</v>
      </c>
      <c r="C543" s="12" t="s">
        <v>40</v>
      </c>
      <c r="D543" s="12" t="n">
        <v>2</v>
      </c>
      <c r="E543" s="12" t="s">
        <v>46</v>
      </c>
      <c r="F543" s="12" t="s">
        <v>43</v>
      </c>
      <c r="G543" s="12" t="s">
        <v>42</v>
      </c>
      <c r="H543" s="12" t="n">
        <v>2032</v>
      </c>
      <c r="I543" s="12" t="n">
        <v>24</v>
      </c>
      <c r="J543" s="12" t="s">
        <v>23</v>
      </c>
    </row>
    <row r="544" customFormat="false" ht="15" hidden="false" customHeight="true" outlineLevel="0" collapsed="false">
      <c r="A544" s="12" t="n">
        <v>543</v>
      </c>
      <c r="B544" s="12" t="n">
        <v>31</v>
      </c>
      <c r="C544" s="12" t="s">
        <v>40</v>
      </c>
      <c r="D544" s="12" t="n">
        <v>2</v>
      </c>
      <c r="E544" s="12" t="s">
        <v>41</v>
      </c>
      <c r="F544" s="12" t="s">
        <v>42</v>
      </c>
      <c r="G544" s="12" t="s">
        <v>43</v>
      </c>
      <c r="H544" s="12" t="n">
        <v>6350</v>
      </c>
      <c r="I544" s="12" t="n">
        <v>30</v>
      </c>
      <c r="J544" s="12" t="s">
        <v>25</v>
      </c>
    </row>
    <row r="545" customFormat="false" ht="15" hidden="false" customHeight="true" outlineLevel="0" collapsed="false">
      <c r="A545" s="12" t="n">
        <v>544</v>
      </c>
      <c r="B545" s="12" t="n">
        <v>34</v>
      </c>
      <c r="C545" s="12" t="s">
        <v>40</v>
      </c>
      <c r="D545" s="12" t="n">
        <v>1</v>
      </c>
      <c r="E545" s="12" t="s">
        <v>41</v>
      </c>
      <c r="F545" s="12" t="s">
        <v>43</v>
      </c>
      <c r="G545" s="12" t="s">
        <v>49</v>
      </c>
      <c r="H545" s="12" t="n">
        <v>2864</v>
      </c>
      <c r="I545" s="12" t="n">
        <v>18</v>
      </c>
      <c r="J545" s="12" t="s">
        <v>25</v>
      </c>
    </row>
    <row r="546" customFormat="false" ht="15" hidden="false" customHeight="true" outlineLevel="0" collapsed="false">
      <c r="A546" s="12" t="n">
        <v>545</v>
      </c>
      <c r="B546" s="12" t="n">
        <v>61</v>
      </c>
      <c r="C546" s="12" t="s">
        <v>40</v>
      </c>
      <c r="D546" s="12" t="n">
        <v>1</v>
      </c>
      <c r="E546" s="12" t="s">
        <v>41</v>
      </c>
      <c r="F546" s="12" t="s">
        <v>43</v>
      </c>
      <c r="G546" s="12" t="s">
        <v>42</v>
      </c>
      <c r="H546" s="12" t="n">
        <v>1255</v>
      </c>
      <c r="I546" s="12" t="n">
        <v>12</v>
      </c>
      <c r="J546" s="12" t="s">
        <v>23</v>
      </c>
    </row>
    <row r="547" customFormat="false" ht="15" hidden="false" customHeight="true" outlineLevel="0" collapsed="false">
      <c r="A547" s="12" t="n">
        <v>546</v>
      </c>
      <c r="B547" s="12" t="n">
        <v>43</v>
      </c>
      <c r="C547" s="12" t="s">
        <v>40</v>
      </c>
      <c r="D547" s="12" t="n">
        <v>2</v>
      </c>
      <c r="E547" s="12" t="s">
        <v>46</v>
      </c>
      <c r="F547" s="12" t="s">
        <v>43</v>
      </c>
      <c r="G547" s="12" t="s">
        <v>43</v>
      </c>
      <c r="H547" s="12" t="n">
        <v>1333</v>
      </c>
      <c r="I547" s="12" t="n">
        <v>24</v>
      </c>
      <c r="J547" s="12" t="s">
        <v>23</v>
      </c>
    </row>
    <row r="548" customFormat="false" ht="15" hidden="false" customHeight="true" outlineLevel="0" collapsed="false">
      <c r="A548" s="12" t="n">
        <v>547</v>
      </c>
      <c r="B548" s="12" t="n">
        <v>37</v>
      </c>
      <c r="C548" s="12" t="s">
        <v>44</v>
      </c>
      <c r="D548" s="12" t="n">
        <v>2</v>
      </c>
      <c r="E548" s="12" t="s">
        <v>41</v>
      </c>
      <c r="F548" s="12" t="s">
        <v>43</v>
      </c>
      <c r="G548" s="12" t="s">
        <v>42</v>
      </c>
      <c r="H548" s="12" t="n">
        <v>2022</v>
      </c>
      <c r="I548" s="12" t="n">
        <v>24</v>
      </c>
      <c r="J548" s="12" t="s">
        <v>23</v>
      </c>
    </row>
    <row r="549" customFormat="false" ht="15" hidden="false" customHeight="true" outlineLevel="0" collapsed="false">
      <c r="A549" s="12" t="n">
        <v>548</v>
      </c>
      <c r="B549" s="12" t="n">
        <v>32</v>
      </c>
      <c r="C549" s="12" t="s">
        <v>40</v>
      </c>
      <c r="D549" s="12" t="n">
        <v>2</v>
      </c>
      <c r="E549" s="12" t="s">
        <v>41</v>
      </c>
      <c r="F549" s="12" t="s">
        <v>43</v>
      </c>
      <c r="G549" s="12" t="s">
        <v>42</v>
      </c>
      <c r="H549" s="12" t="n">
        <v>1552</v>
      </c>
      <c r="I549" s="12" t="n">
        <v>24</v>
      </c>
      <c r="J549" s="12" t="s">
        <v>24</v>
      </c>
    </row>
    <row r="550" customFormat="false" ht="15" hidden="false" customHeight="true" outlineLevel="0" collapsed="false">
      <c r="A550" s="12" t="n">
        <v>549</v>
      </c>
      <c r="B550" s="12" t="n">
        <v>24</v>
      </c>
      <c r="C550" s="12" t="s">
        <v>44</v>
      </c>
      <c r="D550" s="12" t="n">
        <v>1</v>
      </c>
      <c r="E550" s="12" t="s">
        <v>41</v>
      </c>
      <c r="F550" s="12" t="s">
        <v>43</v>
      </c>
      <c r="G550" s="12" t="s">
        <v>43</v>
      </c>
      <c r="H550" s="12" t="n">
        <v>626</v>
      </c>
      <c r="I550" s="12" t="n">
        <v>12</v>
      </c>
      <c r="J550" s="12" t="s">
        <v>24</v>
      </c>
    </row>
    <row r="551" customFormat="false" ht="15" hidden="false" customHeight="true" outlineLevel="0" collapsed="false">
      <c r="A551" s="12" t="n">
        <v>550</v>
      </c>
      <c r="B551" s="12" t="n">
        <v>35</v>
      </c>
      <c r="C551" s="12" t="s">
        <v>40</v>
      </c>
      <c r="D551" s="12" t="n">
        <v>2</v>
      </c>
      <c r="E551" s="12" t="s">
        <v>46</v>
      </c>
      <c r="F551" s="12" t="s">
        <v>42</v>
      </c>
      <c r="G551" s="12" t="s">
        <v>42</v>
      </c>
      <c r="H551" s="12" t="n">
        <v>8858</v>
      </c>
      <c r="I551" s="12" t="n">
        <v>48</v>
      </c>
      <c r="J551" s="12" t="s">
        <v>23</v>
      </c>
    </row>
    <row r="552" customFormat="false" ht="15" hidden="false" customHeight="true" outlineLevel="0" collapsed="false">
      <c r="A552" s="12" t="n">
        <v>551</v>
      </c>
      <c r="B552" s="12" t="n">
        <v>23</v>
      </c>
      <c r="C552" s="12" t="s">
        <v>44</v>
      </c>
      <c r="D552" s="12" t="n">
        <v>2</v>
      </c>
      <c r="E552" s="12" t="s">
        <v>41</v>
      </c>
      <c r="F552" s="12" t="s">
        <v>42</v>
      </c>
      <c r="G552" s="12" t="s">
        <v>42</v>
      </c>
      <c r="H552" s="12" t="n">
        <v>996</v>
      </c>
      <c r="I552" s="12" t="n">
        <v>12</v>
      </c>
      <c r="J552" s="12" t="s">
        <v>28</v>
      </c>
    </row>
    <row r="553" customFormat="false" ht="15" hidden="false" customHeight="true" outlineLevel="0" collapsed="false">
      <c r="A553" s="12" t="n">
        <v>552</v>
      </c>
      <c r="B553" s="12" t="n">
        <v>45</v>
      </c>
      <c r="C553" s="12" t="s">
        <v>40</v>
      </c>
      <c r="D553" s="12" t="n">
        <v>1</v>
      </c>
      <c r="E553" s="12" t="s">
        <v>41</v>
      </c>
      <c r="F553" s="12" t="s">
        <v>47</v>
      </c>
      <c r="G553" s="12" t="s">
        <v>42</v>
      </c>
      <c r="H553" s="12" t="n">
        <v>1750</v>
      </c>
      <c r="I553" s="12" t="n">
        <v>6</v>
      </c>
      <c r="J553" s="12" t="s">
        <v>24</v>
      </c>
    </row>
    <row r="554" customFormat="false" ht="15" hidden="false" customHeight="true" outlineLevel="0" collapsed="false">
      <c r="A554" s="12" t="n">
        <v>553</v>
      </c>
      <c r="B554" s="12" t="n">
        <v>34</v>
      </c>
      <c r="C554" s="12" t="s">
        <v>40</v>
      </c>
      <c r="D554" s="12" t="n">
        <v>2</v>
      </c>
      <c r="E554" s="12" t="s">
        <v>41</v>
      </c>
      <c r="F554" s="12" t="s">
        <v>43</v>
      </c>
      <c r="G554" s="12" t="s">
        <v>43</v>
      </c>
      <c r="H554" s="12" t="n">
        <v>6999</v>
      </c>
      <c r="I554" s="12" t="n">
        <v>48</v>
      </c>
      <c r="J554" s="12" t="s">
        <v>24</v>
      </c>
    </row>
    <row r="555" customFormat="false" ht="15" hidden="false" customHeight="true" outlineLevel="0" collapsed="false">
      <c r="A555" s="12" t="n">
        <v>554</v>
      </c>
      <c r="B555" s="12" t="n">
        <v>27</v>
      </c>
      <c r="C555" s="12" t="s">
        <v>40</v>
      </c>
      <c r="D555" s="12" t="n">
        <v>2</v>
      </c>
      <c r="E555" s="12" t="s">
        <v>41</v>
      </c>
      <c r="F555" s="12" t="s">
        <v>45</v>
      </c>
      <c r="G555" s="12" t="s">
        <v>45</v>
      </c>
      <c r="H555" s="12" t="n">
        <v>1995</v>
      </c>
      <c r="I555" s="12" t="n">
        <v>12</v>
      </c>
      <c r="J555" s="12" t="s">
        <v>23</v>
      </c>
    </row>
    <row r="556" customFormat="false" ht="15" hidden="false" customHeight="true" outlineLevel="0" collapsed="false">
      <c r="A556" s="12" t="n">
        <v>555</v>
      </c>
      <c r="B556" s="12" t="n">
        <v>67</v>
      </c>
      <c r="C556" s="12" t="s">
        <v>44</v>
      </c>
      <c r="D556" s="12" t="n">
        <v>3</v>
      </c>
      <c r="E556" s="12" t="s">
        <v>41</v>
      </c>
      <c r="F556" s="12" t="s">
        <v>43</v>
      </c>
      <c r="G556" s="12" t="s">
        <v>45</v>
      </c>
      <c r="H556" s="12" t="n">
        <v>1199</v>
      </c>
      <c r="I556" s="12" t="n">
        <v>9</v>
      </c>
      <c r="J556" s="12" t="s">
        <v>27</v>
      </c>
    </row>
    <row r="557" customFormat="false" ht="15" hidden="false" customHeight="true" outlineLevel="0" collapsed="false">
      <c r="A557" s="12" t="n">
        <v>556</v>
      </c>
      <c r="B557" s="12" t="n">
        <v>22</v>
      </c>
      <c r="C557" s="12" t="s">
        <v>40</v>
      </c>
      <c r="D557" s="12" t="n">
        <v>2</v>
      </c>
      <c r="E557" s="12" t="s">
        <v>41</v>
      </c>
      <c r="F557" s="12" t="s">
        <v>43</v>
      </c>
      <c r="G557" s="12" t="s">
        <v>45</v>
      </c>
      <c r="H557" s="12" t="n">
        <v>1331</v>
      </c>
      <c r="I557" s="12" t="n">
        <v>12</v>
      </c>
      <c r="J557" s="12" t="s">
        <v>24</v>
      </c>
    </row>
    <row r="558" customFormat="false" ht="15" hidden="false" customHeight="true" outlineLevel="0" collapsed="false">
      <c r="A558" s="12" t="n">
        <v>557</v>
      </c>
      <c r="B558" s="12" t="n">
        <v>28</v>
      </c>
      <c r="C558" s="12" t="s">
        <v>44</v>
      </c>
      <c r="D558" s="12" t="n">
        <v>2</v>
      </c>
      <c r="E558" s="12" t="s">
        <v>41</v>
      </c>
      <c r="F558" s="12" t="s">
        <v>45</v>
      </c>
      <c r="G558" s="12" t="s">
        <v>45</v>
      </c>
      <c r="H558" s="12" t="n">
        <v>2278</v>
      </c>
      <c r="I558" s="12" t="n">
        <v>18</v>
      </c>
      <c r="J558" s="12" t="s">
        <v>23</v>
      </c>
    </row>
    <row r="559" customFormat="false" ht="15" hidden="false" customHeight="true" outlineLevel="0" collapsed="false">
      <c r="A559" s="12" t="n">
        <v>558</v>
      </c>
      <c r="B559" s="12" t="n">
        <v>29</v>
      </c>
      <c r="C559" s="12" t="s">
        <v>44</v>
      </c>
      <c r="D559" s="12" t="n">
        <v>2</v>
      </c>
      <c r="E559" s="12" t="s">
        <v>41</v>
      </c>
      <c r="F559" s="12" t="s">
        <v>42</v>
      </c>
      <c r="G559" s="12" t="s">
        <v>42</v>
      </c>
      <c r="H559" s="12" t="n">
        <v>5003</v>
      </c>
      <c r="I559" s="12" t="n">
        <v>21</v>
      </c>
      <c r="J559" s="12" t="s">
        <v>23</v>
      </c>
    </row>
    <row r="560" customFormat="false" ht="15" hidden="false" customHeight="true" outlineLevel="0" collapsed="false">
      <c r="A560" s="12" t="n">
        <v>559</v>
      </c>
      <c r="B560" s="12" t="n">
        <v>27</v>
      </c>
      <c r="C560" s="12" t="s">
        <v>40</v>
      </c>
      <c r="D560" s="12" t="n">
        <v>2</v>
      </c>
      <c r="E560" s="12" t="s">
        <v>41</v>
      </c>
      <c r="F560" s="12" t="s">
        <v>43</v>
      </c>
      <c r="G560" s="12" t="s">
        <v>43</v>
      </c>
      <c r="H560" s="12" t="n">
        <v>3552</v>
      </c>
      <c r="I560" s="12" t="n">
        <v>24</v>
      </c>
      <c r="J560" s="12" t="s">
        <v>25</v>
      </c>
    </row>
    <row r="561" customFormat="false" ht="15" hidden="false" customHeight="true" outlineLevel="0" collapsed="false">
      <c r="A561" s="12" t="n">
        <v>560</v>
      </c>
      <c r="B561" s="12" t="n">
        <v>31</v>
      </c>
      <c r="C561" s="12" t="s">
        <v>40</v>
      </c>
      <c r="D561" s="12" t="n">
        <v>1</v>
      </c>
      <c r="E561" s="12" t="s">
        <v>41</v>
      </c>
      <c r="F561" s="12" t="s">
        <v>43</v>
      </c>
      <c r="G561" s="12" t="s">
        <v>45</v>
      </c>
      <c r="H561" s="12" t="n">
        <v>1928</v>
      </c>
      <c r="I561" s="12" t="n">
        <v>18</v>
      </c>
      <c r="J561" s="12" t="s">
        <v>25</v>
      </c>
    </row>
    <row r="562" customFormat="false" ht="15" hidden="false" customHeight="true" outlineLevel="0" collapsed="false">
      <c r="A562" s="12" t="n">
        <v>561</v>
      </c>
      <c r="B562" s="12" t="n">
        <v>49</v>
      </c>
      <c r="C562" s="12" t="s">
        <v>40</v>
      </c>
      <c r="D562" s="12" t="n">
        <v>2</v>
      </c>
      <c r="E562" s="12" t="s">
        <v>46</v>
      </c>
      <c r="F562" s="12" t="s">
        <v>42</v>
      </c>
      <c r="G562" s="12" t="s">
        <v>43</v>
      </c>
      <c r="H562" s="12" t="n">
        <v>2964</v>
      </c>
      <c r="I562" s="12" t="n">
        <v>24</v>
      </c>
      <c r="J562" s="12" t="s">
        <v>23</v>
      </c>
    </row>
    <row r="563" customFormat="false" ht="15" hidden="false" customHeight="true" outlineLevel="0" collapsed="false">
      <c r="A563" s="12" t="n">
        <v>562</v>
      </c>
      <c r="B563" s="12" t="n">
        <v>24</v>
      </c>
      <c r="C563" s="12" t="s">
        <v>40</v>
      </c>
      <c r="D563" s="12" t="n">
        <v>1</v>
      </c>
      <c r="E563" s="12" t="s">
        <v>48</v>
      </c>
      <c r="F563" s="12" t="s">
        <v>43</v>
      </c>
      <c r="G563" s="12" t="s">
        <v>43</v>
      </c>
      <c r="H563" s="12" t="n">
        <v>1546</v>
      </c>
      <c r="I563" s="12" t="n">
        <v>24</v>
      </c>
      <c r="J563" s="12" t="s">
        <v>24</v>
      </c>
    </row>
    <row r="564" customFormat="false" ht="15" hidden="false" customHeight="true" outlineLevel="0" collapsed="false">
      <c r="A564" s="12" t="n">
        <v>563</v>
      </c>
      <c r="B564" s="12" t="n">
        <v>29</v>
      </c>
      <c r="C564" s="12" t="s">
        <v>44</v>
      </c>
      <c r="D564" s="12" t="n">
        <v>2</v>
      </c>
      <c r="E564" s="12" t="s">
        <v>41</v>
      </c>
      <c r="F564" s="12" t="s">
        <v>43</v>
      </c>
      <c r="G564" s="12" t="s">
        <v>49</v>
      </c>
      <c r="H564" s="12" t="n">
        <v>683</v>
      </c>
      <c r="I564" s="12" t="n">
        <v>6</v>
      </c>
      <c r="J564" s="12" t="s">
        <v>24</v>
      </c>
    </row>
    <row r="565" customFormat="false" ht="15" hidden="false" customHeight="true" outlineLevel="0" collapsed="false">
      <c r="A565" s="12" t="n">
        <v>564</v>
      </c>
      <c r="B565" s="12" t="n">
        <v>37</v>
      </c>
      <c r="C565" s="12" t="s">
        <v>40</v>
      </c>
      <c r="D565" s="12" t="n">
        <v>2</v>
      </c>
      <c r="E565" s="12" t="s">
        <v>46</v>
      </c>
      <c r="F565" s="12" t="s">
        <v>42</v>
      </c>
      <c r="G565" s="12" t="s">
        <v>45</v>
      </c>
      <c r="H565" s="12" t="n">
        <v>12389</v>
      </c>
      <c r="I565" s="12" t="n">
        <v>36</v>
      </c>
      <c r="J565" s="12" t="s">
        <v>23</v>
      </c>
    </row>
    <row r="566" customFormat="false" ht="15" hidden="false" customHeight="true" outlineLevel="0" collapsed="false">
      <c r="A566" s="12" t="n">
        <v>565</v>
      </c>
      <c r="B566" s="12" t="n">
        <v>37</v>
      </c>
      <c r="C566" s="12" t="s">
        <v>40</v>
      </c>
      <c r="D566" s="12" t="n">
        <v>3</v>
      </c>
      <c r="E566" s="12" t="s">
        <v>41</v>
      </c>
      <c r="F566" s="12" t="s">
        <v>42</v>
      </c>
      <c r="G566" s="12" t="s">
        <v>45</v>
      </c>
      <c r="H566" s="12" t="n">
        <v>4712</v>
      </c>
      <c r="I566" s="12" t="n">
        <v>24</v>
      </c>
      <c r="J566" s="12" t="s">
        <v>26</v>
      </c>
    </row>
    <row r="567" customFormat="false" ht="15" hidden="false" customHeight="true" outlineLevel="0" collapsed="false">
      <c r="A567" s="12" t="n">
        <v>566</v>
      </c>
      <c r="B567" s="12" t="n">
        <v>23</v>
      </c>
      <c r="C567" s="12" t="s">
        <v>44</v>
      </c>
      <c r="D567" s="12" t="n">
        <v>2</v>
      </c>
      <c r="E567" s="12" t="s">
        <v>48</v>
      </c>
      <c r="F567" s="12" t="s">
        <v>45</v>
      </c>
      <c r="G567" s="12" t="s">
        <v>45</v>
      </c>
      <c r="H567" s="12" t="n">
        <v>1553</v>
      </c>
      <c r="I567" s="12" t="n">
        <v>24</v>
      </c>
      <c r="J567" s="12" t="s">
        <v>24</v>
      </c>
    </row>
    <row r="568" customFormat="false" ht="15" hidden="false" customHeight="true" outlineLevel="0" collapsed="false">
      <c r="A568" s="12" t="n">
        <v>567</v>
      </c>
      <c r="B568" s="12" t="n">
        <v>36</v>
      </c>
      <c r="C568" s="12" t="s">
        <v>40</v>
      </c>
      <c r="D568" s="12" t="n">
        <v>2</v>
      </c>
      <c r="E568" s="12" t="s">
        <v>41</v>
      </c>
      <c r="F568" s="12" t="s">
        <v>43</v>
      </c>
      <c r="G568" s="12" t="s">
        <v>43</v>
      </c>
      <c r="H568" s="12" t="n">
        <v>1372</v>
      </c>
      <c r="I568" s="12" t="n">
        <v>12</v>
      </c>
      <c r="J568" s="12" t="s">
        <v>23</v>
      </c>
    </row>
    <row r="569" customFormat="false" ht="15" hidden="false" customHeight="true" outlineLevel="0" collapsed="false">
      <c r="A569" s="12" t="n">
        <v>568</v>
      </c>
      <c r="B569" s="12" t="n">
        <v>34</v>
      </c>
      <c r="C569" s="12" t="s">
        <v>40</v>
      </c>
      <c r="D569" s="12" t="n">
        <v>2</v>
      </c>
      <c r="E569" s="12" t="s">
        <v>41</v>
      </c>
      <c r="F569" s="12" t="s">
        <v>49</v>
      </c>
      <c r="G569" s="12" t="s">
        <v>42</v>
      </c>
      <c r="H569" s="12" t="n">
        <v>2578</v>
      </c>
      <c r="I569" s="12" t="n">
        <v>24</v>
      </c>
      <c r="J569" s="12" t="s">
        <v>24</v>
      </c>
    </row>
    <row r="570" customFormat="false" ht="15" hidden="false" customHeight="true" outlineLevel="0" collapsed="false">
      <c r="A570" s="12" t="n">
        <v>569</v>
      </c>
      <c r="B570" s="12" t="n">
        <v>41</v>
      </c>
      <c r="C570" s="12" t="s">
        <v>40</v>
      </c>
      <c r="D570" s="12" t="n">
        <v>2</v>
      </c>
      <c r="E570" s="12" t="s">
        <v>41</v>
      </c>
      <c r="F570" s="12" t="s">
        <v>42</v>
      </c>
      <c r="G570" s="12" t="s">
        <v>45</v>
      </c>
      <c r="H570" s="12" t="n">
        <v>3979</v>
      </c>
      <c r="I570" s="12" t="n">
        <v>48</v>
      </c>
      <c r="J570" s="12" t="s">
        <v>24</v>
      </c>
    </row>
    <row r="571" customFormat="false" ht="15" hidden="false" customHeight="true" outlineLevel="0" collapsed="false">
      <c r="A571" s="12" t="n">
        <v>570</v>
      </c>
      <c r="B571" s="12" t="n">
        <v>31</v>
      </c>
      <c r="C571" s="12" t="s">
        <v>44</v>
      </c>
      <c r="D571" s="12" t="n">
        <v>2</v>
      </c>
      <c r="E571" s="12" t="s">
        <v>41</v>
      </c>
      <c r="F571" s="12" t="s">
        <v>43</v>
      </c>
      <c r="G571" s="12" t="s">
        <v>43</v>
      </c>
      <c r="H571" s="12" t="n">
        <v>6758</v>
      </c>
      <c r="I571" s="12" t="n">
        <v>48</v>
      </c>
      <c r="J571" s="12" t="s">
        <v>24</v>
      </c>
    </row>
    <row r="572" customFormat="false" ht="15" hidden="false" customHeight="true" outlineLevel="0" collapsed="false">
      <c r="A572" s="12" t="n">
        <v>571</v>
      </c>
      <c r="B572" s="12" t="n">
        <v>23</v>
      </c>
      <c r="C572" s="12" t="s">
        <v>44</v>
      </c>
      <c r="D572" s="12" t="n">
        <v>1</v>
      </c>
      <c r="E572" s="12" t="s">
        <v>48</v>
      </c>
      <c r="F572" s="12" t="s">
        <v>43</v>
      </c>
      <c r="G572" s="12" t="s">
        <v>43</v>
      </c>
      <c r="H572" s="12" t="n">
        <v>3234</v>
      </c>
      <c r="I572" s="12" t="n">
        <v>24</v>
      </c>
      <c r="J572" s="12" t="s">
        <v>25</v>
      </c>
    </row>
    <row r="573" customFormat="false" ht="15" hidden="false" customHeight="true" outlineLevel="0" collapsed="false">
      <c r="A573" s="12" t="n">
        <v>572</v>
      </c>
      <c r="B573" s="12" t="n">
        <v>38</v>
      </c>
      <c r="C573" s="12" t="s">
        <v>40</v>
      </c>
      <c r="D573" s="12" t="n">
        <v>2</v>
      </c>
      <c r="E573" s="12" t="s">
        <v>41</v>
      </c>
      <c r="F573" s="12" t="s">
        <v>43</v>
      </c>
      <c r="G573" s="12" t="s">
        <v>42</v>
      </c>
      <c r="H573" s="12" t="n">
        <v>5954</v>
      </c>
      <c r="I573" s="12" t="n">
        <v>30</v>
      </c>
      <c r="J573" s="12" t="s">
        <v>24</v>
      </c>
    </row>
    <row r="574" customFormat="false" ht="15" hidden="false" customHeight="true" outlineLevel="0" collapsed="false">
      <c r="A574" s="12" t="n">
        <v>573</v>
      </c>
      <c r="B574" s="12" t="n">
        <v>26</v>
      </c>
      <c r="C574" s="12" t="s">
        <v>44</v>
      </c>
      <c r="D574" s="12" t="n">
        <v>3</v>
      </c>
      <c r="E574" s="12" t="s">
        <v>48</v>
      </c>
      <c r="F574" s="12" t="s">
        <v>42</v>
      </c>
      <c r="G574" s="12" t="s">
        <v>42</v>
      </c>
      <c r="H574" s="12" t="n">
        <v>5433</v>
      </c>
      <c r="I574" s="12" t="n">
        <v>24</v>
      </c>
      <c r="J574" s="12" t="s">
        <v>23</v>
      </c>
    </row>
    <row r="575" customFormat="false" ht="15" hidden="false" customHeight="true" outlineLevel="0" collapsed="false">
      <c r="A575" s="12" t="n">
        <v>574</v>
      </c>
      <c r="B575" s="12" t="n">
        <v>22</v>
      </c>
      <c r="C575" s="12" t="s">
        <v>44</v>
      </c>
      <c r="D575" s="12" t="n">
        <v>1</v>
      </c>
      <c r="E575" s="12" t="s">
        <v>41</v>
      </c>
      <c r="F575" s="12" t="s">
        <v>43</v>
      </c>
      <c r="G575" s="12" t="s">
        <v>43</v>
      </c>
      <c r="H575" s="12" t="n">
        <v>806</v>
      </c>
      <c r="I575" s="12" t="n">
        <v>15</v>
      </c>
      <c r="J575" s="12" t="s">
        <v>26</v>
      </c>
    </row>
    <row r="576" customFormat="false" ht="15" hidden="false" customHeight="true" outlineLevel="0" collapsed="false">
      <c r="A576" s="12" t="n">
        <v>575</v>
      </c>
      <c r="B576" s="12" t="n">
        <v>27</v>
      </c>
      <c r="C576" s="12" t="s">
        <v>40</v>
      </c>
      <c r="D576" s="12" t="n">
        <v>1</v>
      </c>
      <c r="E576" s="12" t="s">
        <v>41</v>
      </c>
      <c r="F576" s="12" t="s">
        <v>43</v>
      </c>
      <c r="G576" s="12" t="s">
        <v>45</v>
      </c>
      <c r="H576" s="12" t="n">
        <v>1082</v>
      </c>
      <c r="I576" s="12" t="n">
        <v>9</v>
      </c>
      <c r="J576" s="12" t="s">
        <v>24</v>
      </c>
    </row>
    <row r="577" customFormat="false" ht="15" hidden="false" customHeight="true" outlineLevel="0" collapsed="false">
      <c r="A577" s="12" t="n">
        <v>576</v>
      </c>
      <c r="B577" s="12" t="n">
        <v>24</v>
      </c>
      <c r="C577" s="12" t="s">
        <v>44</v>
      </c>
      <c r="D577" s="12" t="n">
        <v>2</v>
      </c>
      <c r="E577" s="12" t="s">
        <v>41</v>
      </c>
      <c r="F577" s="12" t="s">
        <v>43</v>
      </c>
      <c r="G577" s="12" t="s">
        <v>42</v>
      </c>
      <c r="H577" s="12" t="n">
        <v>2788</v>
      </c>
      <c r="I577" s="12" t="n">
        <v>15</v>
      </c>
      <c r="J577" s="12" t="s">
        <v>25</v>
      </c>
    </row>
    <row r="578" customFormat="false" ht="15" hidden="false" customHeight="true" outlineLevel="0" collapsed="false">
      <c r="A578" s="12" t="n">
        <v>577</v>
      </c>
      <c r="B578" s="12" t="n">
        <v>27</v>
      </c>
      <c r="C578" s="12" t="s">
        <v>44</v>
      </c>
      <c r="D578" s="12" t="n">
        <v>2</v>
      </c>
      <c r="E578" s="12" t="s">
        <v>41</v>
      </c>
      <c r="F578" s="12" t="s">
        <v>43</v>
      </c>
      <c r="G578" s="12" t="s">
        <v>45</v>
      </c>
      <c r="H578" s="12" t="n">
        <v>2930</v>
      </c>
      <c r="I578" s="12" t="n">
        <v>12</v>
      </c>
      <c r="J578" s="12" t="s">
        <v>24</v>
      </c>
    </row>
    <row r="579" customFormat="false" ht="15" hidden="false" customHeight="true" outlineLevel="0" collapsed="false">
      <c r="A579" s="12" t="n">
        <v>578</v>
      </c>
      <c r="B579" s="12" t="n">
        <v>33</v>
      </c>
      <c r="C579" s="12" t="s">
        <v>44</v>
      </c>
      <c r="D579" s="12" t="n">
        <v>2</v>
      </c>
      <c r="E579" s="12" t="s">
        <v>41</v>
      </c>
      <c r="F579" s="12" t="s">
        <v>42</v>
      </c>
      <c r="G579" s="12" t="s">
        <v>42</v>
      </c>
      <c r="H579" s="12" t="n">
        <v>1927</v>
      </c>
      <c r="I579" s="12" t="n">
        <v>24</v>
      </c>
      <c r="J579" s="12" t="s">
        <v>27</v>
      </c>
    </row>
    <row r="580" customFormat="false" ht="15" hidden="false" customHeight="true" outlineLevel="0" collapsed="false">
      <c r="A580" s="12" t="n">
        <v>579</v>
      </c>
      <c r="B580" s="12" t="n">
        <v>27</v>
      </c>
      <c r="C580" s="12" t="s">
        <v>40</v>
      </c>
      <c r="D580" s="12" t="n">
        <v>2</v>
      </c>
      <c r="E580" s="12" t="s">
        <v>41</v>
      </c>
      <c r="F580" s="12" t="s">
        <v>43</v>
      </c>
      <c r="G580" s="12" t="s">
        <v>45</v>
      </c>
      <c r="H580" s="12" t="n">
        <v>2820</v>
      </c>
      <c r="I580" s="12" t="n">
        <v>36</v>
      </c>
      <c r="J580" s="12" t="s">
        <v>23</v>
      </c>
    </row>
    <row r="581" customFormat="false" ht="15" hidden="false" customHeight="true" outlineLevel="0" collapsed="false">
      <c r="A581" s="12" t="n">
        <v>580</v>
      </c>
      <c r="B581" s="12" t="n">
        <v>27</v>
      </c>
      <c r="C581" s="12" t="s">
        <v>40</v>
      </c>
      <c r="D581" s="12" t="n">
        <v>1</v>
      </c>
      <c r="E581" s="12" t="s">
        <v>41</v>
      </c>
      <c r="F581" s="12" t="s">
        <v>43</v>
      </c>
      <c r="G581" s="12" t="s">
        <v>42</v>
      </c>
      <c r="H581" s="12" t="n">
        <v>937</v>
      </c>
      <c r="I581" s="12" t="n">
        <v>24</v>
      </c>
      <c r="J581" s="12" t="s">
        <v>27</v>
      </c>
    </row>
    <row r="582" customFormat="false" ht="15" hidden="false" customHeight="true" outlineLevel="0" collapsed="false">
      <c r="A582" s="12" t="n">
        <v>581</v>
      </c>
      <c r="B582" s="12" t="n">
        <v>30</v>
      </c>
      <c r="C582" s="12" t="s">
        <v>40</v>
      </c>
      <c r="D582" s="12" t="n">
        <v>2</v>
      </c>
      <c r="E582" s="12" t="s">
        <v>41</v>
      </c>
      <c r="F582" s="12" t="s">
        <v>43</v>
      </c>
      <c r="G582" s="12" t="s">
        <v>45</v>
      </c>
      <c r="H582" s="12" t="n">
        <v>1056</v>
      </c>
      <c r="I582" s="12" t="n">
        <v>18</v>
      </c>
      <c r="J582" s="12" t="s">
        <v>23</v>
      </c>
    </row>
    <row r="583" customFormat="false" ht="15" hidden="false" customHeight="true" outlineLevel="0" collapsed="false">
      <c r="A583" s="12" t="n">
        <v>582</v>
      </c>
      <c r="B583" s="12" t="n">
        <v>49</v>
      </c>
      <c r="C583" s="12" t="s">
        <v>40</v>
      </c>
      <c r="D583" s="12" t="n">
        <v>1</v>
      </c>
      <c r="E583" s="12" t="s">
        <v>41</v>
      </c>
      <c r="F583" s="12" t="s">
        <v>43</v>
      </c>
      <c r="G583" s="12" t="s">
        <v>45</v>
      </c>
      <c r="H583" s="12" t="n">
        <v>3124</v>
      </c>
      <c r="I583" s="12" t="n">
        <v>12</v>
      </c>
      <c r="J583" s="12" t="s">
        <v>23</v>
      </c>
    </row>
    <row r="584" customFormat="false" ht="15" hidden="false" customHeight="true" outlineLevel="0" collapsed="false">
      <c r="A584" s="12" t="n">
        <v>583</v>
      </c>
      <c r="B584" s="12" t="n">
        <v>26</v>
      </c>
      <c r="C584" s="12" t="s">
        <v>44</v>
      </c>
      <c r="D584" s="12" t="n">
        <v>2</v>
      </c>
      <c r="E584" s="12" t="s">
        <v>48</v>
      </c>
      <c r="F584" s="12" t="s">
        <v>43</v>
      </c>
      <c r="G584" s="12" t="s">
        <v>42</v>
      </c>
      <c r="H584" s="12" t="n">
        <v>1388</v>
      </c>
      <c r="I584" s="12" t="n">
        <v>9</v>
      </c>
      <c r="J584" s="12" t="s">
        <v>25</v>
      </c>
    </row>
    <row r="585" customFormat="false" ht="15" hidden="false" customHeight="true" outlineLevel="0" collapsed="false">
      <c r="A585" s="12" t="n">
        <v>584</v>
      </c>
      <c r="B585" s="12" t="n">
        <v>33</v>
      </c>
      <c r="C585" s="12" t="s">
        <v>40</v>
      </c>
      <c r="D585" s="12" t="n">
        <v>1</v>
      </c>
      <c r="E585" s="12" t="s">
        <v>48</v>
      </c>
      <c r="F585" s="12" t="s">
        <v>43</v>
      </c>
      <c r="G585" s="12" t="s">
        <v>45</v>
      </c>
      <c r="H585" s="12" t="n">
        <v>2384</v>
      </c>
      <c r="I585" s="12" t="n">
        <v>36</v>
      </c>
      <c r="J585" s="12" t="s">
        <v>28</v>
      </c>
    </row>
    <row r="586" customFormat="false" ht="15" hidden="false" customHeight="true" outlineLevel="0" collapsed="false">
      <c r="A586" s="12" t="n">
        <v>585</v>
      </c>
      <c r="B586" s="12" t="n">
        <v>52</v>
      </c>
      <c r="C586" s="12" t="s">
        <v>44</v>
      </c>
      <c r="D586" s="12" t="n">
        <v>3</v>
      </c>
      <c r="E586" s="12" t="s">
        <v>46</v>
      </c>
      <c r="F586" s="12" t="s">
        <v>42</v>
      </c>
      <c r="G586" s="12" t="s">
        <v>42</v>
      </c>
      <c r="H586" s="12" t="n">
        <v>2133</v>
      </c>
      <c r="I586" s="12" t="n">
        <v>12</v>
      </c>
      <c r="J586" s="12" t="s">
        <v>23</v>
      </c>
    </row>
    <row r="587" customFormat="false" ht="15" hidden="false" customHeight="true" outlineLevel="0" collapsed="false">
      <c r="A587" s="12" t="n">
        <v>586</v>
      </c>
      <c r="B587" s="12" t="n">
        <v>20</v>
      </c>
      <c r="C587" s="12" t="s">
        <v>44</v>
      </c>
      <c r="D587" s="12" t="n">
        <v>2</v>
      </c>
      <c r="E587" s="12" t="s">
        <v>48</v>
      </c>
      <c r="F587" s="12" t="s">
        <v>43</v>
      </c>
      <c r="G587" s="12" t="s">
        <v>43</v>
      </c>
      <c r="H587" s="12" t="n">
        <v>2039</v>
      </c>
      <c r="I587" s="12" t="n">
        <v>18</v>
      </c>
      <c r="J587" s="12" t="s">
        <v>25</v>
      </c>
    </row>
    <row r="588" customFormat="false" ht="15" hidden="false" customHeight="true" outlineLevel="0" collapsed="false">
      <c r="A588" s="12" t="n">
        <v>587</v>
      </c>
      <c r="B588" s="12" t="n">
        <v>36</v>
      </c>
      <c r="C588" s="12" t="s">
        <v>40</v>
      </c>
      <c r="D588" s="12" t="n">
        <v>2</v>
      </c>
      <c r="E588" s="12" t="s">
        <v>48</v>
      </c>
      <c r="F588" s="12" t="s">
        <v>43</v>
      </c>
      <c r="G588" s="12" t="s">
        <v>43</v>
      </c>
      <c r="H588" s="12" t="n">
        <v>2799</v>
      </c>
      <c r="I588" s="12" t="n">
        <v>9</v>
      </c>
      <c r="J588" s="12" t="s">
        <v>23</v>
      </c>
    </row>
    <row r="589" customFormat="false" ht="15" hidden="false" customHeight="true" outlineLevel="0" collapsed="false">
      <c r="A589" s="12" t="n">
        <v>588</v>
      </c>
      <c r="B589" s="12" t="n">
        <v>21</v>
      </c>
      <c r="C589" s="12" t="s">
        <v>40</v>
      </c>
      <c r="D589" s="12" t="n">
        <v>1</v>
      </c>
      <c r="E589" s="12" t="s">
        <v>41</v>
      </c>
      <c r="F589" s="12" t="s">
        <v>43</v>
      </c>
      <c r="G589" s="12" t="s">
        <v>43</v>
      </c>
      <c r="H589" s="12" t="n">
        <v>1289</v>
      </c>
      <c r="I589" s="12" t="n">
        <v>12</v>
      </c>
      <c r="J589" s="12" t="s">
        <v>25</v>
      </c>
    </row>
    <row r="590" customFormat="false" ht="15" hidden="false" customHeight="true" outlineLevel="0" collapsed="false">
      <c r="A590" s="12" t="n">
        <v>589</v>
      </c>
      <c r="B590" s="12" t="n">
        <v>47</v>
      </c>
      <c r="C590" s="12" t="s">
        <v>40</v>
      </c>
      <c r="D590" s="12" t="n">
        <v>1</v>
      </c>
      <c r="E590" s="12" t="s">
        <v>41</v>
      </c>
      <c r="F590" s="12" t="s">
        <v>43</v>
      </c>
      <c r="G590" s="12" t="s">
        <v>43</v>
      </c>
      <c r="H590" s="12" t="n">
        <v>1217</v>
      </c>
      <c r="I590" s="12" t="n">
        <v>18</v>
      </c>
      <c r="J590" s="12" t="s">
        <v>29</v>
      </c>
    </row>
    <row r="591" customFormat="false" ht="15" hidden="false" customHeight="true" outlineLevel="0" collapsed="false">
      <c r="A591" s="12" t="n">
        <v>590</v>
      </c>
      <c r="B591" s="12" t="n">
        <v>60</v>
      </c>
      <c r="C591" s="12" t="s">
        <v>40</v>
      </c>
      <c r="D591" s="12" t="n">
        <v>2</v>
      </c>
      <c r="E591" s="12" t="s">
        <v>41</v>
      </c>
      <c r="F591" s="12" t="s">
        <v>43</v>
      </c>
      <c r="G591" s="12" t="s">
        <v>43</v>
      </c>
      <c r="H591" s="12" t="n">
        <v>2246</v>
      </c>
      <c r="I591" s="12" t="n">
        <v>12</v>
      </c>
      <c r="J591" s="12" t="s">
        <v>25</v>
      </c>
    </row>
    <row r="592" customFormat="false" ht="15" hidden="false" customHeight="true" outlineLevel="0" collapsed="false">
      <c r="A592" s="12" t="n">
        <v>591</v>
      </c>
      <c r="B592" s="12" t="n">
        <v>58</v>
      </c>
      <c r="C592" s="12" t="s">
        <v>44</v>
      </c>
      <c r="D592" s="12" t="n">
        <v>1</v>
      </c>
      <c r="E592" s="12" t="s">
        <v>41</v>
      </c>
      <c r="F592" s="12" t="s">
        <v>43</v>
      </c>
      <c r="G592" s="12" t="s">
        <v>43</v>
      </c>
      <c r="H592" s="12" t="n">
        <v>385</v>
      </c>
      <c r="I592" s="12" t="n">
        <v>12</v>
      </c>
      <c r="J592" s="12" t="s">
        <v>24</v>
      </c>
    </row>
    <row r="593" customFormat="false" ht="15" hidden="false" customHeight="true" outlineLevel="0" collapsed="false">
      <c r="A593" s="12" t="n">
        <v>592</v>
      </c>
      <c r="B593" s="12" t="n">
        <v>42</v>
      </c>
      <c r="C593" s="12" t="s">
        <v>44</v>
      </c>
      <c r="D593" s="12" t="n">
        <v>2</v>
      </c>
      <c r="E593" s="12" t="s">
        <v>48</v>
      </c>
      <c r="F593" s="12" t="s">
        <v>42</v>
      </c>
      <c r="G593" s="12" t="s">
        <v>45</v>
      </c>
      <c r="H593" s="12" t="n">
        <v>1965</v>
      </c>
      <c r="I593" s="12" t="n">
        <v>24</v>
      </c>
      <c r="J593" s="12" t="s">
        <v>23</v>
      </c>
    </row>
    <row r="594" customFormat="false" ht="15" hidden="false" customHeight="true" outlineLevel="0" collapsed="false">
      <c r="A594" s="12" t="n">
        <v>593</v>
      </c>
      <c r="B594" s="12" t="n">
        <v>36</v>
      </c>
      <c r="C594" s="12" t="s">
        <v>44</v>
      </c>
      <c r="D594" s="12" t="n">
        <v>1</v>
      </c>
      <c r="E594" s="12" t="s">
        <v>41</v>
      </c>
      <c r="F594" s="12" t="s">
        <v>49</v>
      </c>
      <c r="G594" s="12" t="s">
        <v>42</v>
      </c>
      <c r="H594" s="12" t="n">
        <v>1572</v>
      </c>
      <c r="I594" s="12" t="n">
        <v>21</v>
      </c>
      <c r="J594" s="12" t="s">
        <v>26</v>
      </c>
    </row>
    <row r="595" customFormat="false" ht="15" hidden="false" customHeight="true" outlineLevel="0" collapsed="false">
      <c r="A595" s="12" t="n">
        <v>594</v>
      </c>
      <c r="B595" s="12" t="n">
        <v>20</v>
      </c>
      <c r="C595" s="12" t="s">
        <v>44</v>
      </c>
      <c r="D595" s="12" t="n">
        <v>1</v>
      </c>
      <c r="E595" s="12" t="s">
        <v>48</v>
      </c>
      <c r="F595" s="12" t="s">
        <v>43</v>
      </c>
      <c r="G595" s="12" t="s">
        <v>45</v>
      </c>
      <c r="H595" s="12" t="n">
        <v>2718</v>
      </c>
      <c r="I595" s="12" t="n">
        <v>24</v>
      </c>
      <c r="J595" s="12" t="s">
        <v>23</v>
      </c>
    </row>
    <row r="596" customFormat="false" ht="15" hidden="false" customHeight="true" outlineLevel="0" collapsed="false">
      <c r="A596" s="12" t="n">
        <v>595</v>
      </c>
      <c r="B596" s="12" t="n">
        <v>40</v>
      </c>
      <c r="C596" s="12" t="s">
        <v>40</v>
      </c>
      <c r="D596" s="12" t="n">
        <v>3</v>
      </c>
      <c r="E596" s="12" t="s">
        <v>41</v>
      </c>
      <c r="F596" s="12" t="s">
        <v>42</v>
      </c>
      <c r="G596" s="12" t="s">
        <v>43</v>
      </c>
      <c r="H596" s="12" t="n">
        <v>1358</v>
      </c>
      <c r="I596" s="12" t="n">
        <v>24</v>
      </c>
      <c r="J596" s="12" t="s">
        <v>30</v>
      </c>
    </row>
    <row r="597" customFormat="false" ht="15" hidden="false" customHeight="true" outlineLevel="0" collapsed="false">
      <c r="A597" s="12" t="n">
        <v>596</v>
      </c>
      <c r="B597" s="12" t="n">
        <v>32</v>
      </c>
      <c r="C597" s="12" t="s">
        <v>44</v>
      </c>
      <c r="D597" s="12" t="n">
        <v>1</v>
      </c>
      <c r="E597" s="12" t="s">
        <v>41</v>
      </c>
      <c r="F597" s="12" t="s">
        <v>45</v>
      </c>
      <c r="G597" s="12" t="s">
        <v>45</v>
      </c>
      <c r="H597" s="12" t="n">
        <v>931</v>
      </c>
      <c r="I597" s="12" t="n">
        <v>6</v>
      </c>
      <c r="J597" s="12" t="s">
        <v>23</v>
      </c>
    </row>
    <row r="598" customFormat="false" ht="15" hidden="false" customHeight="true" outlineLevel="0" collapsed="false">
      <c r="A598" s="12" t="n">
        <v>597</v>
      </c>
      <c r="B598" s="12" t="n">
        <v>23</v>
      </c>
      <c r="C598" s="12" t="s">
        <v>44</v>
      </c>
      <c r="D598" s="12" t="n">
        <v>2</v>
      </c>
      <c r="E598" s="12" t="s">
        <v>48</v>
      </c>
      <c r="F598" s="12" t="s">
        <v>43</v>
      </c>
      <c r="G598" s="12" t="s">
        <v>43</v>
      </c>
      <c r="H598" s="12" t="n">
        <v>1442</v>
      </c>
      <c r="I598" s="12" t="n">
        <v>24</v>
      </c>
      <c r="J598" s="12" t="s">
        <v>23</v>
      </c>
    </row>
    <row r="599" customFormat="false" ht="15" hidden="false" customHeight="true" outlineLevel="0" collapsed="false">
      <c r="A599" s="12" t="n">
        <v>598</v>
      </c>
      <c r="B599" s="12" t="n">
        <v>36</v>
      </c>
      <c r="C599" s="12" t="s">
        <v>40</v>
      </c>
      <c r="D599" s="12" t="n">
        <v>1</v>
      </c>
      <c r="E599" s="12" t="s">
        <v>41</v>
      </c>
      <c r="F599" s="12" t="s">
        <v>43</v>
      </c>
      <c r="G599" s="12" t="s">
        <v>45</v>
      </c>
      <c r="H599" s="12" t="n">
        <v>4241</v>
      </c>
      <c r="I599" s="12" t="n">
        <v>24</v>
      </c>
      <c r="J599" s="12" t="s">
        <v>26</v>
      </c>
    </row>
    <row r="600" customFormat="false" ht="15" hidden="false" customHeight="true" outlineLevel="0" collapsed="false">
      <c r="A600" s="12" t="n">
        <v>599</v>
      </c>
      <c r="B600" s="12" t="n">
        <v>31</v>
      </c>
      <c r="C600" s="12" t="s">
        <v>40</v>
      </c>
      <c r="D600" s="12" t="n">
        <v>2</v>
      </c>
      <c r="E600" s="12" t="s">
        <v>41</v>
      </c>
      <c r="F600" s="12" t="s">
        <v>43</v>
      </c>
      <c r="G600" s="12" t="s">
        <v>42</v>
      </c>
      <c r="H600" s="12" t="n">
        <v>2775</v>
      </c>
      <c r="I600" s="12" t="n">
        <v>18</v>
      </c>
      <c r="J600" s="12" t="s">
        <v>23</v>
      </c>
    </row>
    <row r="601" customFormat="false" ht="15" hidden="false" customHeight="true" outlineLevel="0" collapsed="false">
      <c r="A601" s="12" t="n">
        <v>600</v>
      </c>
      <c r="B601" s="12" t="n">
        <v>32</v>
      </c>
      <c r="C601" s="12" t="s">
        <v>40</v>
      </c>
      <c r="D601" s="12" t="n">
        <v>2</v>
      </c>
      <c r="E601" s="12" t="s">
        <v>46</v>
      </c>
      <c r="F601" s="12" t="s">
        <v>43</v>
      </c>
      <c r="G601" s="12" t="s">
        <v>42</v>
      </c>
      <c r="H601" s="12" t="n">
        <v>3863</v>
      </c>
      <c r="I601" s="12" t="n">
        <v>24</v>
      </c>
      <c r="J601" s="12" t="s">
        <v>26</v>
      </c>
    </row>
    <row r="602" customFormat="false" ht="15" hidden="false" customHeight="true" outlineLevel="0" collapsed="false">
      <c r="A602" s="12" t="n">
        <v>601</v>
      </c>
      <c r="B602" s="12" t="n">
        <v>45</v>
      </c>
      <c r="C602" s="12" t="s">
        <v>44</v>
      </c>
      <c r="D602" s="12" t="n">
        <v>2</v>
      </c>
      <c r="E602" s="12" t="s">
        <v>41</v>
      </c>
      <c r="F602" s="12" t="s">
        <v>43</v>
      </c>
      <c r="G602" s="12" t="s">
        <v>45</v>
      </c>
      <c r="H602" s="12" t="n">
        <v>2329</v>
      </c>
      <c r="I602" s="12" t="n">
        <v>7</v>
      </c>
      <c r="J602" s="12" t="s">
        <v>24</v>
      </c>
    </row>
    <row r="603" customFormat="false" ht="15" hidden="false" customHeight="true" outlineLevel="0" collapsed="false">
      <c r="A603" s="12" t="n">
        <v>602</v>
      </c>
      <c r="B603" s="12" t="n">
        <v>30</v>
      </c>
      <c r="C603" s="12" t="s">
        <v>44</v>
      </c>
      <c r="D603" s="12" t="n">
        <v>2</v>
      </c>
      <c r="E603" s="12" t="s">
        <v>41</v>
      </c>
      <c r="F603" s="12" t="s">
        <v>43</v>
      </c>
      <c r="G603" s="12" t="s">
        <v>45</v>
      </c>
      <c r="H603" s="12" t="n">
        <v>918</v>
      </c>
      <c r="I603" s="12" t="n">
        <v>9</v>
      </c>
      <c r="J603" s="12" t="s">
        <v>25</v>
      </c>
    </row>
    <row r="604" customFormat="false" ht="15" hidden="false" customHeight="true" outlineLevel="0" collapsed="false">
      <c r="A604" s="12" t="n">
        <v>603</v>
      </c>
      <c r="B604" s="12" t="n">
        <v>34</v>
      </c>
      <c r="C604" s="12" t="s">
        <v>44</v>
      </c>
      <c r="D604" s="12" t="n">
        <v>1</v>
      </c>
      <c r="E604" s="12" t="s">
        <v>46</v>
      </c>
      <c r="F604" s="12" t="s">
        <v>43</v>
      </c>
      <c r="G604" s="12" t="s">
        <v>45</v>
      </c>
      <c r="H604" s="12" t="n">
        <v>1837</v>
      </c>
      <c r="I604" s="12" t="n">
        <v>24</v>
      </c>
      <c r="J604" s="12" t="s">
        <v>27</v>
      </c>
    </row>
    <row r="605" customFormat="false" ht="15" hidden="false" customHeight="true" outlineLevel="0" collapsed="false">
      <c r="A605" s="12" t="n">
        <v>604</v>
      </c>
      <c r="B605" s="12" t="n">
        <v>28</v>
      </c>
      <c r="C605" s="12" t="s">
        <v>44</v>
      </c>
      <c r="D605" s="12" t="n">
        <v>3</v>
      </c>
      <c r="E605" s="12" t="s">
        <v>41</v>
      </c>
      <c r="F605" s="12" t="s">
        <v>43</v>
      </c>
      <c r="G605" s="12" t="s">
        <v>42</v>
      </c>
      <c r="H605" s="12" t="n">
        <v>3349</v>
      </c>
      <c r="I605" s="12" t="n">
        <v>36</v>
      </c>
      <c r="J605" s="12" t="s">
        <v>25</v>
      </c>
    </row>
    <row r="606" customFormat="false" ht="15" hidden="false" customHeight="true" outlineLevel="0" collapsed="false">
      <c r="A606" s="12" t="n">
        <v>605</v>
      </c>
      <c r="B606" s="12" t="n">
        <v>23</v>
      </c>
      <c r="C606" s="12" t="s">
        <v>44</v>
      </c>
      <c r="D606" s="12" t="n">
        <v>2</v>
      </c>
      <c r="E606" s="12" t="s">
        <v>41</v>
      </c>
      <c r="F606" s="12" t="s">
        <v>43</v>
      </c>
      <c r="G606" s="12" t="s">
        <v>49</v>
      </c>
      <c r="H606" s="12" t="n">
        <v>1275</v>
      </c>
      <c r="I606" s="12" t="n">
        <v>10</v>
      </c>
      <c r="J606" s="12" t="s">
        <v>25</v>
      </c>
    </row>
    <row r="607" customFormat="false" ht="15" hidden="false" customHeight="true" outlineLevel="0" collapsed="false">
      <c r="A607" s="12" t="n">
        <v>606</v>
      </c>
      <c r="B607" s="12" t="n">
        <v>22</v>
      </c>
      <c r="C607" s="12" t="s">
        <v>40</v>
      </c>
      <c r="D607" s="12" t="n">
        <v>2</v>
      </c>
      <c r="E607" s="12" t="s">
        <v>41</v>
      </c>
      <c r="F607" s="12" t="s">
        <v>47</v>
      </c>
      <c r="G607" s="12" t="s">
        <v>43</v>
      </c>
      <c r="H607" s="12" t="n">
        <v>2828</v>
      </c>
      <c r="I607" s="12" t="n">
        <v>24</v>
      </c>
      <c r="J607" s="12" t="s">
        <v>25</v>
      </c>
    </row>
    <row r="608" customFormat="false" ht="15" hidden="false" customHeight="true" outlineLevel="0" collapsed="false">
      <c r="A608" s="12" t="n">
        <v>607</v>
      </c>
      <c r="B608" s="12" t="n">
        <v>74</v>
      </c>
      <c r="C608" s="12" t="s">
        <v>40</v>
      </c>
      <c r="D608" s="12" t="n">
        <v>3</v>
      </c>
      <c r="E608" s="12" t="s">
        <v>41</v>
      </c>
      <c r="F608" s="12" t="s">
        <v>43</v>
      </c>
      <c r="G608" s="12" t="s">
        <v>42</v>
      </c>
      <c r="H608" s="12" t="n">
        <v>4526</v>
      </c>
      <c r="I608" s="12" t="n">
        <v>24</v>
      </c>
      <c r="J608" s="12" t="s">
        <v>26</v>
      </c>
    </row>
    <row r="609" customFormat="false" ht="15" hidden="false" customHeight="true" outlineLevel="0" collapsed="false">
      <c r="A609" s="12" t="n">
        <v>608</v>
      </c>
      <c r="B609" s="12" t="n">
        <v>50</v>
      </c>
      <c r="C609" s="12" t="s">
        <v>44</v>
      </c>
      <c r="D609" s="12" t="n">
        <v>2</v>
      </c>
      <c r="E609" s="12" t="s">
        <v>46</v>
      </c>
      <c r="F609" s="12" t="s">
        <v>45</v>
      </c>
      <c r="G609" s="12" t="s">
        <v>45</v>
      </c>
      <c r="H609" s="12" t="n">
        <v>2671</v>
      </c>
      <c r="I609" s="12" t="n">
        <v>36</v>
      </c>
      <c r="J609" s="12" t="s">
        <v>24</v>
      </c>
    </row>
    <row r="610" customFormat="false" ht="15" hidden="false" customHeight="true" outlineLevel="0" collapsed="false">
      <c r="A610" s="12" t="n">
        <v>609</v>
      </c>
      <c r="B610" s="12" t="n">
        <v>33</v>
      </c>
      <c r="C610" s="12" t="s">
        <v>40</v>
      </c>
      <c r="D610" s="12" t="n">
        <v>2</v>
      </c>
      <c r="E610" s="12" t="s">
        <v>41</v>
      </c>
      <c r="F610" s="12" t="s">
        <v>43</v>
      </c>
      <c r="G610" s="12" t="s">
        <v>42</v>
      </c>
      <c r="H610" s="12" t="n">
        <v>2051</v>
      </c>
      <c r="I610" s="12" t="n">
        <v>18</v>
      </c>
      <c r="J610" s="12" t="s">
        <v>24</v>
      </c>
    </row>
    <row r="611" customFormat="false" ht="15" hidden="false" customHeight="true" outlineLevel="0" collapsed="false">
      <c r="A611" s="12" t="n">
        <v>610</v>
      </c>
      <c r="B611" s="12" t="n">
        <v>45</v>
      </c>
      <c r="C611" s="12" t="s">
        <v>40</v>
      </c>
      <c r="D611" s="12" t="n">
        <v>2</v>
      </c>
      <c r="E611" s="12" t="s">
        <v>46</v>
      </c>
      <c r="F611" s="12" t="s">
        <v>42</v>
      </c>
      <c r="G611" s="12" t="s">
        <v>42</v>
      </c>
      <c r="H611" s="12" t="n">
        <v>1300</v>
      </c>
      <c r="I611" s="12" t="n">
        <v>15</v>
      </c>
      <c r="J611" s="12" t="s">
        <v>23</v>
      </c>
    </row>
    <row r="612" customFormat="false" ht="15" hidden="false" customHeight="true" outlineLevel="0" collapsed="false">
      <c r="A612" s="12" t="n">
        <v>611</v>
      </c>
      <c r="B612" s="12" t="n">
        <v>22</v>
      </c>
      <c r="C612" s="12" t="s">
        <v>44</v>
      </c>
      <c r="D612" s="12" t="n">
        <v>2</v>
      </c>
      <c r="E612" s="12" t="s">
        <v>41</v>
      </c>
      <c r="F612" s="12" t="s">
        <v>45</v>
      </c>
      <c r="G612" s="12" t="s">
        <v>43</v>
      </c>
      <c r="H612" s="12" t="n">
        <v>741</v>
      </c>
      <c r="I612" s="12" t="n">
        <v>12</v>
      </c>
      <c r="J612" s="12" t="s">
        <v>29</v>
      </c>
    </row>
    <row r="613" customFormat="false" ht="15" hidden="false" customHeight="true" outlineLevel="0" collapsed="false">
      <c r="A613" s="12" t="n">
        <v>612</v>
      </c>
      <c r="B613" s="12" t="n">
        <v>48</v>
      </c>
      <c r="C613" s="12" t="s">
        <v>44</v>
      </c>
      <c r="D613" s="12" t="n">
        <v>1</v>
      </c>
      <c r="E613" s="12" t="s">
        <v>46</v>
      </c>
      <c r="F613" s="12" t="s">
        <v>45</v>
      </c>
      <c r="G613" s="12" t="s">
        <v>49</v>
      </c>
      <c r="H613" s="12" t="n">
        <v>1240</v>
      </c>
      <c r="I613" s="12" t="n">
        <v>10</v>
      </c>
      <c r="J613" s="12" t="s">
        <v>23</v>
      </c>
    </row>
    <row r="614" customFormat="false" ht="15" hidden="false" customHeight="true" outlineLevel="0" collapsed="false">
      <c r="A614" s="12" t="n">
        <v>613</v>
      </c>
      <c r="B614" s="12" t="n">
        <v>29</v>
      </c>
      <c r="C614" s="12" t="s">
        <v>44</v>
      </c>
      <c r="D614" s="12" t="n">
        <v>2</v>
      </c>
      <c r="E614" s="12" t="s">
        <v>41</v>
      </c>
      <c r="F614" s="12" t="s">
        <v>49</v>
      </c>
      <c r="G614" s="12" t="s">
        <v>43</v>
      </c>
      <c r="H614" s="12" t="n">
        <v>3357</v>
      </c>
      <c r="I614" s="12" t="n">
        <v>21</v>
      </c>
      <c r="J614" s="12" t="s">
        <v>24</v>
      </c>
    </row>
    <row r="615" customFormat="false" ht="15" hidden="false" customHeight="true" outlineLevel="0" collapsed="false">
      <c r="A615" s="12" t="n">
        <v>614</v>
      </c>
      <c r="B615" s="12" t="n">
        <v>22</v>
      </c>
      <c r="C615" s="12" t="s">
        <v>44</v>
      </c>
      <c r="D615" s="12" t="n">
        <v>2</v>
      </c>
      <c r="E615" s="12" t="s">
        <v>48</v>
      </c>
      <c r="F615" s="12" t="s">
        <v>43</v>
      </c>
      <c r="G615" s="12" t="s">
        <v>43</v>
      </c>
      <c r="H615" s="12" t="n">
        <v>3632</v>
      </c>
      <c r="I615" s="12" t="n">
        <v>24</v>
      </c>
      <c r="J615" s="12" t="s">
        <v>23</v>
      </c>
    </row>
    <row r="616" customFormat="false" ht="15" hidden="false" customHeight="true" outlineLevel="0" collapsed="false">
      <c r="A616" s="12" t="n">
        <v>615</v>
      </c>
      <c r="B616" s="12" t="n">
        <v>22</v>
      </c>
      <c r="C616" s="12" t="s">
        <v>44</v>
      </c>
      <c r="D616" s="12" t="n">
        <v>2</v>
      </c>
      <c r="E616" s="12" t="s">
        <v>41</v>
      </c>
      <c r="F616" s="12" t="s">
        <v>43</v>
      </c>
      <c r="G616" s="12" t="s">
        <v>42</v>
      </c>
      <c r="H616" s="12" t="n">
        <v>1808</v>
      </c>
      <c r="I616" s="12" t="n">
        <v>18</v>
      </c>
      <c r="J616" s="12" t="s">
        <v>25</v>
      </c>
    </row>
    <row r="617" customFormat="false" ht="15" hidden="false" customHeight="true" outlineLevel="0" collapsed="false">
      <c r="A617" s="12" t="n">
        <v>616</v>
      </c>
      <c r="B617" s="12" t="n">
        <v>48</v>
      </c>
      <c r="C617" s="12" t="s">
        <v>40</v>
      </c>
      <c r="D617" s="12" t="n">
        <v>3</v>
      </c>
      <c r="E617" s="12" t="s">
        <v>41</v>
      </c>
      <c r="F617" s="12" t="s">
        <v>42</v>
      </c>
      <c r="G617" s="12" t="s">
        <v>45</v>
      </c>
      <c r="H617" s="12" t="n">
        <v>12204</v>
      </c>
      <c r="I617" s="12" t="n">
        <v>48</v>
      </c>
      <c r="J617" s="12" t="s">
        <v>26</v>
      </c>
    </row>
    <row r="618" customFormat="false" ht="15" hidden="false" customHeight="true" outlineLevel="0" collapsed="false">
      <c r="A618" s="12" t="n">
        <v>617</v>
      </c>
      <c r="B618" s="12" t="n">
        <v>27</v>
      </c>
      <c r="C618" s="12" t="s">
        <v>40</v>
      </c>
      <c r="D618" s="12" t="n">
        <v>3</v>
      </c>
      <c r="E618" s="12" t="s">
        <v>46</v>
      </c>
      <c r="F618" s="12" t="s">
        <v>42</v>
      </c>
      <c r="G618" s="12" t="s">
        <v>45</v>
      </c>
      <c r="H618" s="12" t="n">
        <v>9157</v>
      </c>
      <c r="I618" s="12" t="n">
        <v>60</v>
      </c>
      <c r="J618" s="12" t="s">
        <v>24</v>
      </c>
    </row>
    <row r="619" customFormat="false" ht="15" hidden="false" customHeight="true" outlineLevel="0" collapsed="false">
      <c r="A619" s="12" t="n">
        <v>618</v>
      </c>
      <c r="B619" s="12" t="n">
        <v>37</v>
      </c>
      <c r="C619" s="12" t="s">
        <v>40</v>
      </c>
      <c r="D619" s="12" t="n">
        <v>2</v>
      </c>
      <c r="E619" s="12" t="s">
        <v>48</v>
      </c>
      <c r="F619" s="12" t="s">
        <v>43</v>
      </c>
      <c r="G619" s="12" t="s">
        <v>43</v>
      </c>
      <c r="H619" s="12" t="n">
        <v>3676</v>
      </c>
      <c r="I619" s="12" t="n">
        <v>6</v>
      </c>
      <c r="J619" s="12" t="s">
        <v>23</v>
      </c>
    </row>
    <row r="620" customFormat="false" ht="15" hidden="false" customHeight="true" outlineLevel="0" collapsed="false">
      <c r="A620" s="12" t="n">
        <v>619</v>
      </c>
      <c r="B620" s="12" t="n">
        <v>21</v>
      </c>
      <c r="C620" s="12" t="s">
        <v>44</v>
      </c>
      <c r="D620" s="12" t="n">
        <v>2</v>
      </c>
      <c r="E620" s="12" t="s">
        <v>48</v>
      </c>
      <c r="F620" s="12" t="s">
        <v>45</v>
      </c>
      <c r="G620" s="12" t="s">
        <v>45</v>
      </c>
      <c r="H620" s="12" t="n">
        <v>3441</v>
      </c>
      <c r="I620" s="12" t="n">
        <v>30</v>
      </c>
      <c r="J620" s="12" t="s">
        <v>25</v>
      </c>
    </row>
    <row r="621" customFormat="false" ht="15" hidden="false" customHeight="true" outlineLevel="0" collapsed="false">
      <c r="A621" s="12" t="n">
        <v>620</v>
      </c>
      <c r="B621" s="12" t="n">
        <v>49</v>
      </c>
      <c r="C621" s="12" t="s">
        <v>40</v>
      </c>
      <c r="D621" s="12" t="n">
        <v>1</v>
      </c>
      <c r="E621" s="12" t="s">
        <v>41</v>
      </c>
      <c r="F621" s="12" t="s">
        <v>43</v>
      </c>
      <c r="G621" s="12" t="s">
        <v>42</v>
      </c>
      <c r="H621" s="12" t="n">
        <v>640</v>
      </c>
      <c r="I621" s="12" t="n">
        <v>12</v>
      </c>
      <c r="J621" s="12" t="s">
        <v>23</v>
      </c>
    </row>
    <row r="622" customFormat="false" ht="15" hidden="false" customHeight="true" outlineLevel="0" collapsed="false">
      <c r="A622" s="12" t="n">
        <v>621</v>
      </c>
      <c r="B622" s="12" t="n">
        <v>27</v>
      </c>
      <c r="C622" s="12" t="s">
        <v>40</v>
      </c>
      <c r="D622" s="12" t="n">
        <v>2</v>
      </c>
      <c r="E622" s="12" t="s">
        <v>41</v>
      </c>
      <c r="F622" s="12" t="s">
        <v>43</v>
      </c>
      <c r="G622" s="12" t="s">
        <v>45</v>
      </c>
      <c r="H622" s="12" t="n">
        <v>3652</v>
      </c>
      <c r="I622" s="12" t="n">
        <v>21</v>
      </c>
      <c r="J622" s="12" t="s">
        <v>26</v>
      </c>
    </row>
    <row r="623" customFormat="false" ht="15" hidden="false" customHeight="true" outlineLevel="0" collapsed="false">
      <c r="A623" s="12" t="n">
        <v>622</v>
      </c>
      <c r="B623" s="12" t="n">
        <v>32</v>
      </c>
      <c r="C623" s="12" t="s">
        <v>40</v>
      </c>
      <c r="D623" s="12" t="n">
        <v>2</v>
      </c>
      <c r="E623" s="12" t="s">
        <v>41</v>
      </c>
      <c r="F623" s="12" t="s">
        <v>43</v>
      </c>
      <c r="G623" s="12" t="s">
        <v>42</v>
      </c>
      <c r="H623" s="12" t="n">
        <v>1530</v>
      </c>
      <c r="I623" s="12" t="n">
        <v>18</v>
      </c>
      <c r="J623" s="12" t="s">
        <v>23</v>
      </c>
    </row>
    <row r="624" customFormat="false" ht="15" hidden="false" customHeight="true" outlineLevel="0" collapsed="false">
      <c r="A624" s="12" t="n">
        <v>623</v>
      </c>
      <c r="B624" s="12" t="n">
        <v>38</v>
      </c>
      <c r="C624" s="12" t="s">
        <v>40</v>
      </c>
      <c r="D624" s="12" t="n">
        <v>2</v>
      </c>
      <c r="E624" s="12" t="s">
        <v>41</v>
      </c>
      <c r="F624" s="12" t="s">
        <v>42</v>
      </c>
      <c r="G624" s="12" t="s">
        <v>42</v>
      </c>
      <c r="H624" s="12" t="n">
        <v>3914</v>
      </c>
      <c r="I624" s="12" t="n">
        <v>48</v>
      </c>
      <c r="J624" s="12" t="s">
        <v>26</v>
      </c>
    </row>
    <row r="625" customFormat="false" ht="15" hidden="false" customHeight="true" outlineLevel="0" collapsed="false">
      <c r="A625" s="12" t="n">
        <v>624</v>
      </c>
      <c r="B625" s="12" t="n">
        <v>22</v>
      </c>
      <c r="C625" s="12" t="s">
        <v>44</v>
      </c>
      <c r="D625" s="12" t="n">
        <v>2</v>
      </c>
      <c r="E625" s="12" t="s">
        <v>48</v>
      </c>
      <c r="F625" s="12" t="s">
        <v>43</v>
      </c>
      <c r="G625" s="12" t="s">
        <v>43</v>
      </c>
      <c r="H625" s="12" t="n">
        <v>1858</v>
      </c>
      <c r="I625" s="12" t="n">
        <v>12</v>
      </c>
      <c r="J625" s="12" t="s">
        <v>25</v>
      </c>
    </row>
    <row r="626" customFormat="false" ht="15" hidden="false" customHeight="true" outlineLevel="0" collapsed="false">
      <c r="A626" s="12" t="n">
        <v>625</v>
      </c>
      <c r="B626" s="12" t="n">
        <v>65</v>
      </c>
      <c r="C626" s="12" t="s">
        <v>40</v>
      </c>
      <c r="D626" s="12" t="n">
        <v>2</v>
      </c>
      <c r="E626" s="12" t="s">
        <v>46</v>
      </c>
      <c r="F626" s="12" t="s">
        <v>43</v>
      </c>
      <c r="G626" s="12" t="s">
        <v>43</v>
      </c>
      <c r="H626" s="12" t="n">
        <v>2600</v>
      </c>
      <c r="I626" s="12" t="n">
        <v>18</v>
      </c>
      <c r="J626" s="12" t="s">
        <v>24</v>
      </c>
    </row>
    <row r="627" customFormat="false" ht="15" hidden="false" customHeight="true" outlineLevel="0" collapsed="false">
      <c r="A627" s="12" t="n">
        <v>626</v>
      </c>
      <c r="B627" s="12" t="n">
        <v>35</v>
      </c>
      <c r="C627" s="12" t="s">
        <v>40</v>
      </c>
      <c r="D627" s="12" t="n">
        <v>2</v>
      </c>
      <c r="E627" s="12" t="s">
        <v>41</v>
      </c>
      <c r="F627" s="12" t="s">
        <v>42</v>
      </c>
      <c r="G627" s="12" t="s">
        <v>42</v>
      </c>
      <c r="H627" s="12" t="n">
        <v>1979</v>
      </c>
      <c r="I627" s="12" t="n">
        <v>15</v>
      </c>
      <c r="J627" s="12" t="s">
        <v>24</v>
      </c>
    </row>
    <row r="628" customFormat="false" ht="15" hidden="false" customHeight="true" outlineLevel="0" collapsed="false">
      <c r="A628" s="12" t="n">
        <v>627</v>
      </c>
      <c r="B628" s="12" t="n">
        <v>41</v>
      </c>
      <c r="C628" s="12" t="s">
        <v>40</v>
      </c>
      <c r="D628" s="12" t="n">
        <v>2</v>
      </c>
      <c r="E628" s="12" t="s">
        <v>41</v>
      </c>
      <c r="F628" s="12" t="s">
        <v>43</v>
      </c>
      <c r="G628" s="12" t="s">
        <v>49</v>
      </c>
      <c r="H628" s="12" t="n">
        <v>2116</v>
      </c>
      <c r="I628" s="12" t="n">
        <v>6</v>
      </c>
      <c r="J628" s="12" t="s">
        <v>25</v>
      </c>
    </row>
    <row r="629" customFormat="false" ht="15" hidden="false" customHeight="true" outlineLevel="0" collapsed="false">
      <c r="A629" s="12" t="n">
        <v>628</v>
      </c>
      <c r="B629" s="12" t="n">
        <v>29</v>
      </c>
      <c r="C629" s="12" t="s">
        <v>40</v>
      </c>
      <c r="D629" s="12" t="n">
        <v>2</v>
      </c>
      <c r="E629" s="12" t="s">
        <v>41</v>
      </c>
      <c r="F629" s="12" t="s">
        <v>45</v>
      </c>
      <c r="G629" s="12" t="s">
        <v>45</v>
      </c>
      <c r="H629" s="12" t="n">
        <v>1437</v>
      </c>
      <c r="I629" s="12" t="n">
        <v>9</v>
      </c>
      <c r="J629" s="12" t="s">
        <v>23</v>
      </c>
    </row>
    <row r="630" customFormat="false" ht="15" hidden="false" customHeight="true" outlineLevel="0" collapsed="false">
      <c r="A630" s="12" t="n">
        <v>629</v>
      </c>
      <c r="B630" s="12" t="n">
        <v>36</v>
      </c>
      <c r="C630" s="12" t="s">
        <v>40</v>
      </c>
      <c r="D630" s="12" t="n">
        <v>2</v>
      </c>
      <c r="E630" s="12" t="s">
        <v>41</v>
      </c>
      <c r="F630" s="12" t="s">
        <v>47</v>
      </c>
      <c r="G630" s="12" t="s">
        <v>42</v>
      </c>
      <c r="H630" s="12" t="n">
        <v>4042</v>
      </c>
      <c r="I630" s="12" t="n">
        <v>42</v>
      </c>
      <c r="J630" s="12" t="s">
        <v>25</v>
      </c>
    </row>
    <row r="631" customFormat="false" ht="15" hidden="false" customHeight="true" outlineLevel="0" collapsed="false">
      <c r="A631" s="12" t="n">
        <v>630</v>
      </c>
      <c r="B631" s="12" t="n">
        <v>64</v>
      </c>
      <c r="C631" s="12" t="s">
        <v>40</v>
      </c>
      <c r="D631" s="12" t="n">
        <v>1</v>
      </c>
      <c r="E631" s="12" t="s">
        <v>41</v>
      </c>
      <c r="F631" s="12" t="s">
        <v>42</v>
      </c>
      <c r="G631" s="12" t="s">
        <v>42</v>
      </c>
      <c r="H631" s="12" t="n">
        <v>3832</v>
      </c>
      <c r="I631" s="12" t="n">
        <v>9</v>
      </c>
      <c r="J631" s="12" t="s">
        <v>27</v>
      </c>
    </row>
    <row r="632" customFormat="false" ht="15" hidden="false" customHeight="true" outlineLevel="0" collapsed="false">
      <c r="A632" s="12" t="n">
        <v>631</v>
      </c>
      <c r="B632" s="12" t="n">
        <v>28</v>
      </c>
      <c r="C632" s="12" t="s">
        <v>44</v>
      </c>
      <c r="D632" s="12" t="n">
        <v>2</v>
      </c>
      <c r="E632" s="12" t="s">
        <v>41</v>
      </c>
      <c r="F632" s="12" t="s">
        <v>43</v>
      </c>
      <c r="G632" s="12" t="s">
        <v>43</v>
      </c>
      <c r="H632" s="12" t="n">
        <v>3660</v>
      </c>
      <c r="I632" s="12" t="n">
        <v>24</v>
      </c>
      <c r="J632" s="12" t="s">
        <v>24</v>
      </c>
    </row>
    <row r="633" customFormat="false" ht="15" hidden="false" customHeight="true" outlineLevel="0" collapsed="false">
      <c r="A633" s="12" t="n">
        <v>632</v>
      </c>
      <c r="B633" s="12" t="n">
        <v>44</v>
      </c>
      <c r="C633" s="12" t="s">
        <v>40</v>
      </c>
      <c r="D633" s="12" t="n">
        <v>2</v>
      </c>
      <c r="E633" s="12" t="s">
        <v>41</v>
      </c>
      <c r="F633" s="12" t="s">
        <v>43</v>
      </c>
      <c r="G633" s="12" t="s">
        <v>43</v>
      </c>
      <c r="H633" s="12" t="n">
        <v>1553</v>
      </c>
      <c r="I633" s="12" t="n">
        <v>18</v>
      </c>
      <c r="J633" s="12" t="s">
        <v>25</v>
      </c>
    </row>
    <row r="634" customFormat="false" ht="15" hidden="false" customHeight="true" outlineLevel="0" collapsed="false">
      <c r="A634" s="12" t="n">
        <v>633</v>
      </c>
      <c r="B634" s="12" t="n">
        <v>23</v>
      </c>
      <c r="C634" s="12" t="s">
        <v>40</v>
      </c>
      <c r="D634" s="12" t="n">
        <v>2</v>
      </c>
      <c r="E634" s="12" t="s">
        <v>41</v>
      </c>
      <c r="F634" s="12" t="s">
        <v>42</v>
      </c>
      <c r="G634" s="12" t="s">
        <v>45</v>
      </c>
      <c r="H634" s="12" t="n">
        <v>1444</v>
      </c>
      <c r="I634" s="12" t="n">
        <v>15</v>
      </c>
      <c r="J634" s="12" t="s">
        <v>24</v>
      </c>
    </row>
    <row r="635" customFormat="false" ht="15" hidden="false" customHeight="true" outlineLevel="0" collapsed="false">
      <c r="A635" s="12" t="n">
        <v>634</v>
      </c>
      <c r="B635" s="12" t="n">
        <v>19</v>
      </c>
      <c r="C635" s="12" t="s">
        <v>44</v>
      </c>
      <c r="D635" s="12" t="n">
        <v>2</v>
      </c>
      <c r="E635" s="12" t="s">
        <v>48</v>
      </c>
      <c r="F635" s="12" t="s">
        <v>43</v>
      </c>
      <c r="G635" s="12" t="s">
        <v>42</v>
      </c>
      <c r="H635" s="12" t="n">
        <v>1980</v>
      </c>
      <c r="I635" s="12" t="n">
        <v>9</v>
      </c>
      <c r="J635" s="12" t="s">
        <v>25</v>
      </c>
    </row>
    <row r="636" customFormat="false" ht="15" hidden="false" customHeight="true" outlineLevel="0" collapsed="false">
      <c r="A636" s="12" t="n">
        <v>635</v>
      </c>
      <c r="B636" s="12" t="n">
        <v>25</v>
      </c>
      <c r="C636" s="12" t="s">
        <v>44</v>
      </c>
      <c r="D636" s="12" t="n">
        <v>1</v>
      </c>
      <c r="E636" s="12" t="s">
        <v>41</v>
      </c>
      <c r="F636" s="12" t="s">
        <v>43</v>
      </c>
      <c r="G636" s="12" t="s">
        <v>45</v>
      </c>
      <c r="H636" s="12" t="n">
        <v>1355</v>
      </c>
      <c r="I636" s="12" t="n">
        <v>24</v>
      </c>
      <c r="J636" s="12" t="s">
        <v>23</v>
      </c>
    </row>
    <row r="637" customFormat="false" ht="15" hidden="false" customHeight="true" outlineLevel="0" collapsed="false">
      <c r="A637" s="12" t="n">
        <v>636</v>
      </c>
      <c r="B637" s="12" t="n">
        <v>47</v>
      </c>
      <c r="C637" s="12" t="s">
        <v>40</v>
      </c>
      <c r="D637" s="12" t="n">
        <v>2</v>
      </c>
      <c r="E637" s="12" t="s">
        <v>41</v>
      </c>
      <c r="F637" s="12" t="s">
        <v>43</v>
      </c>
      <c r="G637" s="12" t="s">
        <v>42</v>
      </c>
      <c r="H637" s="12" t="n">
        <v>1393</v>
      </c>
      <c r="I637" s="12" t="n">
        <v>12</v>
      </c>
      <c r="J637" s="12" t="s">
        <v>27</v>
      </c>
    </row>
    <row r="638" customFormat="false" ht="15" hidden="false" customHeight="true" outlineLevel="0" collapsed="false">
      <c r="A638" s="12" t="n">
        <v>637</v>
      </c>
      <c r="B638" s="12" t="n">
        <v>28</v>
      </c>
      <c r="C638" s="12" t="s">
        <v>44</v>
      </c>
      <c r="D638" s="12" t="n">
        <v>2</v>
      </c>
      <c r="E638" s="12" t="s">
        <v>41</v>
      </c>
      <c r="F638" s="12" t="s">
        <v>47</v>
      </c>
      <c r="G638" s="12" t="s">
        <v>42</v>
      </c>
      <c r="H638" s="12" t="n">
        <v>1376</v>
      </c>
      <c r="I638" s="12" t="n">
        <v>24</v>
      </c>
      <c r="J638" s="12" t="s">
        <v>24</v>
      </c>
    </row>
    <row r="639" customFormat="false" ht="15" hidden="false" customHeight="true" outlineLevel="0" collapsed="false">
      <c r="A639" s="12" t="n">
        <v>638</v>
      </c>
      <c r="B639" s="12" t="n">
        <v>21</v>
      </c>
      <c r="C639" s="12" t="s">
        <v>40</v>
      </c>
      <c r="D639" s="12" t="n">
        <v>2</v>
      </c>
      <c r="E639" s="12" t="s">
        <v>41</v>
      </c>
      <c r="F639" s="12" t="s">
        <v>43</v>
      </c>
      <c r="G639" s="12" t="s">
        <v>42</v>
      </c>
      <c r="H639" s="12" t="n">
        <v>15653</v>
      </c>
      <c r="I639" s="12" t="n">
        <v>60</v>
      </c>
      <c r="J639" s="12" t="s">
        <v>24</v>
      </c>
    </row>
    <row r="640" customFormat="false" ht="15" hidden="false" customHeight="true" outlineLevel="0" collapsed="false">
      <c r="A640" s="12" t="n">
        <v>639</v>
      </c>
      <c r="B640" s="12" t="n">
        <v>34</v>
      </c>
      <c r="C640" s="12" t="s">
        <v>44</v>
      </c>
      <c r="D640" s="12" t="n">
        <v>2</v>
      </c>
      <c r="E640" s="12" t="s">
        <v>41</v>
      </c>
      <c r="F640" s="12" t="s">
        <v>43</v>
      </c>
      <c r="G640" s="12" t="s">
        <v>42</v>
      </c>
      <c r="H640" s="12" t="n">
        <v>1493</v>
      </c>
      <c r="I640" s="12" t="n">
        <v>12</v>
      </c>
      <c r="J640" s="12" t="s">
        <v>24</v>
      </c>
    </row>
    <row r="641" customFormat="false" ht="15" hidden="false" customHeight="true" outlineLevel="0" collapsed="false">
      <c r="A641" s="12" t="n">
        <v>640</v>
      </c>
      <c r="B641" s="12" t="n">
        <v>26</v>
      </c>
      <c r="C641" s="12" t="s">
        <v>40</v>
      </c>
      <c r="D641" s="12" t="n">
        <v>2</v>
      </c>
      <c r="E641" s="12" t="s">
        <v>41</v>
      </c>
      <c r="F641" s="12" t="s">
        <v>43</v>
      </c>
      <c r="G641" s="12" t="s">
        <v>43</v>
      </c>
      <c r="H641" s="12" t="n">
        <v>4370</v>
      </c>
      <c r="I641" s="12" t="n">
        <v>42</v>
      </c>
      <c r="J641" s="12" t="s">
        <v>24</v>
      </c>
    </row>
    <row r="642" customFormat="false" ht="15" hidden="false" customHeight="true" outlineLevel="0" collapsed="false">
      <c r="A642" s="12" t="n">
        <v>641</v>
      </c>
      <c r="B642" s="12" t="n">
        <v>27</v>
      </c>
      <c r="C642" s="12" t="s">
        <v>44</v>
      </c>
      <c r="D642" s="12" t="n">
        <v>0</v>
      </c>
      <c r="E642" s="12" t="s">
        <v>41</v>
      </c>
      <c r="F642" s="12" t="s">
        <v>43</v>
      </c>
      <c r="G642" s="12" t="s">
        <v>43</v>
      </c>
      <c r="H642" s="12" t="n">
        <v>750</v>
      </c>
      <c r="I642" s="12" t="n">
        <v>18</v>
      </c>
      <c r="J642" s="12" t="s">
        <v>27</v>
      </c>
    </row>
    <row r="643" customFormat="false" ht="15" hidden="false" customHeight="true" outlineLevel="0" collapsed="false">
      <c r="A643" s="12" t="n">
        <v>642</v>
      </c>
      <c r="B643" s="12" t="n">
        <v>38</v>
      </c>
      <c r="C643" s="12" t="s">
        <v>40</v>
      </c>
      <c r="D643" s="12" t="n">
        <v>1</v>
      </c>
      <c r="E643" s="12" t="s">
        <v>41</v>
      </c>
      <c r="F643" s="12" t="s">
        <v>43</v>
      </c>
      <c r="G643" s="12" t="s">
        <v>45</v>
      </c>
      <c r="H643" s="12" t="n">
        <v>1308</v>
      </c>
      <c r="I643" s="12" t="n">
        <v>15</v>
      </c>
      <c r="J643" s="12" t="s">
        <v>28</v>
      </c>
    </row>
    <row r="644" customFormat="false" ht="15" hidden="false" customHeight="true" outlineLevel="0" collapsed="false">
      <c r="A644" s="12" t="n">
        <v>643</v>
      </c>
      <c r="B644" s="12" t="n">
        <v>40</v>
      </c>
      <c r="C644" s="12" t="s">
        <v>40</v>
      </c>
      <c r="D644" s="12" t="n">
        <v>3</v>
      </c>
      <c r="E644" s="12" t="s">
        <v>41</v>
      </c>
      <c r="F644" s="12" t="s">
        <v>45</v>
      </c>
      <c r="G644" s="12" t="s">
        <v>42</v>
      </c>
      <c r="H644" s="12" t="n">
        <v>4623</v>
      </c>
      <c r="I644" s="12" t="n">
        <v>15</v>
      </c>
      <c r="J644" s="12" t="s">
        <v>27</v>
      </c>
    </row>
    <row r="645" customFormat="false" ht="15" hidden="false" customHeight="true" outlineLevel="0" collapsed="false">
      <c r="A645" s="12" t="n">
        <v>644</v>
      </c>
      <c r="B645" s="12" t="n">
        <v>33</v>
      </c>
      <c r="C645" s="12" t="s">
        <v>40</v>
      </c>
      <c r="D645" s="12" t="n">
        <v>2</v>
      </c>
      <c r="E645" s="12" t="s">
        <v>41</v>
      </c>
      <c r="F645" s="12" t="s">
        <v>43</v>
      </c>
      <c r="G645" s="12" t="s">
        <v>42</v>
      </c>
      <c r="H645" s="12" t="n">
        <v>1851</v>
      </c>
      <c r="I645" s="12" t="n">
        <v>24</v>
      </c>
      <c r="J645" s="12" t="s">
        <v>24</v>
      </c>
    </row>
    <row r="646" customFormat="false" ht="15" hidden="false" customHeight="true" outlineLevel="0" collapsed="false">
      <c r="A646" s="12" t="n">
        <v>645</v>
      </c>
      <c r="B646" s="12" t="n">
        <v>32</v>
      </c>
      <c r="C646" s="12" t="s">
        <v>40</v>
      </c>
      <c r="D646" s="12" t="n">
        <v>3</v>
      </c>
      <c r="E646" s="12" t="s">
        <v>41</v>
      </c>
      <c r="F646" s="12" t="s">
        <v>43</v>
      </c>
      <c r="G646" s="12" t="s">
        <v>43</v>
      </c>
      <c r="H646" s="12" t="n">
        <v>1880</v>
      </c>
      <c r="I646" s="12" t="n">
        <v>18</v>
      </c>
      <c r="J646" s="12" t="s">
        <v>24</v>
      </c>
    </row>
    <row r="647" customFormat="false" ht="15" hidden="false" customHeight="true" outlineLevel="0" collapsed="false">
      <c r="A647" s="12" t="n">
        <v>646</v>
      </c>
      <c r="B647" s="12" t="n">
        <v>27</v>
      </c>
      <c r="C647" s="12" t="s">
        <v>40</v>
      </c>
      <c r="D647" s="12" t="n">
        <v>2</v>
      </c>
      <c r="E647" s="12" t="s">
        <v>48</v>
      </c>
      <c r="F647" s="12" t="s">
        <v>42</v>
      </c>
      <c r="G647" s="12" t="s">
        <v>42</v>
      </c>
      <c r="H647" s="12" t="n">
        <v>7980</v>
      </c>
      <c r="I647" s="12" t="n">
        <v>36</v>
      </c>
      <c r="J647" s="12" t="s">
        <v>26</v>
      </c>
    </row>
    <row r="648" customFormat="false" ht="15" hidden="false" customHeight="true" outlineLevel="0" collapsed="false">
      <c r="A648" s="12" t="n">
        <v>647</v>
      </c>
      <c r="B648" s="12" t="n">
        <v>32</v>
      </c>
      <c r="C648" s="12" t="s">
        <v>40</v>
      </c>
      <c r="D648" s="12" t="n">
        <v>2</v>
      </c>
      <c r="E648" s="12" t="s">
        <v>41</v>
      </c>
      <c r="F648" s="12" t="s">
        <v>43</v>
      </c>
      <c r="G648" s="12" t="s">
        <v>43</v>
      </c>
      <c r="H648" s="12" t="n">
        <v>4583</v>
      </c>
      <c r="I648" s="12" t="n">
        <v>30</v>
      </c>
      <c r="J648" s="12" t="s">
        <v>25</v>
      </c>
    </row>
    <row r="649" customFormat="false" ht="15" hidden="false" customHeight="true" outlineLevel="0" collapsed="false">
      <c r="A649" s="12" t="n">
        <v>648</v>
      </c>
      <c r="B649" s="12" t="n">
        <v>26</v>
      </c>
      <c r="C649" s="12" t="s">
        <v>44</v>
      </c>
      <c r="D649" s="12" t="n">
        <v>2</v>
      </c>
      <c r="E649" s="12" t="s">
        <v>41</v>
      </c>
      <c r="F649" s="12" t="s">
        <v>47</v>
      </c>
      <c r="G649" s="12" t="s">
        <v>42</v>
      </c>
      <c r="H649" s="12" t="n">
        <v>1386</v>
      </c>
      <c r="I649" s="12" t="n">
        <v>12</v>
      </c>
      <c r="J649" s="12" t="s">
        <v>23</v>
      </c>
    </row>
    <row r="650" customFormat="false" ht="15" hidden="false" customHeight="true" outlineLevel="0" collapsed="false">
      <c r="A650" s="12" t="n">
        <v>649</v>
      </c>
      <c r="B650" s="12" t="n">
        <v>38</v>
      </c>
      <c r="C650" s="12" t="s">
        <v>40</v>
      </c>
      <c r="D650" s="12" t="n">
        <v>2</v>
      </c>
      <c r="E650" s="12" t="s">
        <v>46</v>
      </c>
      <c r="F650" s="12" t="s">
        <v>43</v>
      </c>
      <c r="G650" s="12" t="s">
        <v>49</v>
      </c>
      <c r="H650" s="12" t="n">
        <v>947</v>
      </c>
      <c r="I650" s="12" t="n">
        <v>24</v>
      </c>
      <c r="J650" s="12" t="s">
        <v>23</v>
      </c>
    </row>
    <row r="651" customFormat="false" ht="15" hidden="false" customHeight="true" outlineLevel="0" collapsed="false">
      <c r="A651" s="12" t="n">
        <v>650</v>
      </c>
      <c r="B651" s="12" t="n">
        <v>40</v>
      </c>
      <c r="C651" s="12" t="s">
        <v>40</v>
      </c>
      <c r="D651" s="12" t="n">
        <v>1</v>
      </c>
      <c r="E651" s="12" t="s">
        <v>48</v>
      </c>
      <c r="F651" s="12" t="s">
        <v>43</v>
      </c>
      <c r="G651" s="12" t="s">
        <v>43</v>
      </c>
      <c r="H651" s="12" t="n">
        <v>684</v>
      </c>
      <c r="I651" s="12" t="n">
        <v>12</v>
      </c>
      <c r="J651" s="12" t="s">
        <v>27</v>
      </c>
    </row>
    <row r="652" customFormat="false" ht="15" hidden="false" customHeight="true" outlineLevel="0" collapsed="false">
      <c r="A652" s="12" t="n">
        <v>651</v>
      </c>
      <c r="B652" s="12" t="n">
        <v>50</v>
      </c>
      <c r="C652" s="12" t="s">
        <v>40</v>
      </c>
      <c r="D652" s="12" t="n">
        <v>3</v>
      </c>
      <c r="E652" s="12" t="s">
        <v>46</v>
      </c>
      <c r="F652" s="12" t="s">
        <v>43</v>
      </c>
      <c r="G652" s="12" t="s">
        <v>43</v>
      </c>
      <c r="H652" s="12" t="n">
        <v>7476</v>
      </c>
      <c r="I652" s="12" t="n">
        <v>48</v>
      </c>
      <c r="J652" s="12" t="s">
        <v>27</v>
      </c>
    </row>
    <row r="653" customFormat="false" ht="15" hidden="false" customHeight="true" outlineLevel="0" collapsed="false">
      <c r="A653" s="12" t="n">
        <v>652</v>
      </c>
      <c r="B653" s="12" t="n">
        <v>37</v>
      </c>
      <c r="C653" s="12" t="s">
        <v>40</v>
      </c>
      <c r="D653" s="12" t="n">
        <v>1</v>
      </c>
      <c r="E653" s="12" t="s">
        <v>41</v>
      </c>
      <c r="F653" s="12" t="s">
        <v>43</v>
      </c>
      <c r="G653" s="12" t="s">
        <v>45</v>
      </c>
      <c r="H653" s="12" t="n">
        <v>1922</v>
      </c>
      <c r="I653" s="12" t="n">
        <v>12</v>
      </c>
      <c r="J653" s="12" t="s">
        <v>25</v>
      </c>
    </row>
    <row r="654" customFormat="false" ht="15" hidden="false" customHeight="true" outlineLevel="0" collapsed="false">
      <c r="A654" s="12" t="n">
        <v>653</v>
      </c>
      <c r="B654" s="12" t="n">
        <v>45</v>
      </c>
      <c r="C654" s="12" t="s">
        <v>40</v>
      </c>
      <c r="D654" s="12" t="n">
        <v>2</v>
      </c>
      <c r="E654" s="12" t="s">
        <v>41</v>
      </c>
      <c r="F654" s="12" t="s">
        <v>43</v>
      </c>
      <c r="G654" s="12" t="s">
        <v>43</v>
      </c>
      <c r="H654" s="12" t="n">
        <v>2303</v>
      </c>
      <c r="I654" s="12" t="n">
        <v>24</v>
      </c>
      <c r="J654" s="12" t="s">
        <v>23</v>
      </c>
    </row>
    <row r="655" customFormat="false" ht="15" hidden="false" customHeight="true" outlineLevel="0" collapsed="false">
      <c r="A655" s="12" t="n">
        <v>654</v>
      </c>
      <c r="B655" s="12" t="n">
        <v>42</v>
      </c>
      <c r="C655" s="12" t="s">
        <v>40</v>
      </c>
      <c r="D655" s="12" t="n">
        <v>3</v>
      </c>
      <c r="E655" s="12" t="s">
        <v>41</v>
      </c>
      <c r="F655" s="12" t="s">
        <v>45</v>
      </c>
      <c r="G655" s="12" t="s">
        <v>45</v>
      </c>
      <c r="H655" s="12" t="n">
        <v>8086</v>
      </c>
      <c r="I655" s="12" t="n">
        <v>36</v>
      </c>
      <c r="J655" s="12" t="s">
        <v>23</v>
      </c>
    </row>
    <row r="656" customFormat="false" ht="15" hidden="false" customHeight="true" outlineLevel="0" collapsed="false">
      <c r="A656" s="12" t="n">
        <v>655</v>
      </c>
      <c r="B656" s="12" t="n">
        <v>35</v>
      </c>
      <c r="C656" s="12" t="s">
        <v>40</v>
      </c>
      <c r="D656" s="12" t="n">
        <v>2</v>
      </c>
      <c r="E656" s="12" t="s">
        <v>41</v>
      </c>
      <c r="F656" s="12" t="s">
        <v>43</v>
      </c>
      <c r="G656" s="12" t="s">
        <v>42</v>
      </c>
      <c r="H656" s="12" t="n">
        <v>2346</v>
      </c>
      <c r="I656" s="12" t="n">
        <v>24</v>
      </c>
      <c r="J656" s="12" t="s">
        <v>23</v>
      </c>
    </row>
    <row r="657" customFormat="false" ht="15" hidden="false" customHeight="true" outlineLevel="0" collapsed="false">
      <c r="A657" s="12" t="n">
        <v>656</v>
      </c>
      <c r="B657" s="12" t="n">
        <v>22</v>
      </c>
      <c r="C657" s="12" t="s">
        <v>40</v>
      </c>
      <c r="D657" s="12" t="n">
        <v>2</v>
      </c>
      <c r="E657" s="12" t="s">
        <v>46</v>
      </c>
      <c r="F657" s="12" t="s">
        <v>43</v>
      </c>
      <c r="G657" s="12" t="s">
        <v>43</v>
      </c>
      <c r="H657" s="12" t="n">
        <v>3973</v>
      </c>
      <c r="I657" s="12" t="n">
        <v>14</v>
      </c>
      <c r="J657" s="12" t="s">
        <v>23</v>
      </c>
    </row>
    <row r="658" customFormat="false" ht="15" hidden="false" customHeight="true" outlineLevel="0" collapsed="false">
      <c r="A658" s="12" t="n">
        <v>657</v>
      </c>
      <c r="B658" s="12" t="n">
        <v>41</v>
      </c>
      <c r="C658" s="12" t="s">
        <v>40</v>
      </c>
      <c r="D658" s="12" t="n">
        <v>1</v>
      </c>
      <c r="E658" s="12" t="s">
        <v>41</v>
      </c>
      <c r="F658" s="12" t="s">
        <v>43</v>
      </c>
      <c r="G658" s="12" t="s">
        <v>45</v>
      </c>
      <c r="H658" s="12" t="n">
        <v>888</v>
      </c>
      <c r="I658" s="12" t="n">
        <v>12</v>
      </c>
      <c r="J658" s="12" t="s">
        <v>23</v>
      </c>
    </row>
    <row r="659" customFormat="false" ht="15" hidden="false" customHeight="true" outlineLevel="0" collapsed="false">
      <c r="A659" s="12" t="n">
        <v>658</v>
      </c>
      <c r="B659" s="12" t="n">
        <v>37</v>
      </c>
      <c r="C659" s="12" t="s">
        <v>40</v>
      </c>
      <c r="D659" s="12" t="n">
        <v>2</v>
      </c>
      <c r="E659" s="12" t="s">
        <v>41</v>
      </c>
      <c r="F659" s="12" t="s">
        <v>42</v>
      </c>
      <c r="G659" s="12" t="s">
        <v>42</v>
      </c>
      <c r="H659" s="12" t="n">
        <v>10222</v>
      </c>
      <c r="I659" s="12" t="n">
        <v>48</v>
      </c>
      <c r="J659" s="12" t="s">
        <v>24</v>
      </c>
    </row>
    <row r="660" customFormat="false" ht="15" hidden="false" customHeight="true" outlineLevel="0" collapsed="false">
      <c r="A660" s="12" t="n">
        <v>659</v>
      </c>
      <c r="B660" s="12" t="n">
        <v>28</v>
      </c>
      <c r="C660" s="12" t="s">
        <v>44</v>
      </c>
      <c r="D660" s="12" t="n">
        <v>2</v>
      </c>
      <c r="E660" s="12" t="s">
        <v>41</v>
      </c>
      <c r="F660" s="12" t="s">
        <v>43</v>
      </c>
      <c r="G660" s="12" t="s">
        <v>45</v>
      </c>
      <c r="H660" s="12" t="n">
        <v>4221</v>
      </c>
      <c r="I660" s="12" t="n">
        <v>30</v>
      </c>
      <c r="J660" s="12" t="s">
        <v>26</v>
      </c>
    </row>
    <row r="661" customFormat="false" ht="15" hidden="false" customHeight="true" outlineLevel="0" collapsed="false">
      <c r="A661" s="12" t="n">
        <v>660</v>
      </c>
      <c r="B661" s="12" t="n">
        <v>41</v>
      </c>
      <c r="C661" s="12" t="s">
        <v>40</v>
      </c>
      <c r="D661" s="12" t="n">
        <v>2</v>
      </c>
      <c r="E661" s="12" t="s">
        <v>41</v>
      </c>
      <c r="F661" s="12" t="s">
        <v>43</v>
      </c>
      <c r="G661" s="12" t="s">
        <v>45</v>
      </c>
      <c r="H661" s="12" t="n">
        <v>6361</v>
      </c>
      <c r="I661" s="12" t="n">
        <v>18</v>
      </c>
      <c r="J661" s="12" t="s">
        <v>25</v>
      </c>
    </row>
    <row r="662" customFormat="false" ht="15" hidden="false" customHeight="true" outlineLevel="0" collapsed="false">
      <c r="A662" s="12" t="n">
        <v>661</v>
      </c>
      <c r="B662" s="12" t="n">
        <v>23</v>
      </c>
      <c r="C662" s="12" t="s">
        <v>40</v>
      </c>
      <c r="D662" s="12" t="n">
        <v>2</v>
      </c>
      <c r="E662" s="12" t="s">
        <v>48</v>
      </c>
      <c r="F662" s="12" t="s">
        <v>43</v>
      </c>
      <c r="G662" s="12" t="s">
        <v>49</v>
      </c>
      <c r="H662" s="12" t="n">
        <v>1297</v>
      </c>
      <c r="I662" s="12" t="n">
        <v>12</v>
      </c>
      <c r="J662" s="12" t="s">
        <v>24</v>
      </c>
    </row>
    <row r="663" customFormat="false" ht="15" hidden="false" customHeight="true" outlineLevel="0" collapsed="false">
      <c r="A663" s="12" t="n">
        <v>662</v>
      </c>
      <c r="B663" s="12" t="n">
        <v>23</v>
      </c>
      <c r="C663" s="12" t="s">
        <v>40</v>
      </c>
      <c r="D663" s="12" t="n">
        <v>2</v>
      </c>
      <c r="E663" s="12" t="s">
        <v>41</v>
      </c>
      <c r="F663" s="12" t="s">
        <v>42</v>
      </c>
      <c r="G663" s="12" t="s">
        <v>43</v>
      </c>
      <c r="H663" s="12" t="n">
        <v>900</v>
      </c>
      <c r="I663" s="12" t="n">
        <v>12</v>
      </c>
      <c r="J663" s="12" t="s">
        <v>23</v>
      </c>
    </row>
    <row r="664" customFormat="false" ht="15" hidden="false" customHeight="true" outlineLevel="0" collapsed="false">
      <c r="A664" s="12" t="n">
        <v>663</v>
      </c>
      <c r="B664" s="12" t="n">
        <v>50</v>
      </c>
      <c r="C664" s="12" t="s">
        <v>40</v>
      </c>
      <c r="D664" s="12" t="n">
        <v>2</v>
      </c>
      <c r="E664" s="12" t="s">
        <v>41</v>
      </c>
      <c r="F664" s="12" t="s">
        <v>43</v>
      </c>
      <c r="G664" s="12" t="s">
        <v>42</v>
      </c>
      <c r="H664" s="12" t="n">
        <v>2241</v>
      </c>
      <c r="I664" s="12" t="n">
        <v>21</v>
      </c>
      <c r="J664" s="12" t="s">
        <v>25</v>
      </c>
    </row>
    <row r="665" customFormat="false" ht="15" hidden="false" customHeight="true" outlineLevel="0" collapsed="false">
      <c r="A665" s="12" t="n">
        <v>664</v>
      </c>
      <c r="B665" s="12" t="n">
        <v>35</v>
      </c>
      <c r="C665" s="12" t="s">
        <v>40</v>
      </c>
      <c r="D665" s="12" t="n">
        <v>3</v>
      </c>
      <c r="E665" s="12" t="s">
        <v>41</v>
      </c>
      <c r="F665" s="12" t="s">
        <v>43</v>
      </c>
      <c r="G665" s="12" t="s">
        <v>45</v>
      </c>
      <c r="H665" s="12" t="n">
        <v>1050</v>
      </c>
      <c r="I665" s="12" t="n">
        <v>6</v>
      </c>
      <c r="J665" s="12" t="s">
        <v>25</v>
      </c>
    </row>
    <row r="666" customFormat="false" ht="15" hidden="false" customHeight="true" outlineLevel="0" collapsed="false">
      <c r="A666" s="12" t="n">
        <v>665</v>
      </c>
      <c r="B666" s="12" t="n">
        <v>50</v>
      </c>
      <c r="C666" s="12" t="s">
        <v>44</v>
      </c>
      <c r="D666" s="12" t="n">
        <v>1</v>
      </c>
      <c r="E666" s="12" t="s">
        <v>41</v>
      </c>
      <c r="F666" s="12" t="s">
        <v>43</v>
      </c>
      <c r="G666" s="12" t="s">
        <v>49</v>
      </c>
      <c r="H666" s="12" t="n">
        <v>1047</v>
      </c>
      <c r="I666" s="12" t="n">
        <v>6</v>
      </c>
      <c r="J666" s="12" t="s">
        <v>27</v>
      </c>
    </row>
    <row r="667" customFormat="false" ht="15" hidden="false" customHeight="true" outlineLevel="0" collapsed="false">
      <c r="A667" s="12" t="n">
        <v>666</v>
      </c>
      <c r="B667" s="12" t="n">
        <v>27</v>
      </c>
      <c r="C667" s="12" t="s">
        <v>40</v>
      </c>
      <c r="D667" s="12" t="n">
        <v>3</v>
      </c>
      <c r="E667" s="12" t="s">
        <v>41</v>
      </c>
      <c r="F667" s="12" t="s">
        <v>43</v>
      </c>
      <c r="G667" s="12" t="s">
        <v>42</v>
      </c>
      <c r="H667" s="12" t="n">
        <v>6314</v>
      </c>
      <c r="I667" s="12" t="n">
        <v>24</v>
      </c>
      <c r="J667" s="12" t="s">
        <v>30</v>
      </c>
    </row>
    <row r="668" customFormat="false" ht="15" hidden="false" customHeight="true" outlineLevel="0" collapsed="false">
      <c r="A668" s="12" t="n">
        <v>667</v>
      </c>
      <c r="B668" s="12" t="n">
        <v>34</v>
      </c>
      <c r="C668" s="12" t="s">
        <v>40</v>
      </c>
      <c r="D668" s="12" t="n">
        <v>2</v>
      </c>
      <c r="E668" s="12" t="s">
        <v>41</v>
      </c>
      <c r="F668" s="12" t="s">
        <v>49</v>
      </c>
      <c r="G668" s="12" t="s">
        <v>45</v>
      </c>
      <c r="H668" s="12" t="n">
        <v>3496</v>
      </c>
      <c r="I668" s="12" t="n">
        <v>30</v>
      </c>
      <c r="J668" s="12" t="s">
        <v>25</v>
      </c>
    </row>
    <row r="669" customFormat="false" ht="15" hidden="false" customHeight="true" outlineLevel="0" collapsed="false">
      <c r="A669" s="12" t="n">
        <v>668</v>
      </c>
      <c r="B669" s="12" t="n">
        <v>27</v>
      </c>
      <c r="C669" s="12" t="s">
        <v>44</v>
      </c>
      <c r="D669" s="12" t="n">
        <v>2</v>
      </c>
      <c r="E669" s="12" t="s">
        <v>41</v>
      </c>
      <c r="F669" s="12" t="s">
        <v>43</v>
      </c>
      <c r="G669" s="12" t="s">
        <v>42</v>
      </c>
      <c r="H669" s="12" t="n">
        <v>3609</v>
      </c>
      <c r="I669" s="12" t="n">
        <v>48</v>
      </c>
      <c r="J669" s="12" t="s">
        <v>26</v>
      </c>
    </row>
    <row r="670" customFormat="false" ht="15" hidden="false" customHeight="true" outlineLevel="0" collapsed="false">
      <c r="A670" s="12" t="n">
        <v>669</v>
      </c>
      <c r="B670" s="12" t="n">
        <v>43</v>
      </c>
      <c r="C670" s="12" t="s">
        <v>40</v>
      </c>
      <c r="D670" s="12" t="n">
        <v>2</v>
      </c>
      <c r="E670" s="12" t="s">
        <v>48</v>
      </c>
      <c r="F670" s="12" t="s">
        <v>43</v>
      </c>
      <c r="G670" s="12" t="s">
        <v>43</v>
      </c>
      <c r="H670" s="12" t="n">
        <v>4843</v>
      </c>
      <c r="I670" s="12" t="n">
        <v>12</v>
      </c>
      <c r="J670" s="12" t="s">
        <v>23</v>
      </c>
    </row>
    <row r="671" customFormat="false" ht="15" hidden="false" customHeight="true" outlineLevel="0" collapsed="false">
      <c r="A671" s="12" t="n">
        <v>670</v>
      </c>
      <c r="B671" s="12" t="n">
        <v>47</v>
      </c>
      <c r="C671" s="12" t="s">
        <v>40</v>
      </c>
      <c r="D671" s="12" t="n">
        <v>2</v>
      </c>
      <c r="E671" s="12" t="s">
        <v>41</v>
      </c>
      <c r="F671" s="12" t="s">
        <v>43</v>
      </c>
      <c r="G671" s="12" t="s">
        <v>49</v>
      </c>
      <c r="H671" s="12" t="n">
        <v>3017</v>
      </c>
      <c r="I671" s="12" t="n">
        <v>30</v>
      </c>
      <c r="J671" s="12" t="s">
        <v>24</v>
      </c>
    </row>
    <row r="672" customFormat="false" ht="15" hidden="false" customHeight="true" outlineLevel="0" collapsed="false">
      <c r="A672" s="12" t="n">
        <v>671</v>
      </c>
      <c r="B672" s="12" t="n">
        <v>27</v>
      </c>
      <c r="C672" s="12" t="s">
        <v>40</v>
      </c>
      <c r="D672" s="12" t="n">
        <v>1</v>
      </c>
      <c r="E672" s="12" t="s">
        <v>41</v>
      </c>
      <c r="F672" s="12" t="s">
        <v>45</v>
      </c>
      <c r="G672" s="12" t="s">
        <v>42</v>
      </c>
      <c r="H672" s="12" t="n">
        <v>4139</v>
      </c>
      <c r="I672" s="12" t="n">
        <v>24</v>
      </c>
      <c r="J672" s="12" t="s">
        <v>26</v>
      </c>
    </row>
    <row r="673" customFormat="false" ht="15" hidden="false" customHeight="true" outlineLevel="0" collapsed="false">
      <c r="A673" s="12" t="n">
        <v>672</v>
      </c>
      <c r="B673" s="12" t="n">
        <v>31</v>
      </c>
      <c r="C673" s="12" t="s">
        <v>40</v>
      </c>
      <c r="D673" s="12" t="n">
        <v>2</v>
      </c>
      <c r="E673" s="12" t="s">
        <v>41</v>
      </c>
      <c r="F673" s="12" t="s">
        <v>45</v>
      </c>
      <c r="G673" s="12" t="s">
        <v>42</v>
      </c>
      <c r="H673" s="12" t="n">
        <v>5742</v>
      </c>
      <c r="I673" s="12" t="n">
        <v>36</v>
      </c>
      <c r="J673" s="12" t="s">
        <v>26</v>
      </c>
    </row>
    <row r="674" customFormat="false" ht="15" hidden="false" customHeight="true" outlineLevel="0" collapsed="false">
      <c r="A674" s="12" t="n">
        <v>673</v>
      </c>
      <c r="B674" s="12" t="n">
        <v>42</v>
      </c>
      <c r="C674" s="12" t="s">
        <v>40</v>
      </c>
      <c r="D674" s="12" t="n">
        <v>3</v>
      </c>
      <c r="E674" s="12" t="s">
        <v>41</v>
      </c>
      <c r="F674" s="12" t="s">
        <v>43</v>
      </c>
      <c r="G674" s="12" t="s">
        <v>42</v>
      </c>
      <c r="H674" s="12" t="n">
        <v>10366</v>
      </c>
      <c r="I674" s="12" t="n">
        <v>60</v>
      </c>
      <c r="J674" s="12" t="s">
        <v>23</v>
      </c>
    </row>
    <row r="675" customFormat="false" ht="15" hidden="false" customHeight="true" outlineLevel="0" collapsed="false">
      <c r="A675" s="12" t="n">
        <v>674</v>
      </c>
      <c r="B675" s="12" t="n">
        <v>24</v>
      </c>
      <c r="C675" s="12" t="s">
        <v>40</v>
      </c>
      <c r="D675" s="12" t="n">
        <v>2</v>
      </c>
      <c r="E675" s="12" t="s">
        <v>41</v>
      </c>
      <c r="F675" s="12" t="s">
        <v>47</v>
      </c>
      <c r="G675" s="12" t="s">
        <v>42</v>
      </c>
      <c r="H675" s="12" t="n">
        <v>2080</v>
      </c>
      <c r="I675" s="12" t="n">
        <v>6</v>
      </c>
      <c r="J675" s="12" t="s">
        <v>23</v>
      </c>
    </row>
    <row r="676" customFormat="false" ht="15" hidden="false" customHeight="true" outlineLevel="0" collapsed="false">
      <c r="A676" s="12" t="n">
        <v>675</v>
      </c>
      <c r="B676" s="12" t="n">
        <v>41</v>
      </c>
      <c r="C676" s="12" t="s">
        <v>40</v>
      </c>
      <c r="D676" s="12" t="n">
        <v>1</v>
      </c>
      <c r="E676" s="12" t="s">
        <v>41</v>
      </c>
      <c r="F676" s="12" t="s">
        <v>47</v>
      </c>
      <c r="G676" s="12" t="s">
        <v>42</v>
      </c>
      <c r="H676" s="12" t="n">
        <v>2580</v>
      </c>
      <c r="I676" s="12" t="n">
        <v>21</v>
      </c>
      <c r="J676" s="12" t="s">
        <v>26</v>
      </c>
    </row>
    <row r="677" customFormat="false" ht="15" hidden="false" customHeight="true" outlineLevel="0" collapsed="false">
      <c r="A677" s="12" t="n">
        <v>676</v>
      </c>
      <c r="B677" s="12" t="n">
        <v>26</v>
      </c>
      <c r="C677" s="12" t="s">
        <v>44</v>
      </c>
      <c r="D677" s="12" t="n">
        <v>3</v>
      </c>
      <c r="E677" s="12" t="s">
        <v>48</v>
      </c>
      <c r="F677" s="12" t="s">
        <v>43</v>
      </c>
      <c r="G677" s="12" t="s">
        <v>42</v>
      </c>
      <c r="H677" s="12" t="n">
        <v>4530</v>
      </c>
      <c r="I677" s="12" t="n">
        <v>30</v>
      </c>
      <c r="J677" s="12" t="s">
        <v>24</v>
      </c>
    </row>
    <row r="678" customFormat="false" ht="15" hidden="false" customHeight="true" outlineLevel="0" collapsed="false">
      <c r="A678" s="12" t="n">
        <v>677</v>
      </c>
      <c r="B678" s="12" t="n">
        <v>33</v>
      </c>
      <c r="C678" s="12" t="s">
        <v>40</v>
      </c>
      <c r="D678" s="12" t="n">
        <v>2</v>
      </c>
      <c r="E678" s="12" t="s">
        <v>41</v>
      </c>
      <c r="F678" s="12" t="s">
        <v>43</v>
      </c>
      <c r="G678" s="12" t="s">
        <v>42</v>
      </c>
      <c r="H678" s="12" t="n">
        <v>5150</v>
      </c>
      <c r="I678" s="12" t="n">
        <v>24</v>
      </c>
      <c r="J678" s="12" t="s">
        <v>25</v>
      </c>
    </row>
    <row r="679" customFormat="false" ht="15" hidden="false" customHeight="true" outlineLevel="0" collapsed="false">
      <c r="A679" s="12" t="n">
        <v>678</v>
      </c>
      <c r="B679" s="12" t="n">
        <v>24</v>
      </c>
      <c r="C679" s="12" t="s">
        <v>40</v>
      </c>
      <c r="D679" s="12" t="n">
        <v>2</v>
      </c>
      <c r="E679" s="12" t="s">
        <v>41</v>
      </c>
      <c r="F679" s="12" t="s">
        <v>45</v>
      </c>
      <c r="G679" s="12" t="s">
        <v>45</v>
      </c>
      <c r="H679" s="12" t="n">
        <v>5595</v>
      </c>
      <c r="I679" s="12" t="n">
        <v>72</v>
      </c>
      <c r="J679" s="12" t="s">
        <v>24</v>
      </c>
    </row>
    <row r="680" customFormat="false" ht="15" hidden="false" customHeight="true" outlineLevel="0" collapsed="false">
      <c r="A680" s="12" t="n">
        <v>679</v>
      </c>
      <c r="B680" s="12" t="n">
        <v>64</v>
      </c>
      <c r="C680" s="12" t="s">
        <v>40</v>
      </c>
      <c r="D680" s="12" t="n">
        <v>1</v>
      </c>
      <c r="E680" s="12" t="s">
        <v>48</v>
      </c>
      <c r="F680" s="12" t="s">
        <v>43</v>
      </c>
      <c r="G680" s="12" t="s">
        <v>43</v>
      </c>
      <c r="H680" s="12" t="n">
        <v>2384</v>
      </c>
      <c r="I680" s="12" t="n">
        <v>24</v>
      </c>
      <c r="J680" s="12" t="s">
        <v>24</v>
      </c>
    </row>
    <row r="681" customFormat="false" ht="15" hidden="false" customHeight="true" outlineLevel="0" collapsed="false">
      <c r="A681" s="12" t="n">
        <v>680</v>
      </c>
      <c r="B681" s="12" t="n">
        <v>26</v>
      </c>
      <c r="C681" s="12" t="s">
        <v>44</v>
      </c>
      <c r="D681" s="12" t="n">
        <v>2</v>
      </c>
      <c r="E681" s="12" t="s">
        <v>41</v>
      </c>
      <c r="F681" s="12" t="s">
        <v>43</v>
      </c>
      <c r="G681" s="12" t="s">
        <v>42</v>
      </c>
      <c r="H681" s="12" t="n">
        <v>1453</v>
      </c>
      <c r="I681" s="12" t="n">
        <v>18</v>
      </c>
      <c r="J681" s="12" t="s">
        <v>24</v>
      </c>
    </row>
    <row r="682" customFormat="false" ht="15" hidden="false" customHeight="true" outlineLevel="0" collapsed="false">
      <c r="A682" s="12" t="n">
        <v>681</v>
      </c>
      <c r="B682" s="12" t="n">
        <v>56</v>
      </c>
      <c r="C682" s="12" t="s">
        <v>44</v>
      </c>
      <c r="D682" s="12" t="n">
        <v>2</v>
      </c>
      <c r="E682" s="12" t="s">
        <v>41</v>
      </c>
      <c r="F682" s="12" t="s">
        <v>43</v>
      </c>
      <c r="G682" s="12" t="s">
        <v>42</v>
      </c>
      <c r="H682" s="12" t="n">
        <v>1538</v>
      </c>
      <c r="I682" s="12" t="n">
        <v>6</v>
      </c>
      <c r="J682" s="12" t="s">
        <v>27</v>
      </c>
    </row>
    <row r="683" customFormat="false" ht="15" hidden="false" customHeight="true" outlineLevel="0" collapsed="false">
      <c r="A683" s="12" t="n">
        <v>682</v>
      </c>
      <c r="B683" s="12" t="n">
        <v>37</v>
      </c>
      <c r="C683" s="12" t="s">
        <v>40</v>
      </c>
      <c r="D683" s="12" t="n">
        <v>2</v>
      </c>
      <c r="E683" s="12" t="s">
        <v>46</v>
      </c>
      <c r="F683" s="12" t="s">
        <v>42</v>
      </c>
      <c r="G683" s="12" t="s">
        <v>42</v>
      </c>
      <c r="H683" s="12" t="n">
        <v>2279</v>
      </c>
      <c r="I683" s="12" t="n">
        <v>12</v>
      </c>
      <c r="J683" s="12" t="s">
        <v>24</v>
      </c>
    </row>
    <row r="684" customFormat="false" ht="15" hidden="false" customHeight="true" outlineLevel="0" collapsed="false">
      <c r="A684" s="12" t="n">
        <v>683</v>
      </c>
      <c r="B684" s="12" t="n">
        <v>33</v>
      </c>
      <c r="C684" s="12" t="s">
        <v>40</v>
      </c>
      <c r="D684" s="12" t="n">
        <v>2</v>
      </c>
      <c r="E684" s="12" t="s">
        <v>41</v>
      </c>
      <c r="F684" s="12" t="s">
        <v>43</v>
      </c>
      <c r="G684" s="12" t="s">
        <v>42</v>
      </c>
      <c r="H684" s="12" t="n">
        <v>1478</v>
      </c>
      <c r="I684" s="12" t="n">
        <v>15</v>
      </c>
      <c r="J684" s="12" t="s">
        <v>24</v>
      </c>
    </row>
    <row r="685" customFormat="false" ht="15" hidden="false" customHeight="true" outlineLevel="0" collapsed="false">
      <c r="A685" s="12" t="n">
        <v>684</v>
      </c>
      <c r="B685" s="12" t="n">
        <v>47</v>
      </c>
      <c r="C685" s="12" t="s">
        <v>40</v>
      </c>
      <c r="D685" s="12" t="n">
        <v>2</v>
      </c>
      <c r="E685" s="12" t="s">
        <v>46</v>
      </c>
      <c r="F685" s="12" t="s">
        <v>43</v>
      </c>
      <c r="G685" s="12" t="s">
        <v>42</v>
      </c>
      <c r="H685" s="12" t="n">
        <v>5103</v>
      </c>
      <c r="I685" s="12" t="n">
        <v>24</v>
      </c>
      <c r="J685" s="12" t="s">
        <v>24</v>
      </c>
    </row>
    <row r="686" customFormat="false" ht="15" hidden="false" customHeight="true" outlineLevel="0" collapsed="false">
      <c r="A686" s="12" t="n">
        <v>685</v>
      </c>
      <c r="B686" s="12" t="n">
        <v>31</v>
      </c>
      <c r="C686" s="12" t="s">
        <v>40</v>
      </c>
      <c r="D686" s="12" t="n">
        <v>1</v>
      </c>
      <c r="E686" s="12" t="s">
        <v>41</v>
      </c>
      <c r="F686" s="12" t="s">
        <v>45</v>
      </c>
      <c r="G686" s="12" t="s">
        <v>45</v>
      </c>
      <c r="H686" s="12" t="n">
        <v>9857</v>
      </c>
      <c r="I686" s="12" t="n">
        <v>36</v>
      </c>
      <c r="J686" s="12" t="s">
        <v>26</v>
      </c>
    </row>
    <row r="687" customFormat="false" ht="15" hidden="false" customHeight="true" outlineLevel="0" collapsed="false">
      <c r="A687" s="12" t="n">
        <v>686</v>
      </c>
      <c r="B687" s="12" t="n">
        <v>34</v>
      </c>
      <c r="C687" s="12" t="s">
        <v>40</v>
      </c>
      <c r="D687" s="12" t="n">
        <v>2</v>
      </c>
      <c r="E687" s="12" t="s">
        <v>46</v>
      </c>
      <c r="F687" s="12" t="s">
        <v>42</v>
      </c>
      <c r="G687" s="12" t="s">
        <v>42</v>
      </c>
      <c r="H687" s="12" t="n">
        <v>6527</v>
      </c>
      <c r="I687" s="12" t="n">
        <v>60</v>
      </c>
      <c r="J687" s="12" t="s">
        <v>23</v>
      </c>
    </row>
    <row r="688" customFormat="false" ht="15" hidden="false" customHeight="true" outlineLevel="0" collapsed="false">
      <c r="A688" s="12" t="n">
        <v>687</v>
      </c>
      <c r="B688" s="12" t="n">
        <v>27</v>
      </c>
      <c r="C688" s="12" t="s">
        <v>40</v>
      </c>
      <c r="D688" s="12" t="n">
        <v>2</v>
      </c>
      <c r="E688" s="12" t="s">
        <v>41</v>
      </c>
      <c r="F688" s="12" t="s">
        <v>42</v>
      </c>
      <c r="G688" s="12" t="s">
        <v>49</v>
      </c>
      <c r="H688" s="12" t="n">
        <v>1347</v>
      </c>
      <c r="I688" s="12" t="n">
        <v>10</v>
      </c>
      <c r="J688" s="12" t="s">
        <v>24</v>
      </c>
    </row>
    <row r="689" customFormat="false" ht="15" hidden="false" customHeight="true" outlineLevel="0" collapsed="false">
      <c r="A689" s="12" t="n">
        <v>688</v>
      </c>
      <c r="B689" s="12" t="n">
        <v>30</v>
      </c>
      <c r="C689" s="12" t="s">
        <v>40</v>
      </c>
      <c r="D689" s="12" t="n">
        <v>2</v>
      </c>
      <c r="E689" s="12" t="s">
        <v>46</v>
      </c>
      <c r="F689" s="12" t="s">
        <v>45</v>
      </c>
      <c r="G689" s="12" t="s">
        <v>45</v>
      </c>
      <c r="H689" s="12" t="n">
        <v>2862</v>
      </c>
      <c r="I689" s="12" t="n">
        <v>36</v>
      </c>
      <c r="J689" s="12" t="s">
        <v>23</v>
      </c>
    </row>
    <row r="690" customFormat="false" ht="15" hidden="false" customHeight="true" outlineLevel="0" collapsed="false">
      <c r="A690" s="12" t="n">
        <v>689</v>
      </c>
      <c r="B690" s="12" t="n">
        <v>35</v>
      </c>
      <c r="C690" s="12" t="s">
        <v>40</v>
      </c>
      <c r="D690" s="12" t="n">
        <v>2</v>
      </c>
      <c r="E690" s="12" t="s">
        <v>41</v>
      </c>
      <c r="F690" s="12" t="s">
        <v>45</v>
      </c>
      <c r="G690" s="12" t="s">
        <v>42</v>
      </c>
      <c r="H690" s="12" t="n">
        <v>2753</v>
      </c>
      <c r="I690" s="12" t="n">
        <v>9</v>
      </c>
      <c r="J690" s="12" t="s">
        <v>24</v>
      </c>
    </row>
    <row r="691" customFormat="false" ht="15" hidden="false" customHeight="true" outlineLevel="0" collapsed="false">
      <c r="A691" s="12" t="n">
        <v>690</v>
      </c>
      <c r="B691" s="12" t="n">
        <v>31</v>
      </c>
      <c r="C691" s="12" t="s">
        <v>40</v>
      </c>
      <c r="D691" s="12" t="n">
        <v>2</v>
      </c>
      <c r="E691" s="12" t="s">
        <v>41</v>
      </c>
      <c r="F691" s="12" t="s">
        <v>49</v>
      </c>
      <c r="G691" s="12" t="s">
        <v>43</v>
      </c>
      <c r="H691" s="12" t="n">
        <v>3651</v>
      </c>
      <c r="I691" s="12" t="n">
        <v>12</v>
      </c>
      <c r="J691" s="12" t="s">
        <v>23</v>
      </c>
    </row>
    <row r="692" customFormat="false" ht="15" hidden="false" customHeight="true" outlineLevel="0" collapsed="false">
      <c r="A692" s="12" t="n">
        <v>691</v>
      </c>
      <c r="B692" s="12" t="n">
        <v>25</v>
      </c>
      <c r="C692" s="12" t="s">
        <v>40</v>
      </c>
      <c r="D692" s="12" t="n">
        <v>2</v>
      </c>
      <c r="E692" s="12" t="s">
        <v>41</v>
      </c>
      <c r="F692" s="12" t="s">
        <v>43</v>
      </c>
      <c r="G692" s="12" t="s">
        <v>43</v>
      </c>
      <c r="H692" s="12" t="n">
        <v>975</v>
      </c>
      <c r="I692" s="12" t="n">
        <v>15</v>
      </c>
      <c r="J692" s="12" t="s">
        <v>25</v>
      </c>
    </row>
    <row r="693" customFormat="false" ht="15" hidden="false" customHeight="true" outlineLevel="0" collapsed="false">
      <c r="A693" s="12" t="n">
        <v>692</v>
      </c>
      <c r="B693" s="12" t="n">
        <v>25</v>
      </c>
      <c r="C693" s="12" t="s">
        <v>44</v>
      </c>
      <c r="D693" s="12" t="n">
        <v>1</v>
      </c>
      <c r="E693" s="12" t="s">
        <v>41</v>
      </c>
      <c r="F693" s="12" t="s">
        <v>45</v>
      </c>
      <c r="G693" s="12" t="s">
        <v>45</v>
      </c>
      <c r="H693" s="12" t="n">
        <v>2631</v>
      </c>
      <c r="I693" s="12" t="n">
        <v>15</v>
      </c>
      <c r="J693" s="12" t="s">
        <v>28</v>
      </c>
    </row>
    <row r="694" customFormat="false" ht="15" hidden="false" customHeight="true" outlineLevel="0" collapsed="false">
      <c r="A694" s="12" t="n">
        <v>693</v>
      </c>
      <c r="B694" s="12" t="n">
        <v>29</v>
      </c>
      <c r="C694" s="12" t="s">
        <v>40</v>
      </c>
      <c r="D694" s="12" t="n">
        <v>2</v>
      </c>
      <c r="E694" s="12" t="s">
        <v>41</v>
      </c>
      <c r="F694" s="12" t="s">
        <v>45</v>
      </c>
      <c r="G694" s="12" t="s">
        <v>45</v>
      </c>
      <c r="H694" s="12" t="n">
        <v>2896</v>
      </c>
      <c r="I694" s="12" t="n">
        <v>24</v>
      </c>
      <c r="J694" s="12" t="s">
        <v>24</v>
      </c>
    </row>
    <row r="695" customFormat="false" ht="15" hidden="false" customHeight="true" outlineLevel="0" collapsed="false">
      <c r="A695" s="12" t="n">
        <v>694</v>
      </c>
      <c r="B695" s="12" t="n">
        <v>44</v>
      </c>
      <c r="C695" s="12" t="s">
        <v>40</v>
      </c>
      <c r="D695" s="12" t="n">
        <v>1</v>
      </c>
      <c r="E695" s="12" t="s">
        <v>41</v>
      </c>
      <c r="F695" s="12" t="s">
        <v>42</v>
      </c>
      <c r="G695" s="12" t="s">
        <v>43</v>
      </c>
      <c r="H695" s="12" t="n">
        <v>4716</v>
      </c>
      <c r="I695" s="12" t="n">
        <v>6</v>
      </c>
      <c r="J695" s="12" t="s">
        <v>23</v>
      </c>
    </row>
    <row r="696" customFormat="false" ht="15" hidden="false" customHeight="true" outlineLevel="0" collapsed="false">
      <c r="A696" s="12" t="n">
        <v>695</v>
      </c>
      <c r="B696" s="12" t="n">
        <v>28</v>
      </c>
      <c r="C696" s="12" t="s">
        <v>40</v>
      </c>
      <c r="D696" s="12" t="n">
        <v>2</v>
      </c>
      <c r="E696" s="12" t="s">
        <v>41</v>
      </c>
      <c r="F696" s="12" t="s">
        <v>43</v>
      </c>
      <c r="G696" s="12" t="s">
        <v>42</v>
      </c>
      <c r="H696" s="12" t="n">
        <v>2284</v>
      </c>
      <c r="I696" s="12" t="n">
        <v>24</v>
      </c>
      <c r="J696" s="12" t="s">
        <v>24</v>
      </c>
    </row>
    <row r="697" customFormat="false" ht="15" hidden="false" customHeight="true" outlineLevel="0" collapsed="false">
      <c r="A697" s="12" t="n">
        <v>696</v>
      </c>
      <c r="B697" s="12" t="n">
        <v>50</v>
      </c>
      <c r="C697" s="12" t="s">
        <v>40</v>
      </c>
      <c r="D697" s="12" t="n">
        <v>2</v>
      </c>
      <c r="E697" s="12" t="s">
        <v>48</v>
      </c>
      <c r="F697" s="12" t="s">
        <v>47</v>
      </c>
      <c r="G697" s="12" t="s">
        <v>42</v>
      </c>
      <c r="H697" s="12" t="n">
        <v>1236</v>
      </c>
      <c r="I697" s="12" t="n">
        <v>6</v>
      </c>
      <c r="J697" s="12" t="s">
        <v>23</v>
      </c>
    </row>
    <row r="698" customFormat="false" ht="15" hidden="false" customHeight="true" outlineLevel="0" collapsed="false">
      <c r="A698" s="12" t="n">
        <v>697</v>
      </c>
      <c r="B698" s="12" t="n">
        <v>29</v>
      </c>
      <c r="C698" s="12" t="s">
        <v>40</v>
      </c>
      <c r="D698" s="12" t="n">
        <v>2</v>
      </c>
      <c r="E698" s="12" t="s">
        <v>41</v>
      </c>
      <c r="F698" s="12" t="s">
        <v>43</v>
      </c>
      <c r="G698" s="12" t="s">
        <v>45</v>
      </c>
      <c r="H698" s="12" t="n">
        <v>1103</v>
      </c>
      <c r="I698" s="12" t="n">
        <v>12</v>
      </c>
      <c r="J698" s="12" t="s">
        <v>24</v>
      </c>
    </row>
    <row r="699" customFormat="false" ht="15" hidden="false" customHeight="true" outlineLevel="0" collapsed="false">
      <c r="A699" s="12" t="n">
        <v>698</v>
      </c>
      <c r="B699" s="12" t="n">
        <v>38</v>
      </c>
      <c r="C699" s="12" t="s">
        <v>44</v>
      </c>
      <c r="D699" s="12" t="n">
        <v>0</v>
      </c>
      <c r="E699" s="12" t="s">
        <v>41</v>
      </c>
      <c r="F699" s="12" t="s">
        <v>43</v>
      </c>
      <c r="G699" s="12" t="s">
        <v>42</v>
      </c>
      <c r="H699" s="12" t="n">
        <v>926</v>
      </c>
      <c r="I699" s="12" t="n">
        <v>12</v>
      </c>
      <c r="J699" s="12" t="s">
        <v>23</v>
      </c>
    </row>
    <row r="700" customFormat="false" ht="15" hidden="false" customHeight="true" outlineLevel="0" collapsed="false">
      <c r="A700" s="12" t="n">
        <v>699</v>
      </c>
      <c r="B700" s="12" t="n">
        <v>24</v>
      </c>
      <c r="C700" s="12" t="s">
        <v>40</v>
      </c>
      <c r="D700" s="12" t="n">
        <v>2</v>
      </c>
      <c r="E700" s="12" t="s">
        <v>41</v>
      </c>
      <c r="F700" s="12" t="s">
        <v>43</v>
      </c>
      <c r="G700" s="12" t="s">
        <v>42</v>
      </c>
      <c r="H700" s="12" t="n">
        <v>1800</v>
      </c>
      <c r="I700" s="12" t="n">
        <v>18</v>
      </c>
      <c r="J700" s="12" t="s">
        <v>24</v>
      </c>
    </row>
    <row r="701" customFormat="false" ht="15" hidden="false" customHeight="true" outlineLevel="0" collapsed="false">
      <c r="A701" s="12" t="n">
        <v>700</v>
      </c>
      <c r="B701" s="12" t="n">
        <v>40</v>
      </c>
      <c r="C701" s="12" t="s">
        <v>40</v>
      </c>
      <c r="D701" s="12" t="n">
        <v>3</v>
      </c>
      <c r="E701" s="12" t="s">
        <v>48</v>
      </c>
      <c r="F701" s="12" t="s">
        <v>43</v>
      </c>
      <c r="G701" s="12" t="s">
        <v>49</v>
      </c>
      <c r="H701" s="12" t="n">
        <v>1905</v>
      </c>
      <c r="I701" s="12" t="n">
        <v>15</v>
      </c>
      <c r="J701" s="12" t="s">
        <v>27</v>
      </c>
    </row>
    <row r="702" customFormat="false" ht="15" hidden="false" customHeight="true" outlineLevel="0" collapsed="false">
      <c r="A702" s="12" t="n">
        <v>701</v>
      </c>
      <c r="B702" s="12" t="n">
        <v>29</v>
      </c>
      <c r="C702" s="12" t="s">
        <v>44</v>
      </c>
      <c r="D702" s="12" t="n">
        <v>1</v>
      </c>
      <c r="E702" s="12" t="s">
        <v>48</v>
      </c>
      <c r="F702" s="12" t="s">
        <v>47</v>
      </c>
      <c r="G702" s="12" t="s">
        <v>42</v>
      </c>
      <c r="H702" s="12" t="n">
        <v>1123</v>
      </c>
      <c r="I702" s="12" t="n">
        <v>12</v>
      </c>
      <c r="J702" s="12" t="s">
        <v>25</v>
      </c>
    </row>
    <row r="703" customFormat="false" ht="15" hidden="false" customHeight="true" outlineLevel="0" collapsed="false">
      <c r="A703" s="12" t="n">
        <v>702</v>
      </c>
      <c r="B703" s="12" t="n">
        <v>46</v>
      </c>
      <c r="C703" s="12" t="s">
        <v>40</v>
      </c>
      <c r="D703" s="12" t="n">
        <v>2</v>
      </c>
      <c r="E703" s="12" t="s">
        <v>46</v>
      </c>
      <c r="F703" s="12" t="s">
        <v>43</v>
      </c>
      <c r="G703" s="12" t="s">
        <v>43</v>
      </c>
      <c r="H703" s="12" t="n">
        <v>6331</v>
      </c>
      <c r="I703" s="12" t="n">
        <v>48</v>
      </c>
      <c r="J703" s="12" t="s">
        <v>23</v>
      </c>
    </row>
    <row r="704" customFormat="false" ht="15" hidden="false" customHeight="true" outlineLevel="0" collapsed="false">
      <c r="A704" s="12" t="n">
        <v>703</v>
      </c>
      <c r="B704" s="12" t="n">
        <v>47</v>
      </c>
      <c r="C704" s="12" t="s">
        <v>44</v>
      </c>
      <c r="D704" s="12" t="n">
        <v>2</v>
      </c>
      <c r="E704" s="12" t="s">
        <v>46</v>
      </c>
      <c r="F704" s="12" t="s">
        <v>45</v>
      </c>
      <c r="G704" s="12" t="s">
        <v>49</v>
      </c>
      <c r="H704" s="12" t="n">
        <v>1377</v>
      </c>
      <c r="I704" s="12" t="n">
        <v>24</v>
      </c>
      <c r="J704" s="12" t="s">
        <v>24</v>
      </c>
    </row>
    <row r="705" customFormat="false" ht="15" hidden="false" customHeight="true" outlineLevel="0" collapsed="false">
      <c r="A705" s="12" t="n">
        <v>704</v>
      </c>
      <c r="B705" s="12" t="n">
        <v>41</v>
      </c>
      <c r="C705" s="12" t="s">
        <v>40</v>
      </c>
      <c r="D705" s="12" t="n">
        <v>2</v>
      </c>
      <c r="E705" s="12" t="s">
        <v>41</v>
      </c>
      <c r="F705" s="12" t="s">
        <v>45</v>
      </c>
      <c r="G705" s="12" t="s">
        <v>45</v>
      </c>
      <c r="H705" s="12" t="n">
        <v>2503</v>
      </c>
      <c r="I705" s="12" t="n">
        <v>30</v>
      </c>
      <c r="J705" s="12" t="s">
        <v>26</v>
      </c>
    </row>
    <row r="706" customFormat="false" ht="15" hidden="false" customHeight="true" outlineLevel="0" collapsed="false">
      <c r="A706" s="12" t="n">
        <v>705</v>
      </c>
      <c r="B706" s="12" t="n">
        <v>32</v>
      </c>
      <c r="C706" s="12" t="s">
        <v>44</v>
      </c>
      <c r="D706" s="12" t="n">
        <v>2</v>
      </c>
      <c r="E706" s="12" t="s">
        <v>41</v>
      </c>
      <c r="F706" s="12" t="s">
        <v>43</v>
      </c>
      <c r="G706" s="12" t="s">
        <v>45</v>
      </c>
      <c r="H706" s="12" t="n">
        <v>2528</v>
      </c>
      <c r="I706" s="12" t="n">
        <v>27</v>
      </c>
      <c r="J706" s="12" t="s">
        <v>26</v>
      </c>
    </row>
    <row r="707" customFormat="false" ht="15" hidden="false" customHeight="true" outlineLevel="0" collapsed="false">
      <c r="A707" s="12" t="n">
        <v>706</v>
      </c>
      <c r="B707" s="12" t="n">
        <v>35</v>
      </c>
      <c r="C707" s="12" t="s">
        <v>44</v>
      </c>
      <c r="D707" s="12" t="n">
        <v>2</v>
      </c>
      <c r="E707" s="12" t="s">
        <v>46</v>
      </c>
      <c r="F707" s="12" t="s">
        <v>47</v>
      </c>
      <c r="G707" s="12" t="s">
        <v>42</v>
      </c>
      <c r="H707" s="12" t="n">
        <v>5324</v>
      </c>
      <c r="I707" s="12" t="n">
        <v>15</v>
      </c>
      <c r="J707" s="12" t="s">
        <v>23</v>
      </c>
    </row>
    <row r="708" customFormat="false" ht="15" hidden="false" customHeight="true" outlineLevel="0" collapsed="false">
      <c r="A708" s="12" t="n">
        <v>707</v>
      </c>
      <c r="B708" s="12" t="n">
        <v>24</v>
      </c>
      <c r="C708" s="12" t="s">
        <v>40</v>
      </c>
      <c r="D708" s="12" t="n">
        <v>2</v>
      </c>
      <c r="E708" s="12" t="s">
        <v>41</v>
      </c>
      <c r="F708" s="12" t="s">
        <v>45</v>
      </c>
      <c r="G708" s="12" t="s">
        <v>45</v>
      </c>
      <c r="H708" s="12" t="n">
        <v>6560</v>
      </c>
      <c r="I708" s="12" t="n">
        <v>48</v>
      </c>
      <c r="J708" s="12" t="s">
        <v>23</v>
      </c>
    </row>
    <row r="709" customFormat="false" ht="15" hidden="false" customHeight="true" outlineLevel="0" collapsed="false">
      <c r="A709" s="12" t="n">
        <v>708</v>
      </c>
      <c r="B709" s="12" t="n">
        <v>25</v>
      </c>
      <c r="C709" s="12" t="s">
        <v>44</v>
      </c>
      <c r="D709" s="12" t="n">
        <v>2</v>
      </c>
      <c r="E709" s="12" t="s">
        <v>48</v>
      </c>
      <c r="F709" s="12" t="s">
        <v>43</v>
      </c>
      <c r="G709" s="12" t="s">
        <v>45</v>
      </c>
      <c r="H709" s="12" t="n">
        <v>2969</v>
      </c>
      <c r="I709" s="12" t="n">
        <v>12</v>
      </c>
      <c r="J709" s="12" t="s">
        <v>25</v>
      </c>
    </row>
    <row r="710" customFormat="false" ht="15" hidden="false" customHeight="true" outlineLevel="0" collapsed="false">
      <c r="A710" s="12" t="n">
        <v>709</v>
      </c>
      <c r="B710" s="12" t="n">
        <v>25</v>
      </c>
      <c r="C710" s="12" t="s">
        <v>44</v>
      </c>
      <c r="D710" s="12" t="n">
        <v>2</v>
      </c>
      <c r="E710" s="12" t="s">
        <v>41</v>
      </c>
      <c r="F710" s="12" t="s">
        <v>43</v>
      </c>
      <c r="G710" s="12" t="s">
        <v>45</v>
      </c>
      <c r="H710" s="12" t="n">
        <v>1206</v>
      </c>
      <c r="I710" s="12" t="n">
        <v>9</v>
      </c>
      <c r="J710" s="12" t="s">
        <v>24</v>
      </c>
    </row>
    <row r="711" customFormat="false" ht="15" hidden="false" customHeight="true" outlineLevel="0" collapsed="false">
      <c r="A711" s="12" t="n">
        <v>710</v>
      </c>
      <c r="B711" s="12" t="n">
        <v>37</v>
      </c>
      <c r="C711" s="12" t="s">
        <v>40</v>
      </c>
      <c r="D711" s="12" t="n">
        <v>1</v>
      </c>
      <c r="E711" s="12" t="s">
        <v>41</v>
      </c>
      <c r="F711" s="12" t="s">
        <v>43</v>
      </c>
      <c r="G711" s="12" t="s">
        <v>45</v>
      </c>
      <c r="H711" s="12" t="n">
        <v>2118</v>
      </c>
      <c r="I711" s="12" t="n">
        <v>9</v>
      </c>
      <c r="J711" s="12" t="s">
        <v>24</v>
      </c>
    </row>
    <row r="712" customFormat="false" ht="15" hidden="false" customHeight="true" outlineLevel="0" collapsed="false">
      <c r="A712" s="12" t="n">
        <v>711</v>
      </c>
      <c r="B712" s="12" t="n">
        <v>32</v>
      </c>
      <c r="C712" s="12" t="s">
        <v>40</v>
      </c>
      <c r="D712" s="12" t="n">
        <v>3</v>
      </c>
      <c r="E712" s="12" t="s">
        <v>41</v>
      </c>
      <c r="F712" s="12" t="s">
        <v>47</v>
      </c>
      <c r="G712" s="12" t="s">
        <v>42</v>
      </c>
      <c r="H712" s="12" t="n">
        <v>629</v>
      </c>
      <c r="I712" s="12" t="n">
        <v>18</v>
      </c>
      <c r="J712" s="12" t="s">
        <v>24</v>
      </c>
    </row>
    <row r="713" customFormat="false" ht="15" hidden="false" customHeight="true" outlineLevel="0" collapsed="false">
      <c r="A713" s="12" t="n">
        <v>712</v>
      </c>
      <c r="B713" s="12" t="n">
        <v>35</v>
      </c>
      <c r="C713" s="12" t="s">
        <v>44</v>
      </c>
      <c r="D713" s="12" t="n">
        <v>2</v>
      </c>
      <c r="E713" s="12" t="s">
        <v>46</v>
      </c>
      <c r="F713" s="12" t="s">
        <v>43</v>
      </c>
      <c r="G713" s="12" t="s">
        <v>43</v>
      </c>
      <c r="H713" s="12" t="n">
        <v>1198</v>
      </c>
      <c r="I713" s="12" t="n">
        <v>6</v>
      </c>
      <c r="J713" s="12" t="s">
        <v>27</v>
      </c>
    </row>
    <row r="714" customFormat="false" ht="15" hidden="false" customHeight="true" outlineLevel="0" collapsed="false">
      <c r="A714" s="12" t="n">
        <v>713</v>
      </c>
      <c r="B714" s="12" t="n">
        <v>46</v>
      </c>
      <c r="C714" s="12" t="s">
        <v>40</v>
      </c>
      <c r="D714" s="12" t="n">
        <v>3</v>
      </c>
      <c r="E714" s="12" t="s">
        <v>41</v>
      </c>
      <c r="F714" s="12" t="s">
        <v>42</v>
      </c>
      <c r="G714" s="12" t="s">
        <v>42</v>
      </c>
      <c r="H714" s="12" t="n">
        <v>2476</v>
      </c>
      <c r="I714" s="12" t="n">
        <v>21</v>
      </c>
      <c r="J714" s="12" t="s">
        <v>23</v>
      </c>
    </row>
    <row r="715" customFormat="false" ht="15" hidden="false" customHeight="true" outlineLevel="0" collapsed="false">
      <c r="A715" s="12" t="n">
        <v>714</v>
      </c>
      <c r="B715" s="12" t="n">
        <v>25</v>
      </c>
      <c r="C715" s="12" t="s">
        <v>40</v>
      </c>
      <c r="D715" s="12" t="n">
        <v>1</v>
      </c>
      <c r="E715" s="12" t="s">
        <v>41</v>
      </c>
      <c r="F715" s="12" t="s">
        <v>43</v>
      </c>
      <c r="G715" s="12" t="s">
        <v>43</v>
      </c>
      <c r="H715" s="12" t="n">
        <v>1138</v>
      </c>
      <c r="I715" s="12" t="n">
        <v>9</v>
      </c>
      <c r="J715" s="12" t="s">
        <v>24</v>
      </c>
    </row>
    <row r="716" customFormat="false" ht="15" hidden="false" customHeight="true" outlineLevel="0" collapsed="false">
      <c r="A716" s="12" t="n">
        <v>715</v>
      </c>
      <c r="B716" s="12" t="n">
        <v>27</v>
      </c>
      <c r="C716" s="12" t="s">
        <v>40</v>
      </c>
      <c r="D716" s="12" t="n">
        <v>3</v>
      </c>
      <c r="E716" s="12" t="s">
        <v>41</v>
      </c>
      <c r="F716" s="12" t="s">
        <v>43</v>
      </c>
      <c r="G716" s="12" t="s">
        <v>45</v>
      </c>
      <c r="H716" s="12" t="n">
        <v>14027</v>
      </c>
      <c r="I716" s="12" t="n">
        <v>60</v>
      </c>
      <c r="J716" s="12" t="s">
        <v>23</v>
      </c>
    </row>
    <row r="717" customFormat="false" ht="15" hidden="false" customHeight="true" outlineLevel="0" collapsed="false">
      <c r="A717" s="12" t="n">
        <v>716</v>
      </c>
      <c r="B717" s="12" t="n">
        <v>63</v>
      </c>
      <c r="C717" s="12" t="s">
        <v>40</v>
      </c>
      <c r="D717" s="12" t="n">
        <v>2</v>
      </c>
      <c r="E717" s="12" t="s">
        <v>41</v>
      </c>
      <c r="F717" s="12" t="s">
        <v>42</v>
      </c>
      <c r="G717" s="12" t="s">
        <v>42</v>
      </c>
      <c r="H717" s="12" t="n">
        <v>7596</v>
      </c>
      <c r="I717" s="12" t="n">
        <v>30</v>
      </c>
      <c r="J717" s="12" t="s">
        <v>23</v>
      </c>
    </row>
    <row r="718" customFormat="false" ht="15" hidden="false" customHeight="true" outlineLevel="0" collapsed="false">
      <c r="A718" s="12" t="n">
        <v>717</v>
      </c>
      <c r="B718" s="12" t="n">
        <v>40</v>
      </c>
      <c r="C718" s="12" t="s">
        <v>40</v>
      </c>
      <c r="D718" s="12" t="n">
        <v>2</v>
      </c>
      <c r="E718" s="12" t="s">
        <v>41</v>
      </c>
      <c r="F718" s="12" t="s">
        <v>42</v>
      </c>
      <c r="G718" s="12" t="s">
        <v>42</v>
      </c>
      <c r="H718" s="12" t="n">
        <v>3077</v>
      </c>
      <c r="I718" s="12" t="n">
        <v>30</v>
      </c>
      <c r="J718" s="12" t="s">
        <v>24</v>
      </c>
    </row>
    <row r="719" customFormat="false" ht="15" hidden="false" customHeight="true" outlineLevel="0" collapsed="false">
      <c r="A719" s="12" t="n">
        <v>718</v>
      </c>
      <c r="B719" s="12" t="n">
        <v>32</v>
      </c>
      <c r="C719" s="12" t="s">
        <v>40</v>
      </c>
      <c r="D719" s="12" t="n">
        <v>3</v>
      </c>
      <c r="E719" s="12" t="s">
        <v>46</v>
      </c>
      <c r="F719" s="12" t="s">
        <v>43</v>
      </c>
      <c r="G719" s="12" t="s">
        <v>42</v>
      </c>
      <c r="H719" s="12" t="n">
        <v>1505</v>
      </c>
      <c r="I719" s="12" t="n">
        <v>18</v>
      </c>
      <c r="J719" s="12" t="s">
        <v>24</v>
      </c>
    </row>
    <row r="720" customFormat="false" ht="15" hidden="false" customHeight="true" outlineLevel="0" collapsed="false">
      <c r="A720" s="12" t="n">
        <v>719</v>
      </c>
      <c r="B720" s="12" t="n">
        <v>31</v>
      </c>
      <c r="C720" s="12" t="s">
        <v>40</v>
      </c>
      <c r="D720" s="12" t="n">
        <v>2</v>
      </c>
      <c r="E720" s="12" t="s">
        <v>41</v>
      </c>
      <c r="F720" s="12" t="s">
        <v>42</v>
      </c>
      <c r="G720" s="12" t="s">
        <v>49</v>
      </c>
      <c r="H720" s="12" t="n">
        <v>3148</v>
      </c>
      <c r="I720" s="12" t="n">
        <v>24</v>
      </c>
      <c r="J720" s="12" t="s">
        <v>24</v>
      </c>
    </row>
    <row r="721" customFormat="false" ht="15" hidden="false" customHeight="true" outlineLevel="0" collapsed="false">
      <c r="A721" s="12" t="n">
        <v>720</v>
      </c>
      <c r="B721" s="12" t="n">
        <v>31</v>
      </c>
      <c r="C721" s="12" t="s">
        <v>40</v>
      </c>
      <c r="D721" s="12" t="n">
        <v>2</v>
      </c>
      <c r="E721" s="12" t="s">
        <v>41</v>
      </c>
      <c r="F721" s="12" t="s">
        <v>45</v>
      </c>
      <c r="G721" s="12" t="s">
        <v>45</v>
      </c>
      <c r="H721" s="12" t="n">
        <v>6148</v>
      </c>
      <c r="I721" s="12" t="n">
        <v>20</v>
      </c>
      <c r="J721" s="12" t="s">
        <v>23</v>
      </c>
    </row>
    <row r="722" customFormat="false" ht="15" hidden="false" customHeight="true" outlineLevel="0" collapsed="false">
      <c r="A722" s="12" t="n">
        <v>721</v>
      </c>
      <c r="B722" s="12" t="n">
        <v>34</v>
      </c>
      <c r="C722" s="12" t="s">
        <v>40</v>
      </c>
      <c r="D722" s="12" t="n">
        <v>3</v>
      </c>
      <c r="E722" s="12" t="s">
        <v>41</v>
      </c>
      <c r="F722" s="12" t="s">
        <v>43</v>
      </c>
      <c r="G722" s="12" t="s">
        <v>49</v>
      </c>
      <c r="H722" s="12" t="n">
        <v>1337</v>
      </c>
      <c r="I722" s="12" t="n">
        <v>9</v>
      </c>
      <c r="J722" s="12" t="s">
        <v>24</v>
      </c>
    </row>
    <row r="723" customFormat="false" ht="15" hidden="false" customHeight="true" outlineLevel="0" collapsed="false">
      <c r="A723" s="12" t="n">
        <v>722</v>
      </c>
      <c r="B723" s="12" t="n">
        <v>24</v>
      </c>
      <c r="C723" s="12" t="s">
        <v>44</v>
      </c>
      <c r="D723" s="12" t="n">
        <v>2</v>
      </c>
      <c r="E723" s="12" t="s">
        <v>48</v>
      </c>
      <c r="F723" s="12" t="s">
        <v>49</v>
      </c>
      <c r="G723" s="12" t="s">
        <v>45</v>
      </c>
      <c r="H723" s="12" t="n">
        <v>433</v>
      </c>
      <c r="I723" s="12" t="n">
        <v>6</v>
      </c>
      <c r="J723" s="12" t="s">
        <v>27</v>
      </c>
    </row>
    <row r="724" customFormat="false" ht="15" hidden="false" customHeight="true" outlineLevel="0" collapsed="false">
      <c r="A724" s="12" t="n">
        <v>723</v>
      </c>
      <c r="B724" s="12" t="n">
        <v>24</v>
      </c>
      <c r="C724" s="12" t="s">
        <v>44</v>
      </c>
      <c r="D724" s="12" t="n">
        <v>1</v>
      </c>
      <c r="E724" s="12" t="s">
        <v>41</v>
      </c>
      <c r="F724" s="12" t="s">
        <v>43</v>
      </c>
      <c r="G724" s="12" t="s">
        <v>43</v>
      </c>
      <c r="H724" s="12" t="n">
        <v>1228</v>
      </c>
      <c r="I724" s="12" t="n">
        <v>12</v>
      </c>
      <c r="J724" s="12" t="s">
        <v>23</v>
      </c>
    </row>
    <row r="725" customFormat="false" ht="15" hidden="false" customHeight="true" outlineLevel="0" collapsed="false">
      <c r="A725" s="12" t="n">
        <v>724</v>
      </c>
      <c r="B725" s="12" t="n">
        <v>66</v>
      </c>
      <c r="C725" s="12" t="s">
        <v>44</v>
      </c>
      <c r="D725" s="12" t="n">
        <v>1</v>
      </c>
      <c r="E725" s="12" t="s">
        <v>41</v>
      </c>
      <c r="F725" s="12" t="s">
        <v>47</v>
      </c>
      <c r="G725" s="12" t="s">
        <v>45</v>
      </c>
      <c r="H725" s="12" t="n">
        <v>790</v>
      </c>
      <c r="I725" s="12" t="n">
        <v>9</v>
      </c>
      <c r="J725" s="12" t="s">
        <v>24</v>
      </c>
    </row>
    <row r="726" customFormat="false" ht="15" hidden="false" customHeight="true" outlineLevel="0" collapsed="false">
      <c r="A726" s="12" t="n">
        <v>725</v>
      </c>
      <c r="B726" s="12" t="n">
        <v>21</v>
      </c>
      <c r="C726" s="12" t="s">
        <v>44</v>
      </c>
      <c r="D726" s="12" t="n">
        <v>2</v>
      </c>
      <c r="E726" s="12" t="s">
        <v>48</v>
      </c>
      <c r="F726" s="12" t="s">
        <v>43</v>
      </c>
      <c r="G726" s="12" t="s">
        <v>42</v>
      </c>
      <c r="H726" s="12" t="n">
        <v>2570</v>
      </c>
      <c r="I726" s="12" t="n">
        <v>27</v>
      </c>
      <c r="J726" s="12" t="s">
        <v>23</v>
      </c>
    </row>
    <row r="727" customFormat="false" ht="15" hidden="false" customHeight="true" outlineLevel="0" collapsed="false">
      <c r="A727" s="12" t="n">
        <v>726</v>
      </c>
      <c r="B727" s="12" t="n">
        <v>41</v>
      </c>
      <c r="C727" s="12" t="s">
        <v>44</v>
      </c>
      <c r="D727" s="12" t="n">
        <v>1</v>
      </c>
      <c r="E727" s="12" t="s">
        <v>41</v>
      </c>
      <c r="F727" s="12" t="s">
        <v>49</v>
      </c>
      <c r="G727" s="12" t="s">
        <v>42</v>
      </c>
      <c r="H727" s="12" t="n">
        <v>250</v>
      </c>
      <c r="I727" s="12" t="n">
        <v>6</v>
      </c>
      <c r="J727" s="12" t="s">
        <v>23</v>
      </c>
    </row>
    <row r="728" customFormat="false" ht="15" hidden="false" customHeight="true" outlineLevel="0" collapsed="false">
      <c r="A728" s="12" t="n">
        <v>727</v>
      </c>
      <c r="B728" s="12" t="n">
        <v>47</v>
      </c>
      <c r="C728" s="12" t="s">
        <v>40</v>
      </c>
      <c r="D728" s="12" t="n">
        <v>1</v>
      </c>
      <c r="E728" s="12" t="s">
        <v>41</v>
      </c>
      <c r="F728" s="12" t="s">
        <v>47</v>
      </c>
      <c r="G728" s="12" t="s">
        <v>42</v>
      </c>
      <c r="H728" s="12" t="n">
        <v>1316</v>
      </c>
      <c r="I728" s="12" t="n">
        <v>15</v>
      </c>
      <c r="J728" s="12" t="s">
        <v>24</v>
      </c>
    </row>
    <row r="729" customFormat="false" ht="15" hidden="false" customHeight="true" outlineLevel="0" collapsed="false">
      <c r="A729" s="12" t="n">
        <v>728</v>
      </c>
      <c r="B729" s="12" t="n">
        <v>25</v>
      </c>
      <c r="C729" s="12" t="s">
        <v>44</v>
      </c>
      <c r="D729" s="12" t="n">
        <v>2</v>
      </c>
      <c r="E729" s="12" t="s">
        <v>48</v>
      </c>
      <c r="F729" s="12" t="s">
        <v>43</v>
      </c>
      <c r="G729" s="12" t="s">
        <v>43</v>
      </c>
      <c r="H729" s="12" t="n">
        <v>1882</v>
      </c>
      <c r="I729" s="12" t="n">
        <v>18</v>
      </c>
      <c r="J729" s="12" t="s">
        <v>24</v>
      </c>
    </row>
    <row r="730" customFormat="false" ht="15" hidden="false" customHeight="true" outlineLevel="0" collapsed="false">
      <c r="A730" s="12" t="n">
        <v>729</v>
      </c>
      <c r="B730" s="12" t="n">
        <v>59</v>
      </c>
      <c r="C730" s="12" t="s">
        <v>44</v>
      </c>
      <c r="D730" s="12" t="n">
        <v>2</v>
      </c>
      <c r="E730" s="12" t="s">
        <v>48</v>
      </c>
      <c r="F730" s="12" t="s">
        <v>43</v>
      </c>
      <c r="G730" s="12" t="s">
        <v>45</v>
      </c>
      <c r="H730" s="12" t="n">
        <v>6416</v>
      </c>
      <c r="I730" s="12" t="n">
        <v>48</v>
      </c>
      <c r="J730" s="12" t="s">
        <v>26</v>
      </c>
    </row>
    <row r="731" customFormat="false" ht="15" hidden="false" customHeight="true" outlineLevel="0" collapsed="false">
      <c r="A731" s="12" t="n">
        <v>730</v>
      </c>
      <c r="B731" s="12" t="n">
        <v>36</v>
      </c>
      <c r="C731" s="12" t="s">
        <v>40</v>
      </c>
      <c r="D731" s="12" t="n">
        <v>2</v>
      </c>
      <c r="E731" s="12" t="s">
        <v>41</v>
      </c>
      <c r="F731" s="12" t="s">
        <v>49</v>
      </c>
      <c r="G731" s="12" t="s">
        <v>49</v>
      </c>
      <c r="H731" s="12" t="n">
        <v>1275</v>
      </c>
      <c r="I731" s="12" t="n">
        <v>24</v>
      </c>
      <c r="J731" s="12" t="s">
        <v>26</v>
      </c>
    </row>
    <row r="732" customFormat="false" ht="15" hidden="false" customHeight="true" outlineLevel="0" collapsed="false">
      <c r="A732" s="12" t="n">
        <v>731</v>
      </c>
      <c r="B732" s="12" t="n">
        <v>33</v>
      </c>
      <c r="C732" s="12" t="s">
        <v>40</v>
      </c>
      <c r="D732" s="12" t="n">
        <v>2</v>
      </c>
      <c r="E732" s="12" t="s">
        <v>41</v>
      </c>
      <c r="F732" s="12" t="s">
        <v>43</v>
      </c>
      <c r="G732" s="12" t="s">
        <v>45</v>
      </c>
      <c r="H732" s="12" t="n">
        <v>6403</v>
      </c>
      <c r="I732" s="12" t="n">
        <v>24</v>
      </c>
      <c r="J732" s="12" t="s">
        <v>24</v>
      </c>
    </row>
    <row r="733" customFormat="false" ht="15" hidden="false" customHeight="true" outlineLevel="0" collapsed="false">
      <c r="A733" s="12" t="n">
        <v>732</v>
      </c>
      <c r="B733" s="12" t="n">
        <v>21</v>
      </c>
      <c r="C733" s="12" t="s">
        <v>40</v>
      </c>
      <c r="D733" s="12" t="n">
        <v>1</v>
      </c>
      <c r="E733" s="12" t="s">
        <v>48</v>
      </c>
      <c r="F733" s="12" t="s">
        <v>43</v>
      </c>
      <c r="G733" s="12" t="s">
        <v>43</v>
      </c>
      <c r="H733" s="12" t="n">
        <v>1987</v>
      </c>
      <c r="I733" s="12" t="n">
        <v>24</v>
      </c>
      <c r="J733" s="12" t="s">
        <v>24</v>
      </c>
    </row>
    <row r="734" customFormat="false" ht="15" hidden="false" customHeight="true" outlineLevel="0" collapsed="false">
      <c r="A734" s="12" t="n">
        <v>733</v>
      </c>
      <c r="B734" s="12" t="n">
        <v>44</v>
      </c>
      <c r="C734" s="12" t="s">
        <v>44</v>
      </c>
      <c r="D734" s="12" t="n">
        <v>1</v>
      </c>
      <c r="E734" s="12" t="s">
        <v>41</v>
      </c>
      <c r="F734" s="12" t="s">
        <v>43</v>
      </c>
      <c r="G734" s="12" t="s">
        <v>45</v>
      </c>
      <c r="H734" s="12" t="n">
        <v>760</v>
      </c>
      <c r="I734" s="12" t="n">
        <v>8</v>
      </c>
      <c r="J734" s="12" t="s">
        <v>24</v>
      </c>
    </row>
    <row r="735" customFormat="false" ht="15" hidden="false" customHeight="true" outlineLevel="0" collapsed="false">
      <c r="A735" s="12" t="n">
        <v>734</v>
      </c>
      <c r="B735" s="12" t="n">
        <v>28</v>
      </c>
      <c r="C735" s="12" t="s">
        <v>44</v>
      </c>
      <c r="D735" s="12" t="n">
        <v>2</v>
      </c>
      <c r="E735" s="12" t="s">
        <v>48</v>
      </c>
      <c r="F735" s="12" t="s">
        <v>49</v>
      </c>
      <c r="G735" s="12" t="s">
        <v>42</v>
      </c>
      <c r="H735" s="12" t="n">
        <v>2603</v>
      </c>
      <c r="I735" s="12" t="n">
        <v>24</v>
      </c>
      <c r="J735" s="12" t="s">
        <v>23</v>
      </c>
    </row>
    <row r="736" customFormat="false" ht="15" hidden="false" customHeight="true" outlineLevel="0" collapsed="false">
      <c r="A736" s="12" t="n">
        <v>735</v>
      </c>
      <c r="B736" s="12" t="n">
        <v>37</v>
      </c>
      <c r="C736" s="12" t="s">
        <v>44</v>
      </c>
      <c r="D736" s="12" t="n">
        <v>2</v>
      </c>
      <c r="E736" s="12" t="s">
        <v>41</v>
      </c>
      <c r="F736" s="12" t="s">
        <v>43</v>
      </c>
      <c r="G736" s="12" t="s">
        <v>42</v>
      </c>
      <c r="H736" s="12" t="n">
        <v>3380</v>
      </c>
      <c r="I736" s="12" t="n">
        <v>4</v>
      </c>
      <c r="J736" s="12" t="s">
        <v>23</v>
      </c>
    </row>
    <row r="737" customFormat="false" ht="15" hidden="false" customHeight="true" outlineLevel="0" collapsed="false">
      <c r="A737" s="12" t="n">
        <v>736</v>
      </c>
      <c r="B737" s="12" t="n">
        <v>29</v>
      </c>
      <c r="C737" s="12" t="s">
        <v>44</v>
      </c>
      <c r="D737" s="12" t="n">
        <v>0</v>
      </c>
      <c r="E737" s="12" t="s">
        <v>41</v>
      </c>
      <c r="F737" s="12" t="s">
        <v>42</v>
      </c>
      <c r="G737" s="12" t="s">
        <v>45</v>
      </c>
      <c r="H737" s="12" t="n">
        <v>3990</v>
      </c>
      <c r="I737" s="12" t="n">
        <v>36</v>
      </c>
      <c r="J737" s="12" t="s">
        <v>29</v>
      </c>
    </row>
    <row r="738" customFormat="false" ht="15" hidden="false" customHeight="true" outlineLevel="0" collapsed="false">
      <c r="A738" s="12" t="n">
        <v>737</v>
      </c>
      <c r="B738" s="12" t="n">
        <v>23</v>
      </c>
      <c r="C738" s="12" t="s">
        <v>44</v>
      </c>
      <c r="D738" s="12" t="n">
        <v>3</v>
      </c>
      <c r="E738" s="12" t="s">
        <v>48</v>
      </c>
      <c r="F738" s="12" t="s">
        <v>43</v>
      </c>
      <c r="G738" s="12" t="s">
        <v>45</v>
      </c>
      <c r="H738" s="12" t="n">
        <v>11560</v>
      </c>
      <c r="I738" s="12" t="n">
        <v>24</v>
      </c>
      <c r="J738" s="12" t="s">
        <v>23</v>
      </c>
    </row>
    <row r="739" customFormat="false" ht="15" hidden="false" customHeight="true" outlineLevel="0" collapsed="false">
      <c r="A739" s="12" t="n">
        <v>738</v>
      </c>
      <c r="B739" s="12" t="n">
        <v>35</v>
      </c>
      <c r="C739" s="12" t="s">
        <v>40</v>
      </c>
      <c r="D739" s="12" t="n">
        <v>1</v>
      </c>
      <c r="E739" s="12" t="s">
        <v>41</v>
      </c>
      <c r="F739" s="12" t="s">
        <v>45</v>
      </c>
      <c r="G739" s="12" t="s">
        <v>43</v>
      </c>
      <c r="H739" s="12" t="n">
        <v>4380</v>
      </c>
      <c r="I739" s="12" t="n">
        <v>18</v>
      </c>
      <c r="J739" s="12" t="s">
        <v>23</v>
      </c>
    </row>
    <row r="740" customFormat="false" ht="15" hidden="false" customHeight="true" outlineLevel="0" collapsed="false">
      <c r="A740" s="12" t="n">
        <v>739</v>
      </c>
      <c r="B740" s="12" t="n">
        <v>45</v>
      </c>
      <c r="C740" s="12" t="s">
        <v>40</v>
      </c>
      <c r="D740" s="12" t="n">
        <v>3</v>
      </c>
      <c r="E740" s="12" t="s">
        <v>41</v>
      </c>
      <c r="F740" s="12" t="s">
        <v>43</v>
      </c>
      <c r="G740" s="12" t="s">
        <v>42</v>
      </c>
      <c r="H740" s="12" t="n">
        <v>6761</v>
      </c>
      <c r="I740" s="12" t="n">
        <v>6</v>
      </c>
      <c r="J740" s="12" t="s">
        <v>23</v>
      </c>
    </row>
    <row r="741" customFormat="false" ht="15" hidden="false" customHeight="true" outlineLevel="0" collapsed="false">
      <c r="A741" s="12" t="n">
        <v>740</v>
      </c>
      <c r="B741" s="12" t="n">
        <v>26</v>
      </c>
      <c r="C741" s="12" t="s">
        <v>44</v>
      </c>
      <c r="D741" s="12" t="n">
        <v>1</v>
      </c>
      <c r="E741" s="12" t="s">
        <v>48</v>
      </c>
      <c r="F741" s="12" t="s">
        <v>45</v>
      </c>
      <c r="G741" s="12" t="s">
        <v>45</v>
      </c>
      <c r="H741" s="12" t="n">
        <v>4280</v>
      </c>
      <c r="I741" s="12" t="n">
        <v>30</v>
      </c>
      <c r="J741" s="12" t="s">
        <v>26</v>
      </c>
    </row>
    <row r="742" customFormat="false" ht="15" hidden="false" customHeight="true" outlineLevel="0" collapsed="false">
      <c r="A742" s="12" t="n">
        <v>741</v>
      </c>
      <c r="B742" s="12" t="n">
        <v>32</v>
      </c>
      <c r="C742" s="12" t="s">
        <v>40</v>
      </c>
      <c r="D742" s="12" t="n">
        <v>2</v>
      </c>
      <c r="E742" s="12" t="s">
        <v>41</v>
      </c>
      <c r="F742" s="12" t="s">
        <v>45</v>
      </c>
      <c r="G742" s="12" t="s">
        <v>43</v>
      </c>
      <c r="H742" s="12" t="n">
        <v>2325</v>
      </c>
      <c r="I742" s="12" t="n">
        <v>24</v>
      </c>
      <c r="J742" s="12" t="s">
        <v>23</v>
      </c>
    </row>
    <row r="743" customFormat="false" ht="15" hidden="false" customHeight="true" outlineLevel="0" collapsed="false">
      <c r="A743" s="12" t="n">
        <v>742</v>
      </c>
      <c r="B743" s="12" t="n">
        <v>23</v>
      </c>
      <c r="C743" s="12" t="s">
        <v>40</v>
      </c>
      <c r="D743" s="12" t="n">
        <v>1</v>
      </c>
      <c r="E743" s="12" t="s">
        <v>41</v>
      </c>
      <c r="F743" s="12" t="s">
        <v>43</v>
      </c>
      <c r="G743" s="12" t="s">
        <v>45</v>
      </c>
      <c r="H743" s="12" t="n">
        <v>1048</v>
      </c>
      <c r="I743" s="12" t="n">
        <v>10</v>
      </c>
      <c r="J743" s="12" t="s">
        <v>24</v>
      </c>
    </row>
    <row r="744" customFormat="false" ht="15" hidden="false" customHeight="true" outlineLevel="0" collapsed="false">
      <c r="A744" s="12" t="n">
        <v>743</v>
      </c>
      <c r="B744" s="12" t="n">
        <v>41</v>
      </c>
      <c r="C744" s="12" t="s">
        <v>40</v>
      </c>
      <c r="D744" s="12" t="n">
        <v>2</v>
      </c>
      <c r="E744" s="12" t="s">
        <v>41</v>
      </c>
      <c r="F744" s="12" t="s">
        <v>42</v>
      </c>
      <c r="G744" s="12" t="s">
        <v>42</v>
      </c>
      <c r="H744" s="12" t="n">
        <v>3160</v>
      </c>
      <c r="I744" s="12" t="n">
        <v>21</v>
      </c>
      <c r="J744" s="12" t="s">
        <v>24</v>
      </c>
    </row>
    <row r="745" customFormat="false" ht="15" hidden="false" customHeight="true" outlineLevel="0" collapsed="false">
      <c r="A745" s="12" t="n">
        <v>744</v>
      </c>
      <c r="B745" s="12" t="n">
        <v>22</v>
      </c>
      <c r="C745" s="12" t="s">
        <v>40</v>
      </c>
      <c r="D745" s="12" t="n">
        <v>2</v>
      </c>
      <c r="E745" s="12" t="s">
        <v>41</v>
      </c>
      <c r="F745" s="12" t="s">
        <v>47</v>
      </c>
      <c r="G745" s="12" t="s">
        <v>43</v>
      </c>
      <c r="H745" s="12" t="n">
        <v>2483</v>
      </c>
      <c r="I745" s="12" t="n">
        <v>24</v>
      </c>
      <c r="J745" s="12" t="s">
        <v>25</v>
      </c>
    </row>
    <row r="746" customFormat="false" ht="15" hidden="false" customHeight="true" outlineLevel="0" collapsed="false">
      <c r="A746" s="12" t="n">
        <v>745</v>
      </c>
      <c r="B746" s="12" t="n">
        <v>30</v>
      </c>
      <c r="C746" s="12" t="s">
        <v>40</v>
      </c>
      <c r="D746" s="12" t="n">
        <v>3</v>
      </c>
      <c r="E746" s="12" t="s">
        <v>41</v>
      </c>
      <c r="F746" s="12" t="s">
        <v>42</v>
      </c>
      <c r="G746" s="12" t="s">
        <v>43</v>
      </c>
      <c r="H746" s="12" t="n">
        <v>14179</v>
      </c>
      <c r="I746" s="12" t="n">
        <v>39</v>
      </c>
      <c r="J746" s="12" t="s">
        <v>25</v>
      </c>
    </row>
    <row r="747" customFormat="false" ht="15" hidden="false" customHeight="true" outlineLevel="0" collapsed="false">
      <c r="A747" s="12" t="n">
        <v>746</v>
      </c>
      <c r="B747" s="12" t="n">
        <v>28</v>
      </c>
      <c r="C747" s="12" t="s">
        <v>40</v>
      </c>
      <c r="D747" s="12" t="n">
        <v>1</v>
      </c>
      <c r="E747" s="12" t="s">
        <v>41</v>
      </c>
      <c r="F747" s="12" t="s">
        <v>43</v>
      </c>
      <c r="G747" s="12" t="s">
        <v>43</v>
      </c>
      <c r="H747" s="12" t="n">
        <v>1797</v>
      </c>
      <c r="I747" s="12" t="n">
        <v>13</v>
      </c>
      <c r="J747" s="12" t="s">
        <v>26</v>
      </c>
    </row>
    <row r="748" customFormat="false" ht="15" hidden="false" customHeight="true" outlineLevel="0" collapsed="false">
      <c r="A748" s="12" t="n">
        <v>747</v>
      </c>
      <c r="B748" s="12" t="n">
        <v>23</v>
      </c>
      <c r="C748" s="12" t="s">
        <v>44</v>
      </c>
      <c r="D748" s="12" t="n">
        <v>2</v>
      </c>
      <c r="E748" s="12" t="s">
        <v>48</v>
      </c>
      <c r="F748" s="12" t="s">
        <v>43</v>
      </c>
      <c r="G748" s="12" t="s">
        <v>43</v>
      </c>
      <c r="H748" s="12" t="n">
        <v>2511</v>
      </c>
      <c r="I748" s="12" t="n">
        <v>15</v>
      </c>
      <c r="J748" s="12" t="s">
        <v>23</v>
      </c>
    </row>
    <row r="749" customFormat="false" ht="15" hidden="false" customHeight="true" outlineLevel="0" collapsed="false">
      <c r="A749" s="12" t="n">
        <v>748</v>
      </c>
      <c r="B749" s="12" t="n">
        <v>37</v>
      </c>
      <c r="C749" s="12" t="s">
        <v>44</v>
      </c>
      <c r="D749" s="12" t="n">
        <v>1</v>
      </c>
      <c r="E749" s="12" t="s">
        <v>41</v>
      </c>
      <c r="F749" s="12" t="s">
        <v>43</v>
      </c>
      <c r="G749" s="12" t="s">
        <v>43</v>
      </c>
      <c r="H749" s="12" t="n">
        <v>1274</v>
      </c>
      <c r="I749" s="12" t="n">
        <v>12</v>
      </c>
      <c r="J749" s="12" t="s">
        <v>23</v>
      </c>
    </row>
    <row r="750" customFormat="false" ht="15" hidden="false" customHeight="true" outlineLevel="0" collapsed="false">
      <c r="A750" s="12" t="n">
        <v>749</v>
      </c>
      <c r="B750" s="12" t="n">
        <v>26</v>
      </c>
      <c r="C750" s="12" t="s">
        <v>40</v>
      </c>
      <c r="D750" s="12" t="n">
        <v>2</v>
      </c>
      <c r="E750" s="12" t="s">
        <v>41</v>
      </c>
      <c r="F750" s="12" t="s">
        <v>42</v>
      </c>
      <c r="G750" s="12" t="s">
        <v>42</v>
      </c>
      <c r="H750" s="12" t="n">
        <v>5248</v>
      </c>
      <c r="I750" s="12" t="n">
        <v>21</v>
      </c>
      <c r="J750" s="12" t="s">
        <v>23</v>
      </c>
    </row>
    <row r="751" customFormat="false" ht="15" hidden="false" customHeight="true" outlineLevel="0" collapsed="false">
      <c r="A751" s="12" t="n">
        <v>750</v>
      </c>
      <c r="B751" s="12" t="n">
        <v>33</v>
      </c>
      <c r="C751" s="12" t="s">
        <v>40</v>
      </c>
      <c r="D751" s="12" t="n">
        <v>2</v>
      </c>
      <c r="E751" s="12" t="s">
        <v>41</v>
      </c>
      <c r="F751" s="12" t="s">
        <v>43</v>
      </c>
      <c r="G751" s="12" t="s">
        <v>42</v>
      </c>
      <c r="H751" s="12" t="n">
        <v>3029</v>
      </c>
      <c r="I751" s="12" t="n">
        <v>15</v>
      </c>
      <c r="J751" s="12" t="s">
        <v>23</v>
      </c>
    </row>
    <row r="752" customFormat="false" ht="15" hidden="false" customHeight="true" outlineLevel="0" collapsed="false">
      <c r="A752" s="12" t="n">
        <v>751</v>
      </c>
      <c r="B752" s="12" t="n">
        <v>49</v>
      </c>
      <c r="C752" s="12" t="s">
        <v>44</v>
      </c>
      <c r="D752" s="12" t="n">
        <v>2</v>
      </c>
      <c r="E752" s="12" t="s">
        <v>41</v>
      </c>
      <c r="F752" s="12" t="s">
        <v>43</v>
      </c>
      <c r="G752" s="12" t="s">
        <v>43</v>
      </c>
      <c r="H752" s="12" t="n">
        <v>428</v>
      </c>
      <c r="I752" s="12" t="n">
        <v>6</v>
      </c>
      <c r="J752" s="12" t="s">
        <v>25</v>
      </c>
    </row>
    <row r="753" customFormat="false" ht="15" hidden="false" customHeight="true" outlineLevel="0" collapsed="false">
      <c r="A753" s="12" t="n">
        <v>752</v>
      </c>
      <c r="B753" s="12" t="n">
        <v>23</v>
      </c>
      <c r="C753" s="12" t="s">
        <v>44</v>
      </c>
      <c r="D753" s="12" t="n">
        <v>1</v>
      </c>
      <c r="E753" s="12" t="s">
        <v>41</v>
      </c>
      <c r="F753" s="12" t="s">
        <v>43</v>
      </c>
      <c r="G753" s="12" t="s">
        <v>43</v>
      </c>
      <c r="H753" s="12" t="n">
        <v>976</v>
      </c>
      <c r="I753" s="12" t="n">
        <v>18</v>
      </c>
      <c r="J753" s="12" t="s">
        <v>23</v>
      </c>
    </row>
    <row r="754" customFormat="false" ht="15" hidden="false" customHeight="true" outlineLevel="0" collapsed="false">
      <c r="A754" s="12" t="n">
        <v>753</v>
      </c>
      <c r="B754" s="12" t="n">
        <v>23</v>
      </c>
      <c r="C754" s="12" t="s">
        <v>44</v>
      </c>
      <c r="D754" s="12" t="n">
        <v>1</v>
      </c>
      <c r="E754" s="12" t="s">
        <v>48</v>
      </c>
      <c r="F754" s="12" t="s">
        <v>45</v>
      </c>
      <c r="G754" s="12" t="s">
        <v>45</v>
      </c>
      <c r="H754" s="12" t="n">
        <v>841</v>
      </c>
      <c r="I754" s="12" t="n">
        <v>12</v>
      </c>
      <c r="J754" s="12" t="s">
        <v>26</v>
      </c>
    </row>
    <row r="755" customFormat="false" ht="15" hidden="false" customHeight="true" outlineLevel="0" collapsed="false">
      <c r="A755" s="12" t="n">
        <v>754</v>
      </c>
      <c r="B755" s="12" t="n">
        <v>25</v>
      </c>
      <c r="C755" s="12" t="s">
        <v>44</v>
      </c>
      <c r="D755" s="12" t="n">
        <v>2</v>
      </c>
      <c r="E755" s="12" t="s">
        <v>41</v>
      </c>
      <c r="F755" s="12" t="s">
        <v>43</v>
      </c>
      <c r="G755" s="12" t="s">
        <v>42</v>
      </c>
      <c r="H755" s="12" t="n">
        <v>5771</v>
      </c>
      <c r="I755" s="12" t="n">
        <v>30</v>
      </c>
      <c r="J755" s="12" t="s">
        <v>24</v>
      </c>
    </row>
    <row r="756" customFormat="false" ht="15" hidden="false" customHeight="true" outlineLevel="0" collapsed="false">
      <c r="A756" s="12" t="n">
        <v>755</v>
      </c>
      <c r="B756" s="12" t="n">
        <v>55</v>
      </c>
      <c r="C756" s="12" t="s">
        <v>40</v>
      </c>
      <c r="D756" s="12" t="n">
        <v>2</v>
      </c>
      <c r="E756" s="12" t="s">
        <v>46</v>
      </c>
      <c r="F756" s="12" t="s">
        <v>49</v>
      </c>
      <c r="G756" s="12" t="s">
        <v>42</v>
      </c>
      <c r="H756" s="12" t="n">
        <v>1555</v>
      </c>
      <c r="I756" s="12" t="n">
        <v>12</v>
      </c>
      <c r="J756" s="12" t="s">
        <v>28</v>
      </c>
    </row>
    <row r="757" customFormat="false" ht="15" hidden="false" customHeight="true" outlineLevel="0" collapsed="false">
      <c r="A757" s="12" t="n">
        <v>756</v>
      </c>
      <c r="B757" s="12" t="n">
        <v>32</v>
      </c>
      <c r="C757" s="12" t="s">
        <v>44</v>
      </c>
      <c r="D757" s="12" t="n">
        <v>2</v>
      </c>
      <c r="E757" s="12" t="s">
        <v>48</v>
      </c>
      <c r="F757" s="12" t="s">
        <v>42</v>
      </c>
      <c r="G757" s="12" t="s">
        <v>43</v>
      </c>
      <c r="H757" s="12" t="n">
        <v>1285</v>
      </c>
      <c r="I757" s="12" t="n">
        <v>24</v>
      </c>
      <c r="J757" s="12" t="s">
        <v>23</v>
      </c>
    </row>
    <row r="758" customFormat="false" ht="15" hidden="false" customHeight="true" outlineLevel="0" collapsed="false">
      <c r="A758" s="12" t="n">
        <v>757</v>
      </c>
      <c r="B758" s="12" t="n">
        <v>74</v>
      </c>
      <c r="C758" s="12" t="s">
        <v>40</v>
      </c>
      <c r="D758" s="12" t="n">
        <v>0</v>
      </c>
      <c r="E758" s="12" t="s">
        <v>41</v>
      </c>
      <c r="F758" s="12" t="s">
        <v>43</v>
      </c>
      <c r="G758" s="12" t="s">
        <v>49</v>
      </c>
      <c r="H758" s="12" t="n">
        <v>1299</v>
      </c>
      <c r="I758" s="12" t="n">
        <v>6</v>
      </c>
      <c r="J758" s="12" t="s">
        <v>23</v>
      </c>
    </row>
    <row r="759" customFormat="false" ht="15" hidden="false" customHeight="true" outlineLevel="0" collapsed="false">
      <c r="A759" s="12" t="n">
        <v>758</v>
      </c>
      <c r="B759" s="12" t="n">
        <v>39</v>
      </c>
      <c r="C759" s="12" t="s">
        <v>40</v>
      </c>
      <c r="D759" s="12" t="n">
        <v>2</v>
      </c>
      <c r="E759" s="12" t="s">
        <v>46</v>
      </c>
      <c r="F759" s="12" t="s">
        <v>42</v>
      </c>
      <c r="G759" s="12" t="s">
        <v>49</v>
      </c>
      <c r="H759" s="12" t="n">
        <v>1271</v>
      </c>
      <c r="I759" s="12" t="n">
        <v>15</v>
      </c>
      <c r="J759" s="12" t="s">
        <v>24</v>
      </c>
    </row>
    <row r="760" customFormat="false" ht="15" hidden="false" customHeight="true" outlineLevel="0" collapsed="false">
      <c r="A760" s="12" t="n">
        <v>759</v>
      </c>
      <c r="B760" s="12" t="n">
        <v>31</v>
      </c>
      <c r="C760" s="12" t="s">
        <v>40</v>
      </c>
      <c r="D760" s="12" t="n">
        <v>2</v>
      </c>
      <c r="E760" s="12" t="s">
        <v>41</v>
      </c>
      <c r="F760" s="12" t="s">
        <v>43</v>
      </c>
      <c r="G760" s="12" t="s">
        <v>42</v>
      </c>
      <c r="H760" s="12" t="n">
        <v>1393</v>
      </c>
      <c r="I760" s="12" t="n">
        <v>24</v>
      </c>
      <c r="J760" s="12" t="s">
        <v>23</v>
      </c>
    </row>
    <row r="761" customFormat="false" ht="15" hidden="false" customHeight="true" outlineLevel="0" collapsed="false">
      <c r="A761" s="12" t="n">
        <v>760</v>
      </c>
      <c r="B761" s="12" t="n">
        <v>35</v>
      </c>
      <c r="C761" s="12" t="s">
        <v>40</v>
      </c>
      <c r="D761" s="12" t="n">
        <v>2</v>
      </c>
      <c r="E761" s="12" t="s">
        <v>41</v>
      </c>
      <c r="F761" s="12" t="s">
        <v>43</v>
      </c>
      <c r="G761" s="12" t="s">
        <v>43</v>
      </c>
      <c r="H761" s="12" t="n">
        <v>691</v>
      </c>
      <c r="I761" s="12" t="n">
        <v>12</v>
      </c>
      <c r="J761" s="12" t="s">
        <v>23</v>
      </c>
    </row>
    <row r="762" customFormat="false" ht="15" hidden="false" customHeight="true" outlineLevel="0" collapsed="false">
      <c r="A762" s="12" t="n">
        <v>761</v>
      </c>
      <c r="B762" s="12" t="n">
        <v>59</v>
      </c>
      <c r="C762" s="12" t="s">
        <v>44</v>
      </c>
      <c r="D762" s="12" t="n">
        <v>2</v>
      </c>
      <c r="E762" s="12" t="s">
        <v>41</v>
      </c>
      <c r="F762" s="12" t="s">
        <v>42</v>
      </c>
      <c r="G762" s="12" t="s">
        <v>42</v>
      </c>
      <c r="H762" s="12" t="n">
        <v>5045</v>
      </c>
      <c r="I762" s="12" t="n">
        <v>15</v>
      </c>
      <c r="J762" s="12" t="s">
        <v>23</v>
      </c>
    </row>
    <row r="763" customFormat="false" ht="15" hidden="false" customHeight="true" outlineLevel="0" collapsed="false">
      <c r="A763" s="12" t="n">
        <v>762</v>
      </c>
      <c r="B763" s="12" t="n">
        <v>24</v>
      </c>
      <c r="C763" s="12" t="s">
        <v>44</v>
      </c>
      <c r="D763" s="12" t="n">
        <v>2</v>
      </c>
      <c r="E763" s="12" t="s">
        <v>48</v>
      </c>
      <c r="F763" s="12" t="s">
        <v>43</v>
      </c>
      <c r="G763" s="12" t="s">
        <v>43</v>
      </c>
      <c r="H763" s="12" t="n">
        <v>2124</v>
      </c>
      <c r="I763" s="12" t="n">
        <v>18</v>
      </c>
      <c r="J763" s="12" t="s">
        <v>25</v>
      </c>
    </row>
    <row r="764" customFormat="false" ht="15" hidden="false" customHeight="true" outlineLevel="0" collapsed="false">
      <c r="A764" s="12" t="n">
        <v>763</v>
      </c>
      <c r="B764" s="12" t="n">
        <v>24</v>
      </c>
      <c r="C764" s="12" t="s">
        <v>40</v>
      </c>
      <c r="D764" s="12" t="n">
        <v>1</v>
      </c>
      <c r="E764" s="12" t="s">
        <v>41</v>
      </c>
      <c r="F764" s="12" t="s">
        <v>43</v>
      </c>
      <c r="G764" s="12" t="s">
        <v>43</v>
      </c>
      <c r="H764" s="12" t="n">
        <v>2214</v>
      </c>
      <c r="I764" s="12" t="n">
        <v>12</v>
      </c>
      <c r="J764" s="12" t="s">
        <v>24</v>
      </c>
    </row>
    <row r="765" customFormat="false" ht="15" hidden="false" customHeight="true" outlineLevel="0" collapsed="false">
      <c r="A765" s="12" t="n">
        <v>764</v>
      </c>
      <c r="B765" s="12" t="n">
        <v>30</v>
      </c>
      <c r="C765" s="12" t="s">
        <v>40</v>
      </c>
      <c r="D765" s="12" t="n">
        <v>3</v>
      </c>
      <c r="E765" s="12" t="s">
        <v>46</v>
      </c>
      <c r="F765" s="12" t="s">
        <v>42</v>
      </c>
      <c r="G765" s="12" t="s">
        <v>42</v>
      </c>
      <c r="H765" s="12" t="n">
        <v>12680</v>
      </c>
      <c r="I765" s="12" t="n">
        <v>21</v>
      </c>
      <c r="J765" s="12" t="s">
        <v>23</v>
      </c>
    </row>
    <row r="766" customFormat="false" ht="15" hidden="false" customHeight="true" outlineLevel="0" collapsed="false">
      <c r="A766" s="12" t="n">
        <v>765</v>
      </c>
      <c r="B766" s="12" t="n">
        <v>27</v>
      </c>
      <c r="C766" s="12" t="s">
        <v>40</v>
      </c>
      <c r="D766" s="12" t="n">
        <v>2</v>
      </c>
      <c r="E766" s="12" t="s">
        <v>41</v>
      </c>
      <c r="F766" s="12" t="s">
        <v>45</v>
      </c>
      <c r="G766" s="12" t="s">
        <v>42</v>
      </c>
      <c r="H766" s="12" t="n">
        <v>2463</v>
      </c>
      <c r="I766" s="12" t="n">
        <v>24</v>
      </c>
      <c r="J766" s="12" t="s">
        <v>23</v>
      </c>
    </row>
    <row r="767" customFormat="false" ht="15" hidden="false" customHeight="true" outlineLevel="0" collapsed="false">
      <c r="A767" s="12" t="n">
        <v>766</v>
      </c>
      <c r="B767" s="12" t="n">
        <v>40</v>
      </c>
      <c r="C767" s="12" t="s">
        <v>40</v>
      </c>
      <c r="D767" s="12" t="n">
        <v>1</v>
      </c>
      <c r="E767" s="12" t="s">
        <v>41</v>
      </c>
      <c r="F767" s="12" t="s">
        <v>43</v>
      </c>
      <c r="G767" s="12" t="s">
        <v>45</v>
      </c>
      <c r="H767" s="12" t="n">
        <v>1155</v>
      </c>
      <c r="I767" s="12" t="n">
        <v>12</v>
      </c>
      <c r="J767" s="12" t="s">
        <v>24</v>
      </c>
    </row>
    <row r="768" customFormat="false" ht="15" hidden="false" customHeight="true" outlineLevel="0" collapsed="false">
      <c r="A768" s="12" t="n">
        <v>767</v>
      </c>
      <c r="B768" s="12" t="n">
        <v>31</v>
      </c>
      <c r="C768" s="12" t="s">
        <v>40</v>
      </c>
      <c r="D768" s="12" t="n">
        <v>1</v>
      </c>
      <c r="E768" s="12" t="s">
        <v>41</v>
      </c>
      <c r="F768" s="12" t="s">
        <v>43</v>
      </c>
      <c r="G768" s="12" t="s">
        <v>43</v>
      </c>
      <c r="H768" s="12" t="n">
        <v>3108</v>
      </c>
      <c r="I768" s="12" t="n">
        <v>30</v>
      </c>
      <c r="J768" s="12" t="s">
        <v>25</v>
      </c>
    </row>
    <row r="769" customFormat="false" ht="15" hidden="false" customHeight="true" outlineLevel="0" collapsed="false">
      <c r="A769" s="12" t="n">
        <v>768</v>
      </c>
      <c r="B769" s="12" t="n">
        <v>31</v>
      </c>
      <c r="C769" s="12" t="s">
        <v>44</v>
      </c>
      <c r="D769" s="12" t="n">
        <v>2</v>
      </c>
      <c r="E769" s="12" t="s">
        <v>48</v>
      </c>
      <c r="F769" s="12" t="s">
        <v>42</v>
      </c>
      <c r="G769" s="12" t="s">
        <v>42</v>
      </c>
      <c r="H769" s="12" t="n">
        <v>2901</v>
      </c>
      <c r="I769" s="12" t="n">
        <v>10</v>
      </c>
      <c r="J769" s="12" t="s">
        <v>23</v>
      </c>
    </row>
    <row r="770" customFormat="false" ht="15" hidden="false" customHeight="true" outlineLevel="0" collapsed="false">
      <c r="A770" s="12" t="n">
        <v>769</v>
      </c>
      <c r="B770" s="12" t="n">
        <v>28</v>
      </c>
      <c r="C770" s="12" t="s">
        <v>40</v>
      </c>
      <c r="D770" s="12" t="n">
        <v>2</v>
      </c>
      <c r="E770" s="12" t="s">
        <v>48</v>
      </c>
      <c r="F770" s="12" t="s">
        <v>43</v>
      </c>
      <c r="G770" s="12" t="s">
        <v>45</v>
      </c>
      <c r="H770" s="12" t="n">
        <v>3617</v>
      </c>
      <c r="I770" s="12" t="n">
        <v>12</v>
      </c>
      <c r="J770" s="12" t="s">
        <v>25</v>
      </c>
    </row>
    <row r="771" customFormat="false" ht="15" hidden="false" customHeight="true" outlineLevel="0" collapsed="false">
      <c r="A771" s="12" t="n">
        <v>770</v>
      </c>
      <c r="B771" s="12" t="n">
        <v>63</v>
      </c>
      <c r="C771" s="12" t="s">
        <v>40</v>
      </c>
      <c r="D771" s="12" t="n">
        <v>1</v>
      </c>
      <c r="E771" s="12" t="s">
        <v>41</v>
      </c>
      <c r="F771" s="12" t="s">
        <v>43</v>
      </c>
      <c r="G771" s="12" t="s">
        <v>42</v>
      </c>
      <c r="H771" s="12" t="n">
        <v>1655</v>
      </c>
      <c r="I771" s="12" t="n">
        <v>12</v>
      </c>
      <c r="J771" s="12" t="s">
        <v>24</v>
      </c>
    </row>
    <row r="772" customFormat="false" ht="15" hidden="false" customHeight="true" outlineLevel="0" collapsed="false">
      <c r="A772" s="12" t="n">
        <v>771</v>
      </c>
      <c r="B772" s="12" t="n">
        <v>26</v>
      </c>
      <c r="C772" s="12" t="s">
        <v>44</v>
      </c>
      <c r="D772" s="12" t="n">
        <v>2</v>
      </c>
      <c r="E772" s="12" t="s">
        <v>48</v>
      </c>
      <c r="F772" s="12" t="s">
        <v>42</v>
      </c>
      <c r="G772" s="12" t="s">
        <v>43</v>
      </c>
      <c r="H772" s="12" t="n">
        <v>2812</v>
      </c>
      <c r="I772" s="12" t="n">
        <v>24</v>
      </c>
      <c r="J772" s="12" t="s">
        <v>23</v>
      </c>
    </row>
    <row r="773" customFormat="false" ht="15" hidden="false" customHeight="true" outlineLevel="0" collapsed="false">
      <c r="A773" s="12" t="n">
        <v>772</v>
      </c>
      <c r="B773" s="12" t="n">
        <v>25</v>
      </c>
      <c r="C773" s="12" t="s">
        <v>44</v>
      </c>
      <c r="D773" s="12" t="n">
        <v>3</v>
      </c>
      <c r="E773" s="12" t="s">
        <v>41</v>
      </c>
      <c r="F773" s="12" t="s">
        <v>43</v>
      </c>
      <c r="G773" s="12" t="s">
        <v>43</v>
      </c>
      <c r="H773" s="12" t="n">
        <v>8065</v>
      </c>
      <c r="I773" s="12" t="n">
        <v>36</v>
      </c>
      <c r="J773" s="12" t="s">
        <v>27</v>
      </c>
    </row>
    <row r="774" customFormat="false" ht="15" hidden="false" customHeight="true" outlineLevel="0" collapsed="false">
      <c r="A774" s="12" t="n">
        <v>773</v>
      </c>
      <c r="B774" s="12" t="n">
        <v>36</v>
      </c>
      <c r="C774" s="12" t="s">
        <v>40</v>
      </c>
      <c r="D774" s="12" t="n">
        <v>3</v>
      </c>
      <c r="E774" s="12" t="s">
        <v>41</v>
      </c>
      <c r="F774" s="12" t="s">
        <v>43</v>
      </c>
      <c r="G774" s="12" t="s">
        <v>42</v>
      </c>
      <c r="H774" s="12" t="n">
        <v>3275</v>
      </c>
      <c r="I774" s="12" t="n">
        <v>21</v>
      </c>
      <c r="J774" s="12" t="s">
        <v>23</v>
      </c>
    </row>
    <row r="775" customFormat="false" ht="15" hidden="false" customHeight="true" outlineLevel="0" collapsed="false">
      <c r="A775" s="12" t="n">
        <v>774</v>
      </c>
      <c r="B775" s="12" t="n">
        <v>52</v>
      </c>
      <c r="C775" s="12" t="s">
        <v>40</v>
      </c>
      <c r="D775" s="12" t="n">
        <v>2</v>
      </c>
      <c r="E775" s="12" t="s">
        <v>41</v>
      </c>
      <c r="F775" s="12" t="s">
        <v>45</v>
      </c>
      <c r="G775" s="12" t="s">
        <v>42</v>
      </c>
      <c r="H775" s="12" t="n">
        <v>2223</v>
      </c>
      <c r="I775" s="12" t="n">
        <v>24</v>
      </c>
      <c r="J775" s="12" t="s">
        <v>24</v>
      </c>
    </row>
    <row r="776" customFormat="false" ht="15" hidden="false" customHeight="true" outlineLevel="0" collapsed="false">
      <c r="A776" s="12" t="n">
        <v>775</v>
      </c>
      <c r="B776" s="12" t="n">
        <v>66</v>
      </c>
      <c r="C776" s="12" t="s">
        <v>40</v>
      </c>
      <c r="D776" s="12" t="n">
        <v>0</v>
      </c>
      <c r="E776" s="12" t="s">
        <v>46</v>
      </c>
      <c r="F776" s="12" t="s">
        <v>47</v>
      </c>
      <c r="G776" s="12" t="s">
        <v>49</v>
      </c>
      <c r="H776" s="12" t="n">
        <v>1480</v>
      </c>
      <c r="I776" s="12" t="n">
        <v>12</v>
      </c>
      <c r="J776" s="12" t="s">
        <v>23</v>
      </c>
    </row>
    <row r="777" customFormat="false" ht="15" hidden="false" customHeight="true" outlineLevel="0" collapsed="false">
      <c r="A777" s="12" t="n">
        <v>776</v>
      </c>
      <c r="B777" s="12" t="n">
        <v>25</v>
      </c>
      <c r="C777" s="12" t="s">
        <v>44</v>
      </c>
      <c r="D777" s="12" t="n">
        <v>2</v>
      </c>
      <c r="E777" s="12" t="s">
        <v>48</v>
      </c>
      <c r="F777" s="12" t="s">
        <v>42</v>
      </c>
      <c r="G777" s="12" t="s">
        <v>43</v>
      </c>
      <c r="H777" s="12" t="n">
        <v>1371</v>
      </c>
      <c r="I777" s="12" t="n">
        <v>24</v>
      </c>
      <c r="J777" s="12" t="s">
        <v>23</v>
      </c>
    </row>
    <row r="778" customFormat="false" ht="15" hidden="false" customHeight="true" outlineLevel="0" collapsed="false">
      <c r="A778" s="12" t="n">
        <v>777</v>
      </c>
      <c r="B778" s="12" t="n">
        <v>37</v>
      </c>
      <c r="C778" s="12" t="s">
        <v>40</v>
      </c>
      <c r="D778" s="12" t="n">
        <v>2</v>
      </c>
      <c r="E778" s="12" t="s">
        <v>41</v>
      </c>
      <c r="F778" s="12" t="s">
        <v>43</v>
      </c>
      <c r="G778" s="12" t="s">
        <v>42</v>
      </c>
      <c r="H778" s="12" t="n">
        <v>3535</v>
      </c>
      <c r="I778" s="12" t="n">
        <v>36</v>
      </c>
      <c r="J778" s="12" t="s">
        <v>23</v>
      </c>
    </row>
    <row r="779" customFormat="false" ht="15" hidden="false" customHeight="true" outlineLevel="0" collapsed="false">
      <c r="A779" s="12" t="n">
        <v>778</v>
      </c>
      <c r="B779" s="12" t="n">
        <v>25</v>
      </c>
      <c r="C779" s="12" t="s">
        <v>44</v>
      </c>
      <c r="D779" s="12" t="n">
        <v>2</v>
      </c>
      <c r="E779" s="12" t="s">
        <v>41</v>
      </c>
      <c r="F779" s="12" t="s">
        <v>43</v>
      </c>
      <c r="G779" s="12" t="s">
        <v>43</v>
      </c>
      <c r="H779" s="12" t="n">
        <v>3509</v>
      </c>
      <c r="I779" s="12" t="n">
        <v>18</v>
      </c>
      <c r="J779" s="12" t="s">
        <v>24</v>
      </c>
    </row>
    <row r="780" customFormat="false" ht="15" hidden="false" customHeight="true" outlineLevel="0" collapsed="false">
      <c r="A780" s="12" t="n">
        <v>779</v>
      </c>
      <c r="B780" s="12" t="n">
        <v>38</v>
      </c>
      <c r="C780" s="12" t="s">
        <v>40</v>
      </c>
      <c r="D780" s="12" t="n">
        <v>3</v>
      </c>
      <c r="E780" s="12" t="s">
        <v>41</v>
      </c>
      <c r="F780" s="12" t="s">
        <v>49</v>
      </c>
      <c r="G780" s="12" t="s">
        <v>42</v>
      </c>
      <c r="H780" s="12" t="n">
        <v>5711</v>
      </c>
      <c r="I780" s="12" t="n">
        <v>36</v>
      </c>
      <c r="J780" s="12" t="s">
        <v>23</v>
      </c>
    </row>
    <row r="781" customFormat="false" ht="15" hidden="false" customHeight="true" outlineLevel="0" collapsed="false">
      <c r="A781" s="12" t="n">
        <v>780</v>
      </c>
      <c r="B781" s="12" t="n">
        <v>67</v>
      </c>
      <c r="C781" s="12" t="s">
        <v>44</v>
      </c>
      <c r="D781" s="12" t="n">
        <v>2</v>
      </c>
      <c r="E781" s="12" t="s">
        <v>41</v>
      </c>
      <c r="F781" s="12" t="s">
        <v>43</v>
      </c>
      <c r="G781" s="12" t="s">
        <v>45</v>
      </c>
      <c r="H781" s="12" t="n">
        <v>3872</v>
      </c>
      <c r="I781" s="12" t="n">
        <v>18</v>
      </c>
      <c r="J781" s="12" t="s">
        <v>28</v>
      </c>
    </row>
    <row r="782" customFormat="false" ht="15" hidden="false" customHeight="true" outlineLevel="0" collapsed="false">
      <c r="A782" s="12" t="n">
        <v>781</v>
      </c>
      <c r="B782" s="12" t="n">
        <v>25</v>
      </c>
      <c r="C782" s="12" t="s">
        <v>40</v>
      </c>
      <c r="D782" s="12" t="n">
        <v>2</v>
      </c>
      <c r="E782" s="12" t="s">
        <v>41</v>
      </c>
      <c r="F782" s="12" t="s">
        <v>43</v>
      </c>
      <c r="G782" s="12" t="s">
        <v>45</v>
      </c>
      <c r="H782" s="12" t="n">
        <v>4933</v>
      </c>
      <c r="I782" s="12" t="n">
        <v>39</v>
      </c>
      <c r="J782" s="12" t="s">
        <v>24</v>
      </c>
    </row>
    <row r="783" customFormat="false" ht="15" hidden="false" customHeight="true" outlineLevel="0" collapsed="false">
      <c r="A783" s="12" t="n">
        <v>782</v>
      </c>
      <c r="B783" s="12" t="n">
        <v>60</v>
      </c>
      <c r="C783" s="12" t="s">
        <v>40</v>
      </c>
      <c r="D783" s="12" t="n">
        <v>2</v>
      </c>
      <c r="E783" s="12" t="s">
        <v>41</v>
      </c>
      <c r="F783" s="12" t="s">
        <v>49</v>
      </c>
      <c r="G783" s="12" t="s">
        <v>42</v>
      </c>
      <c r="H783" s="12" t="n">
        <v>1940</v>
      </c>
      <c r="I783" s="12" t="n">
        <v>24</v>
      </c>
      <c r="J783" s="12" t="s">
        <v>23</v>
      </c>
    </row>
    <row r="784" customFormat="false" ht="15" hidden="false" customHeight="true" outlineLevel="0" collapsed="false">
      <c r="A784" s="12" t="n">
        <v>783</v>
      </c>
      <c r="B784" s="12" t="n">
        <v>31</v>
      </c>
      <c r="C784" s="12" t="s">
        <v>40</v>
      </c>
      <c r="D784" s="12" t="n">
        <v>1</v>
      </c>
      <c r="E784" s="12" t="s">
        <v>41</v>
      </c>
      <c r="F784" s="12" t="s">
        <v>43</v>
      </c>
      <c r="G784" s="12" t="s">
        <v>45</v>
      </c>
      <c r="H784" s="12" t="n">
        <v>1410</v>
      </c>
      <c r="I784" s="12" t="n">
        <v>12</v>
      </c>
      <c r="J784" s="12" t="s">
        <v>27</v>
      </c>
    </row>
    <row r="785" customFormat="false" ht="15" hidden="false" customHeight="true" outlineLevel="0" collapsed="false">
      <c r="A785" s="12" t="n">
        <v>784</v>
      </c>
      <c r="B785" s="12" t="n">
        <v>23</v>
      </c>
      <c r="C785" s="12" t="s">
        <v>44</v>
      </c>
      <c r="D785" s="12" t="n">
        <v>1</v>
      </c>
      <c r="E785" s="12" t="s">
        <v>41</v>
      </c>
      <c r="F785" s="12" t="s">
        <v>45</v>
      </c>
      <c r="G785" s="12" t="s">
        <v>45</v>
      </c>
      <c r="H785" s="12" t="n">
        <v>836</v>
      </c>
      <c r="I785" s="12" t="n">
        <v>12</v>
      </c>
      <c r="J785" s="12" t="s">
        <v>23</v>
      </c>
    </row>
    <row r="786" customFormat="false" ht="15" hidden="false" customHeight="true" outlineLevel="0" collapsed="false">
      <c r="A786" s="12" t="n">
        <v>785</v>
      </c>
      <c r="B786" s="12" t="n">
        <v>60</v>
      </c>
      <c r="C786" s="12" t="s">
        <v>40</v>
      </c>
      <c r="D786" s="12" t="n">
        <v>3</v>
      </c>
      <c r="E786" s="12" t="s">
        <v>41</v>
      </c>
      <c r="F786" s="12" t="s">
        <v>42</v>
      </c>
      <c r="G786" s="12" t="s">
        <v>45</v>
      </c>
      <c r="H786" s="12" t="n">
        <v>6468</v>
      </c>
      <c r="I786" s="12" t="n">
        <v>20</v>
      </c>
      <c r="J786" s="12" t="s">
        <v>23</v>
      </c>
    </row>
    <row r="787" customFormat="false" ht="15" hidden="false" customHeight="true" outlineLevel="0" collapsed="false">
      <c r="A787" s="12" t="n">
        <v>786</v>
      </c>
      <c r="B787" s="12" t="n">
        <v>35</v>
      </c>
      <c r="C787" s="12" t="s">
        <v>40</v>
      </c>
      <c r="D787" s="12" t="n">
        <v>1</v>
      </c>
      <c r="E787" s="12" t="s">
        <v>41</v>
      </c>
      <c r="F787" s="12" t="s">
        <v>49</v>
      </c>
      <c r="G787" s="12" t="s">
        <v>45</v>
      </c>
      <c r="H787" s="12" t="n">
        <v>1941</v>
      </c>
      <c r="I787" s="12" t="n">
        <v>18</v>
      </c>
      <c r="J787" s="12" t="s">
        <v>26</v>
      </c>
    </row>
    <row r="788" customFormat="false" ht="15" hidden="false" customHeight="true" outlineLevel="0" collapsed="false">
      <c r="A788" s="12" t="n">
        <v>787</v>
      </c>
      <c r="B788" s="12" t="n">
        <v>40</v>
      </c>
      <c r="C788" s="12" t="s">
        <v>40</v>
      </c>
      <c r="D788" s="12" t="n">
        <v>2</v>
      </c>
      <c r="E788" s="12" t="s">
        <v>41</v>
      </c>
      <c r="F788" s="12" t="s">
        <v>47</v>
      </c>
      <c r="G788" s="12" t="s">
        <v>42</v>
      </c>
      <c r="H788" s="12" t="n">
        <v>2675</v>
      </c>
      <c r="I788" s="12" t="n">
        <v>22</v>
      </c>
      <c r="J788" s="12" t="s">
        <v>24</v>
      </c>
    </row>
    <row r="789" customFormat="false" ht="15" hidden="false" customHeight="true" outlineLevel="0" collapsed="false">
      <c r="A789" s="12" t="n">
        <v>788</v>
      </c>
      <c r="B789" s="12" t="n">
        <v>38</v>
      </c>
      <c r="C789" s="12" t="s">
        <v>40</v>
      </c>
      <c r="D789" s="12" t="n">
        <v>2</v>
      </c>
      <c r="E789" s="12" t="s">
        <v>41</v>
      </c>
      <c r="F789" s="12" t="s">
        <v>42</v>
      </c>
      <c r="G789" s="12" t="s">
        <v>42</v>
      </c>
      <c r="H789" s="12" t="n">
        <v>2751</v>
      </c>
      <c r="I789" s="12" t="n">
        <v>48</v>
      </c>
      <c r="J789" s="12" t="s">
        <v>23</v>
      </c>
    </row>
    <row r="790" customFormat="false" ht="15" hidden="false" customHeight="true" outlineLevel="0" collapsed="false">
      <c r="A790" s="12" t="n">
        <v>789</v>
      </c>
      <c r="B790" s="12" t="n">
        <v>50</v>
      </c>
      <c r="C790" s="12" t="s">
        <v>40</v>
      </c>
      <c r="D790" s="12" t="n">
        <v>2</v>
      </c>
      <c r="E790" s="12" t="s">
        <v>46</v>
      </c>
      <c r="F790" s="12" t="s">
        <v>43</v>
      </c>
      <c r="G790" s="12" t="s">
        <v>45</v>
      </c>
      <c r="H790" s="12" t="n">
        <v>6224</v>
      </c>
      <c r="I790" s="12" t="n">
        <v>48</v>
      </c>
      <c r="J790" s="12" t="s">
        <v>27</v>
      </c>
    </row>
    <row r="791" customFormat="false" ht="15" hidden="false" customHeight="true" outlineLevel="0" collapsed="false">
      <c r="A791" s="12" t="n">
        <v>790</v>
      </c>
      <c r="B791" s="12" t="n">
        <v>27</v>
      </c>
      <c r="C791" s="12" t="s">
        <v>40</v>
      </c>
      <c r="D791" s="12" t="n">
        <v>2</v>
      </c>
      <c r="E791" s="12" t="s">
        <v>41</v>
      </c>
      <c r="F791" s="12" t="s">
        <v>43</v>
      </c>
      <c r="G791" s="12" t="s">
        <v>43</v>
      </c>
      <c r="H791" s="12" t="n">
        <v>5998</v>
      </c>
      <c r="I791" s="12" t="n">
        <v>40</v>
      </c>
      <c r="J791" s="12" t="s">
        <v>27</v>
      </c>
    </row>
    <row r="792" customFormat="false" ht="15" hidden="false" customHeight="true" outlineLevel="0" collapsed="false">
      <c r="A792" s="12" t="n">
        <v>791</v>
      </c>
      <c r="B792" s="12" t="n">
        <v>39</v>
      </c>
      <c r="C792" s="12" t="s">
        <v>44</v>
      </c>
      <c r="D792" s="12" t="n">
        <v>2</v>
      </c>
      <c r="E792" s="12" t="s">
        <v>41</v>
      </c>
      <c r="F792" s="12" t="s">
        <v>43</v>
      </c>
      <c r="G792" s="12" t="s">
        <v>45</v>
      </c>
      <c r="H792" s="12" t="n">
        <v>1188</v>
      </c>
      <c r="I792" s="12" t="n">
        <v>21</v>
      </c>
      <c r="J792" s="12" t="s">
        <v>26</v>
      </c>
    </row>
    <row r="793" customFormat="false" ht="15" hidden="false" customHeight="true" outlineLevel="0" collapsed="false">
      <c r="A793" s="12" t="n">
        <v>792</v>
      </c>
      <c r="B793" s="12" t="n">
        <v>41</v>
      </c>
      <c r="C793" s="12" t="s">
        <v>40</v>
      </c>
      <c r="D793" s="12" t="n">
        <v>3</v>
      </c>
      <c r="E793" s="12" t="s">
        <v>41</v>
      </c>
      <c r="F793" s="12" t="s">
        <v>42</v>
      </c>
      <c r="G793" s="12" t="s">
        <v>42</v>
      </c>
      <c r="H793" s="12" t="n">
        <v>6313</v>
      </c>
      <c r="I793" s="12" t="n">
        <v>24</v>
      </c>
      <c r="J793" s="12" t="s">
        <v>23</v>
      </c>
    </row>
    <row r="794" customFormat="false" ht="15" hidden="false" customHeight="true" outlineLevel="0" collapsed="false">
      <c r="A794" s="12" t="n">
        <v>793</v>
      </c>
      <c r="B794" s="12" t="n">
        <v>27</v>
      </c>
      <c r="C794" s="12" t="s">
        <v>40</v>
      </c>
      <c r="D794" s="12" t="n">
        <v>2</v>
      </c>
      <c r="E794" s="12" t="s">
        <v>41</v>
      </c>
      <c r="F794" s="12" t="s">
        <v>42</v>
      </c>
      <c r="G794" s="12" t="s">
        <v>42</v>
      </c>
      <c r="H794" s="12" t="n">
        <v>1221</v>
      </c>
      <c r="I794" s="12" t="n">
        <v>6</v>
      </c>
      <c r="J794" s="12" t="s">
        <v>25</v>
      </c>
    </row>
    <row r="795" customFormat="false" ht="15" hidden="false" customHeight="true" outlineLevel="0" collapsed="false">
      <c r="A795" s="12" t="n">
        <v>794</v>
      </c>
      <c r="B795" s="12" t="n">
        <v>51</v>
      </c>
      <c r="C795" s="12" t="s">
        <v>40</v>
      </c>
      <c r="D795" s="12" t="n">
        <v>2</v>
      </c>
      <c r="E795" s="12" t="s">
        <v>46</v>
      </c>
      <c r="F795" s="12" t="s">
        <v>43</v>
      </c>
      <c r="G795" s="12" t="s">
        <v>49</v>
      </c>
      <c r="H795" s="12" t="n">
        <v>2892</v>
      </c>
      <c r="I795" s="12" t="n">
        <v>24</v>
      </c>
      <c r="J795" s="12" t="s">
        <v>25</v>
      </c>
    </row>
    <row r="796" customFormat="false" ht="15" hidden="false" customHeight="true" outlineLevel="0" collapsed="false">
      <c r="A796" s="12" t="n">
        <v>795</v>
      </c>
      <c r="B796" s="12" t="n">
        <v>32</v>
      </c>
      <c r="C796" s="12" t="s">
        <v>40</v>
      </c>
      <c r="D796" s="12" t="n">
        <v>2</v>
      </c>
      <c r="E796" s="12" t="s">
        <v>48</v>
      </c>
      <c r="F796" s="12" t="s">
        <v>47</v>
      </c>
      <c r="G796" s="12" t="s">
        <v>42</v>
      </c>
      <c r="H796" s="12" t="n">
        <v>3062</v>
      </c>
      <c r="I796" s="12" t="n">
        <v>24</v>
      </c>
      <c r="J796" s="12" t="s">
        <v>25</v>
      </c>
    </row>
    <row r="797" customFormat="false" ht="15" hidden="false" customHeight="true" outlineLevel="0" collapsed="false">
      <c r="A797" s="12" t="n">
        <v>796</v>
      </c>
      <c r="B797" s="12" t="n">
        <v>22</v>
      </c>
      <c r="C797" s="12" t="s">
        <v>44</v>
      </c>
      <c r="D797" s="12" t="n">
        <v>2</v>
      </c>
      <c r="E797" s="12" t="s">
        <v>48</v>
      </c>
      <c r="F797" s="12" t="s">
        <v>45</v>
      </c>
      <c r="G797" s="12" t="s">
        <v>42</v>
      </c>
      <c r="H797" s="12" t="n">
        <v>2301</v>
      </c>
      <c r="I797" s="12" t="n">
        <v>9</v>
      </c>
      <c r="J797" s="12" t="s">
        <v>25</v>
      </c>
    </row>
    <row r="798" customFormat="false" ht="15" hidden="false" customHeight="true" outlineLevel="0" collapsed="false">
      <c r="A798" s="12" t="n">
        <v>797</v>
      </c>
      <c r="B798" s="12" t="n">
        <v>51</v>
      </c>
      <c r="C798" s="12" t="s">
        <v>40</v>
      </c>
      <c r="D798" s="12" t="n">
        <v>2</v>
      </c>
      <c r="E798" s="12" t="s">
        <v>46</v>
      </c>
      <c r="F798" s="12" t="s">
        <v>42</v>
      </c>
      <c r="G798" s="12" t="s">
        <v>43</v>
      </c>
      <c r="H798" s="12" t="n">
        <v>7511</v>
      </c>
      <c r="I798" s="12" t="n">
        <v>18</v>
      </c>
      <c r="J798" s="12" t="s">
        <v>23</v>
      </c>
    </row>
    <row r="799" customFormat="false" ht="15" hidden="false" customHeight="true" outlineLevel="0" collapsed="false">
      <c r="A799" s="12" t="n">
        <v>798</v>
      </c>
      <c r="B799" s="12" t="n">
        <v>22</v>
      </c>
      <c r="C799" s="12" t="s">
        <v>44</v>
      </c>
      <c r="D799" s="12" t="n">
        <v>1</v>
      </c>
      <c r="E799" s="12" t="s">
        <v>48</v>
      </c>
      <c r="F799" s="12" t="s">
        <v>43</v>
      </c>
      <c r="G799" s="12" t="s">
        <v>42</v>
      </c>
      <c r="H799" s="12" t="n">
        <v>1258</v>
      </c>
      <c r="I799" s="12" t="n">
        <v>12</v>
      </c>
      <c r="J799" s="12" t="s">
        <v>25</v>
      </c>
    </row>
    <row r="800" customFormat="false" ht="15" hidden="false" customHeight="true" outlineLevel="0" collapsed="false">
      <c r="A800" s="12" t="n">
        <v>799</v>
      </c>
      <c r="B800" s="12" t="n">
        <v>54</v>
      </c>
      <c r="C800" s="12" t="s">
        <v>40</v>
      </c>
      <c r="D800" s="12" t="n">
        <v>2</v>
      </c>
      <c r="E800" s="12" t="s">
        <v>41</v>
      </c>
      <c r="F800" s="12" t="s">
        <v>42</v>
      </c>
      <c r="G800" s="12" t="s">
        <v>42</v>
      </c>
      <c r="H800" s="12" t="n">
        <v>717</v>
      </c>
      <c r="I800" s="12" t="n">
        <v>24</v>
      </c>
      <c r="J800" s="12" t="s">
        <v>23</v>
      </c>
    </row>
    <row r="801" customFormat="false" ht="15" hidden="false" customHeight="true" outlineLevel="0" collapsed="false">
      <c r="A801" s="12" t="n">
        <v>800</v>
      </c>
      <c r="B801" s="12" t="n">
        <v>35</v>
      </c>
      <c r="C801" s="12" t="s">
        <v>40</v>
      </c>
      <c r="D801" s="12" t="n">
        <v>0</v>
      </c>
      <c r="E801" s="12" t="s">
        <v>41</v>
      </c>
      <c r="F801" s="12" t="s">
        <v>42</v>
      </c>
      <c r="G801" s="12" t="s">
        <v>45</v>
      </c>
      <c r="H801" s="12" t="n">
        <v>1549</v>
      </c>
      <c r="I801" s="12" t="n">
        <v>9</v>
      </c>
      <c r="J801" s="12" t="s">
        <v>23</v>
      </c>
    </row>
    <row r="802" customFormat="false" ht="15" hidden="false" customHeight="true" outlineLevel="0" collapsed="false">
      <c r="A802" s="12" t="n">
        <v>801</v>
      </c>
      <c r="B802" s="12" t="n">
        <v>54</v>
      </c>
      <c r="C802" s="12" t="s">
        <v>40</v>
      </c>
      <c r="D802" s="12" t="n">
        <v>2</v>
      </c>
      <c r="E802" s="12" t="s">
        <v>46</v>
      </c>
      <c r="F802" s="12" t="s">
        <v>43</v>
      </c>
      <c r="G802" s="12" t="s">
        <v>42</v>
      </c>
      <c r="H802" s="12" t="n">
        <v>1597</v>
      </c>
      <c r="I802" s="12" t="n">
        <v>24</v>
      </c>
      <c r="J802" s="12" t="s">
        <v>27</v>
      </c>
    </row>
    <row r="803" customFormat="false" ht="15" hidden="false" customHeight="true" outlineLevel="0" collapsed="false">
      <c r="A803" s="12" t="n">
        <v>802</v>
      </c>
      <c r="B803" s="12" t="n">
        <v>48</v>
      </c>
      <c r="C803" s="12" t="s">
        <v>44</v>
      </c>
      <c r="D803" s="12" t="n">
        <v>1</v>
      </c>
      <c r="E803" s="12" t="s">
        <v>48</v>
      </c>
      <c r="F803" s="12" t="s">
        <v>43</v>
      </c>
      <c r="G803" s="12" t="s">
        <v>45</v>
      </c>
      <c r="H803" s="12" t="n">
        <v>1795</v>
      </c>
      <c r="I803" s="12" t="n">
        <v>18</v>
      </c>
      <c r="J803" s="12" t="s">
        <v>24</v>
      </c>
    </row>
    <row r="804" customFormat="false" ht="15" hidden="false" customHeight="true" outlineLevel="0" collapsed="false">
      <c r="A804" s="12" t="n">
        <v>803</v>
      </c>
      <c r="B804" s="12" t="n">
        <v>24</v>
      </c>
      <c r="C804" s="12" t="s">
        <v>44</v>
      </c>
      <c r="D804" s="12" t="n">
        <v>2</v>
      </c>
      <c r="E804" s="12" t="s">
        <v>41</v>
      </c>
      <c r="F804" s="12" t="s">
        <v>43</v>
      </c>
      <c r="G804" s="12" t="s">
        <v>43</v>
      </c>
      <c r="H804" s="12" t="n">
        <v>4272</v>
      </c>
      <c r="I804" s="12" t="n">
        <v>20</v>
      </c>
      <c r="J804" s="12" t="s">
        <v>25</v>
      </c>
    </row>
    <row r="805" customFormat="false" ht="15" hidden="false" customHeight="true" outlineLevel="0" collapsed="false">
      <c r="A805" s="12" t="n">
        <v>804</v>
      </c>
      <c r="B805" s="12" t="n">
        <v>35</v>
      </c>
      <c r="C805" s="12" t="s">
        <v>40</v>
      </c>
      <c r="D805" s="12" t="n">
        <v>2</v>
      </c>
      <c r="E805" s="12" t="s">
        <v>41</v>
      </c>
      <c r="F805" s="12" t="s">
        <v>42</v>
      </c>
      <c r="G805" s="12" t="s">
        <v>42</v>
      </c>
      <c r="H805" s="12" t="n">
        <v>976</v>
      </c>
      <c r="I805" s="12" t="n">
        <v>12</v>
      </c>
      <c r="J805" s="12" t="s">
        <v>24</v>
      </c>
    </row>
    <row r="806" customFormat="false" ht="15" hidden="false" customHeight="true" outlineLevel="0" collapsed="false">
      <c r="A806" s="12" t="n">
        <v>805</v>
      </c>
      <c r="B806" s="12" t="n">
        <v>24</v>
      </c>
      <c r="C806" s="12" t="s">
        <v>44</v>
      </c>
      <c r="D806" s="12" t="n">
        <v>0</v>
      </c>
      <c r="E806" s="12" t="s">
        <v>48</v>
      </c>
      <c r="F806" s="12" t="s">
        <v>42</v>
      </c>
      <c r="G806" s="12" t="s">
        <v>45</v>
      </c>
      <c r="H806" s="12" t="n">
        <v>7472</v>
      </c>
      <c r="I806" s="12" t="n">
        <v>12</v>
      </c>
      <c r="J806" s="12" t="s">
        <v>23</v>
      </c>
    </row>
    <row r="807" customFormat="false" ht="15" hidden="false" customHeight="true" outlineLevel="0" collapsed="false">
      <c r="A807" s="12" t="n">
        <v>806</v>
      </c>
      <c r="B807" s="12" t="n">
        <v>24</v>
      </c>
      <c r="C807" s="12" t="s">
        <v>40</v>
      </c>
      <c r="D807" s="12" t="n">
        <v>2</v>
      </c>
      <c r="E807" s="12" t="s">
        <v>41</v>
      </c>
      <c r="F807" s="12" t="s">
        <v>43</v>
      </c>
      <c r="G807" s="12" t="s">
        <v>43</v>
      </c>
      <c r="H807" s="12" t="n">
        <v>9271</v>
      </c>
      <c r="I807" s="12" t="n">
        <v>36</v>
      </c>
      <c r="J807" s="12" t="s">
        <v>23</v>
      </c>
    </row>
    <row r="808" customFormat="false" ht="15" hidden="false" customHeight="true" outlineLevel="0" collapsed="false">
      <c r="A808" s="12" t="n">
        <v>807</v>
      </c>
      <c r="B808" s="12" t="n">
        <v>26</v>
      </c>
      <c r="C808" s="12" t="s">
        <v>40</v>
      </c>
      <c r="D808" s="12" t="n">
        <v>1</v>
      </c>
      <c r="E808" s="12" t="s">
        <v>41</v>
      </c>
      <c r="F808" s="12" t="s">
        <v>43</v>
      </c>
      <c r="G808" s="12" t="s">
        <v>45</v>
      </c>
      <c r="H808" s="12" t="n">
        <v>590</v>
      </c>
      <c r="I808" s="12" t="n">
        <v>6</v>
      </c>
      <c r="J808" s="12" t="s">
        <v>24</v>
      </c>
    </row>
    <row r="809" customFormat="false" ht="15" hidden="false" customHeight="true" outlineLevel="0" collapsed="false">
      <c r="A809" s="12" t="n">
        <v>808</v>
      </c>
      <c r="B809" s="12" t="n">
        <v>65</v>
      </c>
      <c r="C809" s="12" t="s">
        <v>40</v>
      </c>
      <c r="D809" s="12" t="n">
        <v>2</v>
      </c>
      <c r="E809" s="12" t="s">
        <v>41</v>
      </c>
      <c r="F809" s="12" t="s">
        <v>42</v>
      </c>
      <c r="G809" s="12" t="s">
        <v>42</v>
      </c>
      <c r="H809" s="12" t="n">
        <v>930</v>
      </c>
      <c r="I809" s="12" t="n">
        <v>12</v>
      </c>
      <c r="J809" s="12" t="s">
        <v>24</v>
      </c>
    </row>
    <row r="810" customFormat="false" ht="15" hidden="false" customHeight="true" outlineLevel="0" collapsed="false">
      <c r="A810" s="12" t="n">
        <v>809</v>
      </c>
      <c r="B810" s="12" t="n">
        <v>55</v>
      </c>
      <c r="C810" s="12" t="s">
        <v>40</v>
      </c>
      <c r="D810" s="12" t="n">
        <v>3</v>
      </c>
      <c r="E810" s="12" t="s">
        <v>46</v>
      </c>
      <c r="F810" s="12" t="s">
        <v>43</v>
      </c>
      <c r="G810" s="12" t="s">
        <v>45</v>
      </c>
      <c r="H810" s="12" t="n">
        <v>9283</v>
      </c>
      <c r="I810" s="12" t="n">
        <v>42</v>
      </c>
      <c r="J810" s="12" t="s">
        <v>23</v>
      </c>
    </row>
    <row r="811" customFormat="false" ht="15" hidden="false" customHeight="true" outlineLevel="0" collapsed="false">
      <c r="A811" s="12" t="n">
        <v>810</v>
      </c>
      <c r="B811" s="12" t="n">
        <v>26</v>
      </c>
      <c r="C811" s="12" t="s">
        <v>44</v>
      </c>
      <c r="D811" s="12" t="n">
        <v>0</v>
      </c>
      <c r="E811" s="12" t="s">
        <v>48</v>
      </c>
      <c r="F811" s="12" t="s">
        <v>43</v>
      </c>
      <c r="G811" s="12" t="s">
        <v>45</v>
      </c>
      <c r="H811" s="12" t="n">
        <v>1778</v>
      </c>
      <c r="I811" s="12" t="n">
        <v>15</v>
      </c>
      <c r="J811" s="12" t="s">
        <v>23</v>
      </c>
    </row>
    <row r="812" customFormat="false" ht="15" hidden="false" customHeight="true" outlineLevel="0" collapsed="false">
      <c r="A812" s="12" t="n">
        <v>811</v>
      </c>
      <c r="B812" s="12" t="n">
        <v>26</v>
      </c>
      <c r="C812" s="12" t="s">
        <v>40</v>
      </c>
      <c r="D812" s="12" t="n">
        <v>2</v>
      </c>
      <c r="E812" s="12" t="s">
        <v>41</v>
      </c>
      <c r="F812" s="12" t="s">
        <v>43</v>
      </c>
      <c r="G812" s="12" t="s">
        <v>45</v>
      </c>
      <c r="H812" s="12" t="n">
        <v>907</v>
      </c>
      <c r="I812" s="12" t="n">
        <v>8</v>
      </c>
      <c r="J812" s="12" t="s">
        <v>26</v>
      </c>
    </row>
    <row r="813" customFormat="false" ht="15" hidden="false" customHeight="true" outlineLevel="0" collapsed="false">
      <c r="A813" s="12" t="n">
        <v>812</v>
      </c>
      <c r="B813" s="12" t="n">
        <v>28</v>
      </c>
      <c r="C813" s="12" t="s">
        <v>40</v>
      </c>
      <c r="D813" s="12" t="n">
        <v>1</v>
      </c>
      <c r="E813" s="12" t="s">
        <v>41</v>
      </c>
      <c r="F813" s="12" t="s">
        <v>43</v>
      </c>
      <c r="G813" s="12" t="s">
        <v>45</v>
      </c>
      <c r="H813" s="12" t="n">
        <v>484</v>
      </c>
      <c r="I813" s="12" t="n">
        <v>6</v>
      </c>
      <c r="J813" s="12" t="s">
        <v>24</v>
      </c>
    </row>
    <row r="814" customFormat="false" ht="15" hidden="false" customHeight="true" outlineLevel="0" collapsed="false">
      <c r="A814" s="12" t="n">
        <v>813</v>
      </c>
      <c r="B814" s="12" t="n">
        <v>24</v>
      </c>
      <c r="C814" s="12" t="s">
        <v>40</v>
      </c>
      <c r="D814" s="12" t="n">
        <v>2</v>
      </c>
      <c r="E814" s="12" t="s">
        <v>41</v>
      </c>
      <c r="F814" s="12" t="s">
        <v>43</v>
      </c>
      <c r="G814" s="12" t="s">
        <v>43</v>
      </c>
      <c r="H814" s="12" t="n">
        <v>9629</v>
      </c>
      <c r="I814" s="12" t="n">
        <v>36</v>
      </c>
      <c r="J814" s="12" t="s">
        <v>23</v>
      </c>
    </row>
    <row r="815" customFormat="false" ht="15" hidden="false" customHeight="true" outlineLevel="0" collapsed="false">
      <c r="A815" s="12" t="n">
        <v>814</v>
      </c>
      <c r="B815" s="12" t="n">
        <v>54</v>
      </c>
      <c r="C815" s="12" t="s">
        <v>40</v>
      </c>
      <c r="D815" s="12" t="n">
        <v>2</v>
      </c>
      <c r="E815" s="12" t="s">
        <v>41</v>
      </c>
      <c r="F815" s="12" t="s">
        <v>43</v>
      </c>
      <c r="G815" s="12" t="s">
        <v>43</v>
      </c>
      <c r="H815" s="12" t="n">
        <v>3051</v>
      </c>
      <c r="I815" s="12" t="n">
        <v>48</v>
      </c>
      <c r="J815" s="12" t="s">
        <v>29</v>
      </c>
    </row>
    <row r="816" customFormat="false" ht="15" hidden="false" customHeight="true" outlineLevel="0" collapsed="false">
      <c r="A816" s="12" t="n">
        <v>815</v>
      </c>
      <c r="B816" s="12" t="n">
        <v>46</v>
      </c>
      <c r="C816" s="12" t="s">
        <v>40</v>
      </c>
      <c r="D816" s="12" t="n">
        <v>2</v>
      </c>
      <c r="E816" s="12" t="s">
        <v>46</v>
      </c>
      <c r="F816" s="12" t="s">
        <v>43</v>
      </c>
      <c r="G816" s="12" t="s">
        <v>43</v>
      </c>
      <c r="H816" s="12" t="n">
        <v>3931</v>
      </c>
      <c r="I816" s="12" t="n">
        <v>48</v>
      </c>
      <c r="J816" s="12" t="s">
        <v>23</v>
      </c>
    </row>
    <row r="817" customFormat="false" ht="15" hidden="false" customHeight="true" outlineLevel="0" collapsed="false">
      <c r="A817" s="12" t="n">
        <v>816</v>
      </c>
      <c r="B817" s="12" t="n">
        <v>54</v>
      </c>
      <c r="C817" s="12" t="s">
        <v>44</v>
      </c>
      <c r="D817" s="12" t="n">
        <v>2</v>
      </c>
      <c r="E817" s="12" t="s">
        <v>48</v>
      </c>
      <c r="F817" s="12" t="s">
        <v>43</v>
      </c>
      <c r="G817" s="12" t="s">
        <v>45</v>
      </c>
      <c r="H817" s="12" t="n">
        <v>7432</v>
      </c>
      <c r="I817" s="12" t="n">
        <v>36</v>
      </c>
      <c r="J817" s="12" t="s">
        <v>23</v>
      </c>
    </row>
    <row r="818" customFormat="false" ht="15" hidden="false" customHeight="true" outlineLevel="0" collapsed="false">
      <c r="A818" s="12" t="n">
        <v>817</v>
      </c>
      <c r="B818" s="12" t="n">
        <v>62</v>
      </c>
      <c r="C818" s="12" t="s">
        <v>40</v>
      </c>
      <c r="D818" s="12" t="n">
        <v>2</v>
      </c>
      <c r="E818" s="12" t="s">
        <v>41</v>
      </c>
      <c r="F818" s="12" t="s">
        <v>47</v>
      </c>
      <c r="G818" s="12" t="s">
        <v>42</v>
      </c>
      <c r="H818" s="12" t="n">
        <v>1338</v>
      </c>
      <c r="I818" s="12" t="n">
        <v>6</v>
      </c>
      <c r="J818" s="12" t="s">
        <v>29</v>
      </c>
    </row>
    <row r="819" customFormat="false" ht="15" hidden="false" customHeight="true" outlineLevel="0" collapsed="false">
      <c r="A819" s="12" t="n">
        <v>818</v>
      </c>
      <c r="B819" s="12" t="n">
        <v>24</v>
      </c>
      <c r="C819" s="12" t="s">
        <v>44</v>
      </c>
      <c r="D819" s="12" t="n">
        <v>2</v>
      </c>
      <c r="E819" s="12" t="s">
        <v>48</v>
      </c>
      <c r="F819" s="12" t="s">
        <v>43</v>
      </c>
      <c r="G819" s="12" t="s">
        <v>42</v>
      </c>
      <c r="H819" s="12" t="n">
        <v>1554</v>
      </c>
      <c r="I819" s="12" t="n">
        <v>6</v>
      </c>
      <c r="J819" s="12" t="s">
        <v>24</v>
      </c>
    </row>
    <row r="820" customFormat="false" ht="15" hidden="false" customHeight="true" outlineLevel="0" collapsed="false">
      <c r="A820" s="12" t="n">
        <v>819</v>
      </c>
      <c r="B820" s="12" t="n">
        <v>43</v>
      </c>
      <c r="C820" s="12" t="s">
        <v>40</v>
      </c>
      <c r="D820" s="12" t="n">
        <v>3</v>
      </c>
      <c r="E820" s="12" t="s">
        <v>41</v>
      </c>
      <c r="F820" s="12" t="s">
        <v>43</v>
      </c>
      <c r="G820" s="12" t="s">
        <v>43</v>
      </c>
      <c r="H820" s="12" t="n">
        <v>15857</v>
      </c>
      <c r="I820" s="12" t="n">
        <v>36</v>
      </c>
      <c r="J820" s="12" t="s">
        <v>30</v>
      </c>
    </row>
    <row r="821" customFormat="false" ht="15" hidden="false" customHeight="true" outlineLevel="0" collapsed="false">
      <c r="A821" s="12" t="n">
        <v>820</v>
      </c>
      <c r="B821" s="12" t="n">
        <v>26</v>
      </c>
      <c r="C821" s="12" t="s">
        <v>40</v>
      </c>
      <c r="D821" s="12" t="n">
        <v>2</v>
      </c>
      <c r="E821" s="12" t="s">
        <v>41</v>
      </c>
      <c r="F821" s="12" t="s">
        <v>43</v>
      </c>
      <c r="G821" s="12" t="s">
        <v>43</v>
      </c>
      <c r="H821" s="12" t="n">
        <v>1345</v>
      </c>
      <c r="I821" s="12" t="n">
        <v>18</v>
      </c>
      <c r="J821" s="12" t="s">
        <v>24</v>
      </c>
    </row>
    <row r="822" customFormat="false" ht="15" hidden="false" customHeight="true" outlineLevel="0" collapsed="false">
      <c r="A822" s="12" t="n">
        <v>821</v>
      </c>
      <c r="B822" s="12" t="n">
        <v>27</v>
      </c>
      <c r="C822" s="12" t="s">
        <v>40</v>
      </c>
      <c r="D822" s="12" t="n">
        <v>2</v>
      </c>
      <c r="E822" s="12" t="s">
        <v>41</v>
      </c>
      <c r="F822" s="12" t="s">
        <v>43</v>
      </c>
      <c r="G822" s="12" t="s">
        <v>42</v>
      </c>
      <c r="H822" s="12" t="n">
        <v>1101</v>
      </c>
      <c r="I822" s="12" t="n">
        <v>12</v>
      </c>
      <c r="J822" s="12" t="s">
        <v>23</v>
      </c>
    </row>
    <row r="823" customFormat="false" ht="15" hidden="false" customHeight="true" outlineLevel="0" collapsed="false">
      <c r="A823" s="12" t="n">
        <v>822</v>
      </c>
      <c r="B823" s="12" t="n">
        <v>24</v>
      </c>
      <c r="C823" s="12" t="s">
        <v>40</v>
      </c>
      <c r="D823" s="12" t="n">
        <v>2</v>
      </c>
      <c r="E823" s="12" t="s">
        <v>41</v>
      </c>
      <c r="F823" s="12" t="s">
        <v>43</v>
      </c>
      <c r="G823" s="12" t="s">
        <v>49</v>
      </c>
      <c r="H823" s="12" t="n">
        <v>3016</v>
      </c>
      <c r="I823" s="12" t="n">
        <v>12</v>
      </c>
      <c r="J823" s="12" t="s">
        <v>24</v>
      </c>
    </row>
    <row r="824" customFormat="false" ht="15" hidden="false" customHeight="true" outlineLevel="0" collapsed="false">
      <c r="A824" s="12" t="n">
        <v>823</v>
      </c>
      <c r="B824" s="12" t="n">
        <v>41</v>
      </c>
      <c r="C824" s="12" t="s">
        <v>40</v>
      </c>
      <c r="D824" s="12" t="n">
        <v>2</v>
      </c>
      <c r="E824" s="12" t="s">
        <v>41</v>
      </c>
      <c r="F824" s="12" t="s">
        <v>43</v>
      </c>
      <c r="G824" s="12" t="s">
        <v>43</v>
      </c>
      <c r="H824" s="12" t="n">
        <v>2712</v>
      </c>
      <c r="I824" s="12" t="n">
        <v>36</v>
      </c>
      <c r="J824" s="12" t="s">
        <v>25</v>
      </c>
    </row>
    <row r="825" customFormat="false" ht="15" hidden="false" customHeight="true" outlineLevel="0" collapsed="false">
      <c r="A825" s="12" t="n">
        <v>824</v>
      </c>
      <c r="B825" s="12" t="n">
        <v>47</v>
      </c>
      <c r="C825" s="12" t="s">
        <v>40</v>
      </c>
      <c r="D825" s="12" t="n">
        <v>1</v>
      </c>
      <c r="E825" s="12" t="s">
        <v>41</v>
      </c>
      <c r="F825" s="12" t="s">
        <v>43</v>
      </c>
      <c r="G825" s="12" t="s">
        <v>43</v>
      </c>
      <c r="H825" s="12" t="n">
        <v>731</v>
      </c>
      <c r="I825" s="12" t="n">
        <v>8</v>
      </c>
      <c r="J825" s="12" t="s">
        <v>23</v>
      </c>
    </row>
    <row r="826" customFormat="false" ht="15" hidden="false" customHeight="true" outlineLevel="0" collapsed="false">
      <c r="A826" s="12" t="n">
        <v>825</v>
      </c>
      <c r="B826" s="12" t="n">
        <v>35</v>
      </c>
      <c r="C826" s="12" t="s">
        <v>40</v>
      </c>
      <c r="D826" s="12" t="n">
        <v>3</v>
      </c>
      <c r="E826" s="12" t="s">
        <v>41</v>
      </c>
      <c r="F826" s="12" t="s">
        <v>43</v>
      </c>
      <c r="G826" s="12" t="s">
        <v>42</v>
      </c>
      <c r="H826" s="12" t="n">
        <v>3780</v>
      </c>
      <c r="I826" s="12" t="n">
        <v>18</v>
      </c>
      <c r="J826" s="12" t="s">
        <v>25</v>
      </c>
    </row>
    <row r="827" customFormat="false" ht="15" hidden="false" customHeight="true" outlineLevel="0" collapsed="false">
      <c r="A827" s="12" t="n">
        <v>826</v>
      </c>
      <c r="B827" s="12" t="n">
        <v>30</v>
      </c>
      <c r="C827" s="12" t="s">
        <v>40</v>
      </c>
      <c r="D827" s="12" t="n">
        <v>2</v>
      </c>
      <c r="E827" s="12" t="s">
        <v>41</v>
      </c>
      <c r="F827" s="12" t="s">
        <v>43</v>
      </c>
      <c r="G827" s="12" t="s">
        <v>43</v>
      </c>
      <c r="H827" s="12" t="n">
        <v>1602</v>
      </c>
      <c r="I827" s="12" t="n">
        <v>21</v>
      </c>
      <c r="J827" s="12" t="s">
        <v>23</v>
      </c>
    </row>
    <row r="828" customFormat="false" ht="15" hidden="false" customHeight="true" outlineLevel="0" collapsed="false">
      <c r="A828" s="12" t="n">
        <v>827</v>
      </c>
      <c r="B828" s="12" t="n">
        <v>33</v>
      </c>
      <c r="C828" s="12" t="s">
        <v>44</v>
      </c>
      <c r="D828" s="12" t="n">
        <v>2</v>
      </c>
      <c r="E828" s="12" t="s">
        <v>48</v>
      </c>
      <c r="F828" s="12" t="s">
        <v>43</v>
      </c>
      <c r="G828" s="12" t="s">
        <v>43</v>
      </c>
      <c r="H828" s="12" t="n">
        <v>3966</v>
      </c>
      <c r="I828" s="12" t="n">
        <v>18</v>
      </c>
      <c r="J828" s="12" t="s">
        <v>23</v>
      </c>
    </row>
    <row r="829" customFormat="false" ht="15" hidden="false" customHeight="true" outlineLevel="0" collapsed="false">
      <c r="A829" s="12" t="n">
        <v>828</v>
      </c>
      <c r="B829" s="12" t="n">
        <v>36</v>
      </c>
      <c r="C829" s="12" t="s">
        <v>40</v>
      </c>
      <c r="D829" s="12" t="n">
        <v>2</v>
      </c>
      <c r="E829" s="12" t="s">
        <v>41</v>
      </c>
      <c r="F829" s="12" t="s">
        <v>43</v>
      </c>
      <c r="G829" s="12" t="s">
        <v>42</v>
      </c>
      <c r="H829" s="12" t="n">
        <v>4165</v>
      </c>
      <c r="I829" s="12" t="n">
        <v>18</v>
      </c>
      <c r="J829" s="12" t="s">
        <v>26</v>
      </c>
    </row>
    <row r="830" customFormat="false" ht="15" hidden="false" customHeight="true" outlineLevel="0" collapsed="false">
      <c r="A830" s="12" t="n">
        <v>829</v>
      </c>
      <c r="B830" s="12" t="n">
        <v>47</v>
      </c>
      <c r="C830" s="12" t="s">
        <v>40</v>
      </c>
      <c r="D830" s="12" t="n">
        <v>2</v>
      </c>
      <c r="E830" s="12" t="s">
        <v>46</v>
      </c>
      <c r="F830" s="12" t="s">
        <v>42</v>
      </c>
      <c r="G830" s="12" t="s">
        <v>43</v>
      </c>
      <c r="H830" s="12" t="n">
        <v>8335</v>
      </c>
      <c r="I830" s="12" t="n">
        <v>36</v>
      </c>
      <c r="J830" s="12" t="s">
        <v>23</v>
      </c>
    </row>
    <row r="831" customFormat="false" ht="15" hidden="false" customHeight="true" outlineLevel="0" collapsed="false">
      <c r="A831" s="12" t="n">
        <v>830</v>
      </c>
      <c r="B831" s="12" t="n">
        <v>38</v>
      </c>
      <c r="C831" s="12" t="s">
        <v>40</v>
      </c>
      <c r="D831" s="12" t="n">
        <v>2</v>
      </c>
      <c r="E831" s="12" t="s">
        <v>46</v>
      </c>
      <c r="F831" s="12" t="s">
        <v>42</v>
      </c>
      <c r="G831" s="12" t="s">
        <v>45</v>
      </c>
      <c r="H831" s="12" t="n">
        <v>6681</v>
      </c>
      <c r="I831" s="12" t="n">
        <v>48</v>
      </c>
      <c r="J831" s="12" t="s">
        <v>26</v>
      </c>
    </row>
    <row r="832" customFormat="false" ht="15" hidden="false" customHeight="true" outlineLevel="0" collapsed="false">
      <c r="A832" s="12" t="n">
        <v>831</v>
      </c>
      <c r="B832" s="12" t="n">
        <v>44</v>
      </c>
      <c r="C832" s="12" t="s">
        <v>40</v>
      </c>
      <c r="D832" s="12" t="n">
        <v>2</v>
      </c>
      <c r="E832" s="12" t="s">
        <v>41</v>
      </c>
      <c r="F832" s="12" t="s">
        <v>47</v>
      </c>
      <c r="G832" s="12" t="s">
        <v>42</v>
      </c>
      <c r="H832" s="12" t="n">
        <v>2375</v>
      </c>
      <c r="I832" s="12" t="n">
        <v>24</v>
      </c>
      <c r="J832" s="12" t="s">
        <v>26</v>
      </c>
    </row>
    <row r="833" customFormat="false" ht="15" hidden="false" customHeight="true" outlineLevel="0" collapsed="false">
      <c r="A833" s="12" t="n">
        <v>832</v>
      </c>
      <c r="B833" s="12" t="n">
        <v>23</v>
      </c>
      <c r="C833" s="12" t="s">
        <v>44</v>
      </c>
      <c r="D833" s="12" t="n">
        <v>2</v>
      </c>
      <c r="E833" s="12" t="s">
        <v>48</v>
      </c>
      <c r="F833" s="12" t="s">
        <v>43</v>
      </c>
      <c r="G833" s="12" t="s">
        <v>43</v>
      </c>
      <c r="H833" s="12" t="n">
        <v>1216</v>
      </c>
      <c r="I833" s="12" t="n">
        <v>18</v>
      </c>
      <c r="J833" s="12" t="s">
        <v>23</v>
      </c>
    </row>
    <row r="834" customFormat="false" ht="15" hidden="false" customHeight="true" outlineLevel="0" collapsed="false">
      <c r="A834" s="12" t="n">
        <v>833</v>
      </c>
      <c r="B834" s="12" t="n">
        <v>29</v>
      </c>
      <c r="C834" s="12" t="s">
        <v>40</v>
      </c>
      <c r="D834" s="12" t="n">
        <v>2</v>
      </c>
      <c r="E834" s="12" t="s">
        <v>48</v>
      </c>
      <c r="F834" s="12" t="s">
        <v>43</v>
      </c>
      <c r="G834" s="12" t="s">
        <v>43</v>
      </c>
      <c r="H834" s="12" t="n">
        <v>11816</v>
      </c>
      <c r="I834" s="12" t="n">
        <v>45</v>
      </c>
      <c r="J834" s="12" t="s">
        <v>26</v>
      </c>
    </row>
    <row r="835" customFormat="false" ht="15" hidden="false" customHeight="true" outlineLevel="0" collapsed="false">
      <c r="A835" s="12" t="n">
        <v>834</v>
      </c>
      <c r="B835" s="12" t="n">
        <v>42</v>
      </c>
      <c r="C835" s="12" t="s">
        <v>44</v>
      </c>
      <c r="D835" s="12" t="n">
        <v>2</v>
      </c>
      <c r="E835" s="12" t="s">
        <v>41</v>
      </c>
      <c r="F835" s="12" t="s">
        <v>42</v>
      </c>
      <c r="G835" s="12" t="s">
        <v>45</v>
      </c>
      <c r="H835" s="12" t="n">
        <v>5084</v>
      </c>
      <c r="I835" s="12" t="n">
        <v>24</v>
      </c>
      <c r="J835" s="12" t="s">
        <v>24</v>
      </c>
    </row>
    <row r="836" customFormat="false" ht="15" hidden="false" customHeight="true" outlineLevel="0" collapsed="false">
      <c r="A836" s="12" t="n">
        <v>835</v>
      </c>
      <c r="B836" s="12" t="n">
        <v>25</v>
      </c>
      <c r="C836" s="12" t="s">
        <v>44</v>
      </c>
      <c r="D836" s="12" t="n">
        <v>1</v>
      </c>
      <c r="E836" s="12" t="s">
        <v>41</v>
      </c>
      <c r="F836" s="12" t="s">
        <v>43</v>
      </c>
      <c r="G836" s="12" t="s">
        <v>49</v>
      </c>
      <c r="H836" s="12" t="n">
        <v>2327</v>
      </c>
      <c r="I836" s="12" t="n">
        <v>15</v>
      </c>
      <c r="J836" s="12" t="s">
        <v>24</v>
      </c>
    </row>
    <row r="837" customFormat="false" ht="15" hidden="false" customHeight="true" outlineLevel="0" collapsed="false">
      <c r="A837" s="12" t="n">
        <v>836</v>
      </c>
      <c r="B837" s="12" t="n">
        <v>48</v>
      </c>
      <c r="C837" s="12" t="s">
        <v>40</v>
      </c>
      <c r="D837" s="12" t="n">
        <v>2</v>
      </c>
      <c r="E837" s="12" t="s">
        <v>41</v>
      </c>
      <c r="F837" s="12" t="s">
        <v>43</v>
      </c>
      <c r="G837" s="12" t="s">
        <v>43</v>
      </c>
      <c r="H837" s="12" t="n">
        <v>1082</v>
      </c>
      <c r="I837" s="12" t="n">
        <v>12</v>
      </c>
      <c r="J837" s="12" t="s">
        <v>23</v>
      </c>
    </row>
    <row r="838" customFormat="false" ht="15" hidden="false" customHeight="true" outlineLevel="0" collapsed="false">
      <c r="A838" s="12" t="n">
        <v>837</v>
      </c>
      <c r="B838" s="12" t="n">
        <v>21</v>
      </c>
      <c r="C838" s="12" t="s">
        <v>44</v>
      </c>
      <c r="D838" s="12" t="n">
        <v>2</v>
      </c>
      <c r="E838" s="12" t="s">
        <v>41</v>
      </c>
      <c r="F838" s="12" t="s">
        <v>42</v>
      </c>
      <c r="G838" s="12" t="s">
        <v>42</v>
      </c>
      <c r="H838" s="12" t="n">
        <v>886</v>
      </c>
      <c r="I838" s="12" t="n">
        <v>12</v>
      </c>
      <c r="J838" s="12" t="s">
        <v>24</v>
      </c>
    </row>
    <row r="839" customFormat="false" ht="15" hidden="false" customHeight="true" outlineLevel="0" collapsed="false">
      <c r="A839" s="12" t="n">
        <v>838</v>
      </c>
      <c r="B839" s="12" t="n">
        <v>23</v>
      </c>
      <c r="C839" s="12" t="s">
        <v>44</v>
      </c>
      <c r="D839" s="12" t="n">
        <v>1</v>
      </c>
      <c r="E839" s="12" t="s">
        <v>48</v>
      </c>
      <c r="F839" s="12" t="s">
        <v>43</v>
      </c>
      <c r="G839" s="12" t="s">
        <v>42</v>
      </c>
      <c r="H839" s="12" t="n">
        <v>601</v>
      </c>
      <c r="I839" s="12" t="n">
        <v>4</v>
      </c>
      <c r="J839" s="12" t="s">
        <v>25</v>
      </c>
    </row>
    <row r="840" customFormat="false" ht="15" hidden="false" customHeight="true" outlineLevel="0" collapsed="false">
      <c r="A840" s="12" t="n">
        <v>839</v>
      </c>
      <c r="B840" s="12" t="n">
        <v>63</v>
      </c>
      <c r="C840" s="12" t="s">
        <v>40</v>
      </c>
      <c r="D840" s="12" t="n">
        <v>2</v>
      </c>
      <c r="E840" s="12" t="s">
        <v>41</v>
      </c>
      <c r="F840" s="12" t="s">
        <v>43</v>
      </c>
      <c r="G840" s="12" t="s">
        <v>43</v>
      </c>
      <c r="H840" s="12" t="n">
        <v>2957</v>
      </c>
      <c r="I840" s="12" t="n">
        <v>24</v>
      </c>
      <c r="J840" s="12" t="s">
        <v>23</v>
      </c>
    </row>
    <row r="841" customFormat="false" ht="15" hidden="false" customHeight="true" outlineLevel="0" collapsed="false">
      <c r="A841" s="12" t="n">
        <v>840</v>
      </c>
      <c r="B841" s="12" t="n">
        <v>46</v>
      </c>
      <c r="C841" s="12" t="s">
        <v>40</v>
      </c>
      <c r="D841" s="12" t="n">
        <v>2</v>
      </c>
      <c r="E841" s="12" t="s">
        <v>41</v>
      </c>
      <c r="F841" s="12" t="s">
        <v>43</v>
      </c>
      <c r="G841" s="12" t="s">
        <v>42</v>
      </c>
      <c r="H841" s="12" t="n">
        <v>2611</v>
      </c>
      <c r="I841" s="12" t="n">
        <v>24</v>
      </c>
      <c r="J841" s="12" t="s">
        <v>24</v>
      </c>
    </row>
    <row r="842" customFormat="false" ht="15" hidden="false" customHeight="true" outlineLevel="0" collapsed="false">
      <c r="A842" s="12" t="n">
        <v>841</v>
      </c>
      <c r="B842" s="12" t="n">
        <v>29</v>
      </c>
      <c r="C842" s="12" t="s">
        <v>40</v>
      </c>
      <c r="D842" s="12" t="n">
        <v>2</v>
      </c>
      <c r="E842" s="12" t="s">
        <v>41</v>
      </c>
      <c r="F842" s="12" t="s">
        <v>43</v>
      </c>
      <c r="G842" s="12" t="s">
        <v>43</v>
      </c>
      <c r="H842" s="12" t="n">
        <v>5179</v>
      </c>
      <c r="I842" s="12" t="n">
        <v>36</v>
      </c>
      <c r="J842" s="12" t="s">
        <v>25</v>
      </c>
    </row>
    <row r="843" customFormat="false" ht="15" hidden="false" customHeight="true" outlineLevel="0" collapsed="false">
      <c r="A843" s="12" t="n">
        <v>842</v>
      </c>
      <c r="B843" s="12" t="n">
        <v>28</v>
      </c>
      <c r="C843" s="12" t="s">
        <v>40</v>
      </c>
      <c r="D843" s="12" t="n">
        <v>1</v>
      </c>
      <c r="E843" s="12" t="s">
        <v>41</v>
      </c>
      <c r="F843" s="12" t="s">
        <v>43</v>
      </c>
      <c r="G843" s="12" t="s">
        <v>42</v>
      </c>
      <c r="H843" s="12" t="n">
        <v>2993</v>
      </c>
      <c r="I843" s="12" t="n">
        <v>21</v>
      </c>
      <c r="J843" s="12" t="s">
        <v>23</v>
      </c>
    </row>
    <row r="844" customFormat="false" ht="15" hidden="false" customHeight="true" outlineLevel="0" collapsed="false">
      <c r="A844" s="12" t="n">
        <v>843</v>
      </c>
      <c r="B844" s="12" t="n">
        <v>23</v>
      </c>
      <c r="C844" s="12" t="s">
        <v>44</v>
      </c>
      <c r="D844" s="12" t="n">
        <v>2</v>
      </c>
      <c r="E844" s="12" t="s">
        <v>41</v>
      </c>
      <c r="F844" s="12" t="s">
        <v>43</v>
      </c>
      <c r="G844" s="12" t="s">
        <v>42</v>
      </c>
      <c r="H844" s="12" t="n">
        <v>1943</v>
      </c>
      <c r="I844" s="12" t="n">
        <v>18</v>
      </c>
      <c r="J844" s="12" t="s">
        <v>28</v>
      </c>
    </row>
    <row r="845" customFormat="false" ht="15" hidden="false" customHeight="true" outlineLevel="0" collapsed="false">
      <c r="A845" s="12" t="n">
        <v>844</v>
      </c>
      <c r="B845" s="12" t="n">
        <v>50</v>
      </c>
      <c r="C845" s="12" t="s">
        <v>40</v>
      </c>
      <c r="D845" s="12" t="n">
        <v>2</v>
      </c>
      <c r="E845" s="12" t="s">
        <v>41</v>
      </c>
      <c r="F845" s="12" t="s">
        <v>43</v>
      </c>
      <c r="G845" s="12" t="s">
        <v>42</v>
      </c>
      <c r="H845" s="12" t="n">
        <v>1559</v>
      </c>
      <c r="I845" s="12" t="n">
        <v>24</v>
      </c>
      <c r="J845" s="12" t="s">
        <v>26</v>
      </c>
    </row>
    <row r="846" customFormat="false" ht="15" hidden="false" customHeight="true" outlineLevel="0" collapsed="false">
      <c r="A846" s="12" t="n">
        <v>845</v>
      </c>
      <c r="B846" s="12" t="n">
        <v>47</v>
      </c>
      <c r="C846" s="12" t="s">
        <v>40</v>
      </c>
      <c r="D846" s="12" t="n">
        <v>2</v>
      </c>
      <c r="E846" s="12" t="s">
        <v>41</v>
      </c>
      <c r="F846" s="12" t="s">
        <v>43</v>
      </c>
      <c r="G846" s="12" t="s">
        <v>42</v>
      </c>
      <c r="H846" s="12" t="n">
        <v>3422</v>
      </c>
      <c r="I846" s="12" t="n">
        <v>18</v>
      </c>
      <c r="J846" s="12" t="s">
        <v>25</v>
      </c>
    </row>
    <row r="847" customFormat="false" ht="15" hidden="false" customHeight="true" outlineLevel="0" collapsed="false">
      <c r="A847" s="12" t="n">
        <v>846</v>
      </c>
      <c r="B847" s="12" t="n">
        <v>35</v>
      </c>
      <c r="C847" s="12" t="s">
        <v>40</v>
      </c>
      <c r="D847" s="12" t="n">
        <v>2</v>
      </c>
      <c r="E847" s="12" t="s">
        <v>41</v>
      </c>
      <c r="F847" s="12" t="s">
        <v>42</v>
      </c>
      <c r="G847" s="12" t="s">
        <v>45</v>
      </c>
      <c r="H847" s="12" t="n">
        <v>3976</v>
      </c>
      <c r="I847" s="12" t="n">
        <v>21</v>
      </c>
      <c r="J847" s="12" t="s">
        <v>25</v>
      </c>
    </row>
    <row r="848" customFormat="false" ht="15" hidden="false" customHeight="true" outlineLevel="0" collapsed="false">
      <c r="A848" s="12" t="n">
        <v>847</v>
      </c>
      <c r="B848" s="12" t="n">
        <v>68</v>
      </c>
      <c r="C848" s="12" t="s">
        <v>40</v>
      </c>
      <c r="D848" s="12" t="n">
        <v>2</v>
      </c>
      <c r="E848" s="12" t="s">
        <v>48</v>
      </c>
      <c r="F848" s="12" t="s">
        <v>42</v>
      </c>
      <c r="G848" s="12" t="s">
        <v>42</v>
      </c>
      <c r="H848" s="12" t="n">
        <v>6761</v>
      </c>
      <c r="I848" s="12" t="n">
        <v>18</v>
      </c>
      <c r="J848" s="12" t="s">
        <v>23</v>
      </c>
    </row>
    <row r="849" customFormat="false" ht="15" hidden="false" customHeight="true" outlineLevel="0" collapsed="false">
      <c r="A849" s="12" t="n">
        <v>848</v>
      </c>
      <c r="B849" s="12" t="n">
        <v>28</v>
      </c>
      <c r="C849" s="12" t="s">
        <v>40</v>
      </c>
      <c r="D849" s="12" t="n">
        <v>2</v>
      </c>
      <c r="E849" s="12" t="s">
        <v>41</v>
      </c>
      <c r="F849" s="12" t="s">
        <v>43</v>
      </c>
      <c r="G849" s="12" t="s">
        <v>42</v>
      </c>
      <c r="H849" s="12" t="n">
        <v>1249</v>
      </c>
      <c r="I849" s="12" t="n">
        <v>24</v>
      </c>
      <c r="J849" s="12" t="s">
        <v>23</v>
      </c>
    </row>
    <row r="850" customFormat="false" ht="15" hidden="false" customHeight="true" outlineLevel="0" collapsed="false">
      <c r="A850" s="12" t="n">
        <v>849</v>
      </c>
      <c r="B850" s="12" t="n">
        <v>59</v>
      </c>
      <c r="C850" s="12" t="s">
        <v>40</v>
      </c>
      <c r="D850" s="12" t="n">
        <v>2</v>
      </c>
      <c r="E850" s="12" t="s">
        <v>41</v>
      </c>
      <c r="F850" s="12" t="s">
        <v>43</v>
      </c>
      <c r="G850" s="12" t="s">
        <v>43</v>
      </c>
      <c r="H850" s="12" t="n">
        <v>1364</v>
      </c>
      <c r="I850" s="12" t="n">
        <v>9</v>
      </c>
      <c r="J850" s="12" t="s">
        <v>24</v>
      </c>
    </row>
    <row r="851" customFormat="false" ht="15" hidden="false" customHeight="true" outlineLevel="0" collapsed="false">
      <c r="A851" s="12" t="n">
        <v>850</v>
      </c>
      <c r="B851" s="12" t="n">
        <v>57</v>
      </c>
      <c r="C851" s="12" t="s">
        <v>40</v>
      </c>
      <c r="D851" s="12" t="n">
        <v>1</v>
      </c>
      <c r="E851" s="12" t="s">
        <v>41</v>
      </c>
      <c r="F851" s="12" t="s">
        <v>43</v>
      </c>
      <c r="G851" s="12" t="s">
        <v>43</v>
      </c>
      <c r="H851" s="12" t="n">
        <v>709</v>
      </c>
      <c r="I851" s="12" t="n">
        <v>12</v>
      </c>
      <c r="J851" s="12" t="s">
        <v>24</v>
      </c>
    </row>
    <row r="852" customFormat="false" ht="15" hidden="false" customHeight="true" outlineLevel="0" collapsed="false">
      <c r="A852" s="12" t="n">
        <v>851</v>
      </c>
      <c r="B852" s="12" t="n">
        <v>33</v>
      </c>
      <c r="C852" s="12" t="s">
        <v>40</v>
      </c>
      <c r="D852" s="12" t="n">
        <v>2</v>
      </c>
      <c r="E852" s="12" t="s">
        <v>48</v>
      </c>
      <c r="F852" s="12" t="s">
        <v>43</v>
      </c>
      <c r="G852" s="12" t="s">
        <v>43</v>
      </c>
      <c r="H852" s="12" t="n">
        <v>2235</v>
      </c>
      <c r="I852" s="12" t="n">
        <v>20</v>
      </c>
      <c r="J852" s="12" t="s">
        <v>23</v>
      </c>
    </row>
    <row r="853" customFormat="false" ht="15" hidden="false" customHeight="true" outlineLevel="0" collapsed="false">
      <c r="A853" s="12" t="n">
        <v>852</v>
      </c>
      <c r="B853" s="12" t="n">
        <v>43</v>
      </c>
      <c r="C853" s="12" t="s">
        <v>40</v>
      </c>
      <c r="D853" s="12" t="n">
        <v>2</v>
      </c>
      <c r="E853" s="12" t="s">
        <v>41</v>
      </c>
      <c r="F853" s="12" t="s">
        <v>42</v>
      </c>
      <c r="G853" s="12" t="s">
        <v>42</v>
      </c>
      <c r="H853" s="12" t="n">
        <v>4042</v>
      </c>
      <c r="I853" s="12" t="n">
        <v>24</v>
      </c>
      <c r="J853" s="12" t="s">
        <v>23</v>
      </c>
    </row>
    <row r="854" customFormat="false" ht="15" hidden="false" customHeight="true" outlineLevel="0" collapsed="false">
      <c r="A854" s="12" t="n">
        <v>853</v>
      </c>
      <c r="B854" s="12" t="n">
        <v>35</v>
      </c>
      <c r="C854" s="12" t="s">
        <v>40</v>
      </c>
      <c r="D854" s="12" t="n">
        <v>2</v>
      </c>
      <c r="E854" s="12" t="s">
        <v>46</v>
      </c>
      <c r="F854" s="12" t="s">
        <v>43</v>
      </c>
      <c r="G854" s="12" t="s">
        <v>42</v>
      </c>
      <c r="H854" s="12" t="n">
        <v>1471</v>
      </c>
      <c r="I854" s="12" t="n">
        <v>15</v>
      </c>
      <c r="J854" s="12" t="s">
        <v>24</v>
      </c>
    </row>
    <row r="855" customFormat="false" ht="15" hidden="false" customHeight="true" outlineLevel="0" collapsed="false">
      <c r="A855" s="12" t="n">
        <v>854</v>
      </c>
      <c r="B855" s="12" t="n">
        <v>32</v>
      </c>
      <c r="C855" s="12" t="s">
        <v>40</v>
      </c>
      <c r="D855" s="12" t="n">
        <v>1</v>
      </c>
      <c r="E855" s="12" t="s">
        <v>46</v>
      </c>
      <c r="F855" s="12" t="s">
        <v>43</v>
      </c>
      <c r="G855" s="12" t="s">
        <v>43</v>
      </c>
      <c r="H855" s="12" t="n">
        <v>1442</v>
      </c>
      <c r="I855" s="12" t="n">
        <v>18</v>
      </c>
      <c r="J855" s="12" t="s">
        <v>23</v>
      </c>
    </row>
    <row r="856" customFormat="false" ht="15" hidden="false" customHeight="true" outlineLevel="0" collapsed="false">
      <c r="A856" s="12" t="n">
        <v>855</v>
      </c>
      <c r="B856" s="12" t="n">
        <v>45</v>
      </c>
      <c r="C856" s="12" t="s">
        <v>40</v>
      </c>
      <c r="D856" s="12" t="n">
        <v>2</v>
      </c>
      <c r="E856" s="12" t="s">
        <v>41</v>
      </c>
      <c r="F856" s="12" t="s">
        <v>43</v>
      </c>
      <c r="G856" s="12" t="s">
        <v>42</v>
      </c>
      <c r="H856" s="12" t="n">
        <v>10875</v>
      </c>
      <c r="I856" s="12" t="n">
        <v>36</v>
      </c>
      <c r="J856" s="12" t="s">
        <v>23</v>
      </c>
    </row>
    <row r="857" customFormat="false" ht="15" hidden="false" customHeight="true" outlineLevel="0" collapsed="false">
      <c r="A857" s="12" t="n">
        <v>856</v>
      </c>
      <c r="B857" s="12" t="n">
        <v>33</v>
      </c>
      <c r="C857" s="12" t="s">
        <v>40</v>
      </c>
      <c r="D857" s="12" t="n">
        <v>2</v>
      </c>
      <c r="E857" s="12" t="s">
        <v>41</v>
      </c>
      <c r="F857" s="12" t="s">
        <v>45</v>
      </c>
      <c r="G857" s="12" t="s">
        <v>42</v>
      </c>
      <c r="H857" s="12" t="n">
        <v>1474</v>
      </c>
      <c r="I857" s="12" t="n">
        <v>24</v>
      </c>
      <c r="J857" s="12" t="s">
        <v>23</v>
      </c>
    </row>
    <row r="858" customFormat="false" ht="15" hidden="false" customHeight="true" outlineLevel="0" collapsed="false">
      <c r="A858" s="12" t="n">
        <v>857</v>
      </c>
      <c r="B858" s="12" t="n">
        <v>40</v>
      </c>
      <c r="C858" s="12" t="s">
        <v>44</v>
      </c>
      <c r="D858" s="12" t="n">
        <v>2</v>
      </c>
      <c r="E858" s="12" t="s">
        <v>41</v>
      </c>
      <c r="F858" s="12" t="s">
        <v>42</v>
      </c>
      <c r="G858" s="12" t="s">
        <v>42</v>
      </c>
      <c r="H858" s="12" t="n">
        <v>894</v>
      </c>
      <c r="I858" s="12" t="n">
        <v>10</v>
      </c>
      <c r="J858" s="12" t="s">
        <v>27</v>
      </c>
    </row>
    <row r="859" customFormat="false" ht="15" hidden="false" customHeight="true" outlineLevel="0" collapsed="false">
      <c r="A859" s="12" t="n">
        <v>858</v>
      </c>
      <c r="B859" s="12" t="n">
        <v>28</v>
      </c>
      <c r="C859" s="12" t="s">
        <v>40</v>
      </c>
      <c r="D859" s="12" t="n">
        <v>2</v>
      </c>
      <c r="E859" s="12" t="s">
        <v>46</v>
      </c>
      <c r="F859" s="12" t="s">
        <v>43</v>
      </c>
      <c r="G859" s="12" t="s">
        <v>42</v>
      </c>
      <c r="H859" s="12" t="n">
        <v>3343</v>
      </c>
      <c r="I859" s="12" t="n">
        <v>15</v>
      </c>
      <c r="J859" s="12" t="s">
        <v>25</v>
      </c>
    </row>
    <row r="860" customFormat="false" ht="15" hidden="false" customHeight="true" outlineLevel="0" collapsed="false">
      <c r="A860" s="12" t="n">
        <v>859</v>
      </c>
      <c r="B860" s="12" t="n">
        <v>29</v>
      </c>
      <c r="C860" s="12" t="s">
        <v>44</v>
      </c>
      <c r="D860" s="12" t="n">
        <v>2</v>
      </c>
      <c r="E860" s="12" t="s">
        <v>41</v>
      </c>
      <c r="F860" s="12" t="s">
        <v>43</v>
      </c>
      <c r="G860" s="12" t="s">
        <v>43</v>
      </c>
      <c r="H860" s="12" t="n">
        <v>3959</v>
      </c>
      <c r="I860" s="12" t="n">
        <v>15</v>
      </c>
      <c r="J860" s="12" t="s">
        <v>23</v>
      </c>
    </row>
    <row r="861" customFormat="false" ht="15" hidden="false" customHeight="true" outlineLevel="0" collapsed="false">
      <c r="A861" s="12" t="n">
        <v>860</v>
      </c>
      <c r="B861" s="12" t="n">
        <v>26</v>
      </c>
      <c r="C861" s="12" t="s">
        <v>40</v>
      </c>
      <c r="D861" s="12" t="n">
        <v>2</v>
      </c>
      <c r="E861" s="12" t="s">
        <v>48</v>
      </c>
      <c r="F861" s="12" t="s">
        <v>45</v>
      </c>
      <c r="G861" s="12" t="s">
        <v>42</v>
      </c>
      <c r="H861" s="12" t="n">
        <v>3577</v>
      </c>
      <c r="I861" s="12" t="n">
        <v>9</v>
      </c>
      <c r="J861" s="12" t="s">
        <v>23</v>
      </c>
    </row>
    <row r="862" customFormat="false" ht="15" hidden="false" customHeight="true" outlineLevel="0" collapsed="false">
      <c r="A862" s="12" t="n">
        <v>861</v>
      </c>
      <c r="B862" s="12" t="n">
        <v>27</v>
      </c>
      <c r="C862" s="12" t="s">
        <v>40</v>
      </c>
      <c r="D862" s="12" t="n">
        <v>2</v>
      </c>
      <c r="E862" s="12" t="s">
        <v>41</v>
      </c>
      <c r="F862" s="12" t="s">
        <v>49</v>
      </c>
      <c r="G862" s="12" t="s">
        <v>42</v>
      </c>
      <c r="H862" s="12" t="n">
        <v>5804</v>
      </c>
      <c r="I862" s="12" t="n">
        <v>24</v>
      </c>
      <c r="J862" s="12" t="s">
        <v>23</v>
      </c>
    </row>
    <row r="863" customFormat="false" ht="15" hidden="false" customHeight="true" outlineLevel="0" collapsed="false">
      <c r="A863" s="12" t="n">
        <v>862</v>
      </c>
      <c r="B863" s="12" t="n">
        <v>28</v>
      </c>
      <c r="C863" s="12" t="s">
        <v>40</v>
      </c>
      <c r="D863" s="12" t="n">
        <v>2</v>
      </c>
      <c r="E863" s="12" t="s">
        <v>41</v>
      </c>
      <c r="F863" s="12" t="s">
        <v>43</v>
      </c>
      <c r="G863" s="12" t="s">
        <v>42</v>
      </c>
      <c r="H863" s="12" t="n">
        <v>2169</v>
      </c>
      <c r="I863" s="12" t="n">
        <v>18</v>
      </c>
      <c r="J863" s="12" t="s">
        <v>26</v>
      </c>
    </row>
    <row r="864" customFormat="false" ht="15" hidden="false" customHeight="true" outlineLevel="0" collapsed="false">
      <c r="A864" s="12" t="n">
        <v>863</v>
      </c>
      <c r="B864" s="12" t="n">
        <v>35</v>
      </c>
      <c r="C864" s="12" t="s">
        <v>44</v>
      </c>
      <c r="D864" s="12" t="n">
        <v>2</v>
      </c>
      <c r="E864" s="12" t="s">
        <v>41</v>
      </c>
      <c r="F864" s="12" t="s">
        <v>43</v>
      </c>
      <c r="G864" s="12" t="s">
        <v>43</v>
      </c>
      <c r="H864" s="12" t="n">
        <v>2439</v>
      </c>
      <c r="I864" s="12" t="n">
        <v>24</v>
      </c>
      <c r="J864" s="12" t="s">
        <v>24</v>
      </c>
    </row>
    <row r="865" customFormat="false" ht="15" hidden="false" customHeight="true" outlineLevel="0" collapsed="false">
      <c r="A865" s="12" t="n">
        <v>864</v>
      </c>
      <c r="B865" s="12" t="n">
        <v>32</v>
      </c>
      <c r="C865" s="12" t="s">
        <v>40</v>
      </c>
      <c r="D865" s="12" t="n">
        <v>1</v>
      </c>
      <c r="E865" s="12" t="s">
        <v>41</v>
      </c>
      <c r="F865" s="12" t="s">
        <v>49</v>
      </c>
      <c r="G865" s="12" t="s">
        <v>42</v>
      </c>
      <c r="H865" s="12" t="n">
        <v>4526</v>
      </c>
      <c r="I865" s="12" t="n">
        <v>27</v>
      </c>
      <c r="J865" s="12" t="s">
        <v>25</v>
      </c>
    </row>
    <row r="866" customFormat="false" ht="15" hidden="false" customHeight="true" outlineLevel="0" collapsed="false">
      <c r="A866" s="12" t="n">
        <v>865</v>
      </c>
      <c r="B866" s="12" t="n">
        <v>25</v>
      </c>
      <c r="C866" s="12" t="s">
        <v>40</v>
      </c>
      <c r="D866" s="12" t="n">
        <v>1</v>
      </c>
      <c r="E866" s="12" t="s">
        <v>48</v>
      </c>
      <c r="F866" s="12" t="s">
        <v>43</v>
      </c>
      <c r="G866" s="12" t="s">
        <v>42</v>
      </c>
      <c r="H866" s="12" t="n">
        <v>2210</v>
      </c>
      <c r="I866" s="12" t="n">
        <v>10</v>
      </c>
      <c r="J866" s="12" t="s">
        <v>25</v>
      </c>
    </row>
    <row r="867" customFormat="false" ht="15" hidden="false" customHeight="true" outlineLevel="0" collapsed="false">
      <c r="A867" s="12" t="n">
        <v>866</v>
      </c>
      <c r="B867" s="12" t="n">
        <v>20</v>
      </c>
      <c r="C867" s="12" t="s">
        <v>44</v>
      </c>
      <c r="D867" s="12" t="n">
        <v>2</v>
      </c>
      <c r="E867" s="12" t="s">
        <v>48</v>
      </c>
      <c r="F867" s="12" t="s">
        <v>47</v>
      </c>
      <c r="G867" s="12" t="s">
        <v>42</v>
      </c>
      <c r="H867" s="12" t="n">
        <v>2221</v>
      </c>
      <c r="I867" s="12" t="n">
        <v>15</v>
      </c>
      <c r="J867" s="12" t="s">
        <v>25</v>
      </c>
    </row>
    <row r="868" customFormat="false" ht="15" hidden="false" customHeight="true" outlineLevel="0" collapsed="false">
      <c r="A868" s="12" t="n">
        <v>867</v>
      </c>
      <c r="B868" s="12" t="n">
        <v>27</v>
      </c>
      <c r="C868" s="12" t="s">
        <v>44</v>
      </c>
      <c r="D868" s="12" t="n">
        <v>2</v>
      </c>
      <c r="E868" s="12" t="s">
        <v>41</v>
      </c>
      <c r="F868" s="12" t="s">
        <v>43</v>
      </c>
      <c r="G868" s="12" t="s">
        <v>43</v>
      </c>
      <c r="H868" s="12" t="n">
        <v>2389</v>
      </c>
      <c r="I868" s="12" t="n">
        <v>18</v>
      </c>
      <c r="J868" s="12" t="s">
        <v>24</v>
      </c>
    </row>
    <row r="869" customFormat="false" ht="15" hidden="false" customHeight="true" outlineLevel="0" collapsed="false">
      <c r="A869" s="12" t="n">
        <v>868</v>
      </c>
      <c r="B869" s="12" t="n">
        <v>42</v>
      </c>
      <c r="C869" s="12" t="s">
        <v>40</v>
      </c>
      <c r="D869" s="12" t="n">
        <v>2</v>
      </c>
      <c r="E869" s="12" t="s">
        <v>41</v>
      </c>
      <c r="F869" s="12" t="s">
        <v>43</v>
      </c>
      <c r="G869" s="12" t="s">
        <v>42</v>
      </c>
      <c r="H869" s="12" t="n">
        <v>3331</v>
      </c>
      <c r="I869" s="12" t="n">
        <v>12</v>
      </c>
      <c r="J869" s="12" t="s">
        <v>25</v>
      </c>
    </row>
    <row r="870" customFormat="false" ht="15" hidden="false" customHeight="true" outlineLevel="0" collapsed="false">
      <c r="A870" s="12" t="n">
        <v>869</v>
      </c>
      <c r="B870" s="12" t="n">
        <v>37</v>
      </c>
      <c r="C870" s="12" t="s">
        <v>40</v>
      </c>
      <c r="D870" s="12" t="n">
        <v>2</v>
      </c>
      <c r="E870" s="12" t="s">
        <v>41</v>
      </c>
      <c r="F870" s="12" t="s">
        <v>42</v>
      </c>
      <c r="G870" s="12" t="s">
        <v>42</v>
      </c>
      <c r="H870" s="12" t="n">
        <v>7409</v>
      </c>
      <c r="I870" s="12" t="n">
        <v>36</v>
      </c>
      <c r="J870" s="12" t="s">
        <v>26</v>
      </c>
    </row>
    <row r="871" customFormat="false" ht="15" hidden="false" customHeight="true" outlineLevel="0" collapsed="false">
      <c r="A871" s="12" t="n">
        <v>870</v>
      </c>
      <c r="B871" s="12" t="n">
        <v>24</v>
      </c>
      <c r="C871" s="12" t="s">
        <v>44</v>
      </c>
      <c r="D871" s="12" t="n">
        <v>2</v>
      </c>
      <c r="E871" s="12" t="s">
        <v>48</v>
      </c>
      <c r="F871" s="12" t="s">
        <v>43</v>
      </c>
      <c r="G871" s="12" t="s">
        <v>43</v>
      </c>
      <c r="H871" s="12" t="n">
        <v>652</v>
      </c>
      <c r="I871" s="12" t="n">
        <v>12</v>
      </c>
      <c r="J871" s="12" t="s">
        <v>25</v>
      </c>
    </row>
    <row r="872" customFormat="false" ht="15" hidden="false" customHeight="true" outlineLevel="0" collapsed="false">
      <c r="A872" s="12" t="n">
        <v>871</v>
      </c>
      <c r="B872" s="12" t="n">
        <v>40</v>
      </c>
      <c r="C872" s="12" t="s">
        <v>44</v>
      </c>
      <c r="D872" s="12" t="n">
        <v>2</v>
      </c>
      <c r="E872" s="12" t="s">
        <v>41</v>
      </c>
      <c r="F872" s="12" t="s">
        <v>47</v>
      </c>
      <c r="G872" s="12" t="s">
        <v>42</v>
      </c>
      <c r="H872" s="12" t="n">
        <v>7678</v>
      </c>
      <c r="I872" s="12" t="n">
        <v>36</v>
      </c>
      <c r="J872" s="12" t="s">
        <v>25</v>
      </c>
    </row>
    <row r="873" customFormat="false" ht="15" hidden="false" customHeight="true" outlineLevel="0" collapsed="false">
      <c r="A873" s="12" t="n">
        <v>872</v>
      </c>
      <c r="B873" s="12" t="n">
        <v>46</v>
      </c>
      <c r="C873" s="12" t="s">
        <v>40</v>
      </c>
      <c r="D873" s="12" t="n">
        <v>2</v>
      </c>
      <c r="E873" s="12" t="s">
        <v>41</v>
      </c>
      <c r="F873" s="12" t="s">
        <v>43</v>
      </c>
      <c r="G873" s="12" t="s">
        <v>49</v>
      </c>
      <c r="H873" s="12" t="n">
        <v>1343</v>
      </c>
      <c r="I873" s="12" t="n">
        <v>6</v>
      </c>
      <c r="J873" s="12" t="s">
        <v>23</v>
      </c>
    </row>
    <row r="874" customFormat="false" ht="15" hidden="false" customHeight="true" outlineLevel="0" collapsed="false">
      <c r="A874" s="12" t="n">
        <v>873</v>
      </c>
      <c r="B874" s="12" t="n">
        <v>26</v>
      </c>
      <c r="C874" s="12" t="s">
        <v>40</v>
      </c>
      <c r="D874" s="12" t="n">
        <v>2</v>
      </c>
      <c r="E874" s="12" t="s">
        <v>41</v>
      </c>
      <c r="F874" s="12" t="s">
        <v>45</v>
      </c>
      <c r="G874" s="12" t="s">
        <v>43</v>
      </c>
      <c r="H874" s="12" t="n">
        <v>1382</v>
      </c>
      <c r="I874" s="12" t="n">
        <v>24</v>
      </c>
      <c r="J874" s="12" t="s">
        <v>26</v>
      </c>
    </row>
    <row r="875" customFormat="false" ht="15" hidden="false" customHeight="true" outlineLevel="0" collapsed="false">
      <c r="A875" s="12" t="n">
        <v>874</v>
      </c>
      <c r="B875" s="12" t="n">
        <v>24</v>
      </c>
      <c r="C875" s="12" t="s">
        <v>44</v>
      </c>
      <c r="D875" s="12" t="n">
        <v>2</v>
      </c>
      <c r="E875" s="12" t="s">
        <v>41</v>
      </c>
      <c r="F875" s="12" t="s">
        <v>42</v>
      </c>
      <c r="G875" s="12" t="s">
        <v>42</v>
      </c>
      <c r="H875" s="12" t="n">
        <v>874</v>
      </c>
      <c r="I875" s="12" t="n">
        <v>15</v>
      </c>
      <c r="J875" s="12" t="s">
        <v>29</v>
      </c>
    </row>
    <row r="876" customFormat="false" ht="15" hidden="false" customHeight="true" outlineLevel="0" collapsed="false">
      <c r="A876" s="12" t="n">
        <v>875</v>
      </c>
      <c r="B876" s="12" t="n">
        <v>29</v>
      </c>
      <c r="C876" s="12" t="s">
        <v>40</v>
      </c>
      <c r="D876" s="12" t="n">
        <v>1</v>
      </c>
      <c r="E876" s="12" t="s">
        <v>41</v>
      </c>
      <c r="F876" s="12" t="s">
        <v>43</v>
      </c>
      <c r="G876" s="12" t="s">
        <v>43</v>
      </c>
      <c r="H876" s="12" t="n">
        <v>3590</v>
      </c>
      <c r="I876" s="12" t="n">
        <v>12</v>
      </c>
      <c r="J876" s="12" t="s">
        <v>25</v>
      </c>
    </row>
    <row r="877" customFormat="false" ht="15" hidden="false" customHeight="true" outlineLevel="0" collapsed="false">
      <c r="A877" s="12" t="n">
        <v>876</v>
      </c>
      <c r="B877" s="12" t="n">
        <v>40</v>
      </c>
      <c r="C877" s="12" t="s">
        <v>44</v>
      </c>
      <c r="D877" s="12" t="n">
        <v>2</v>
      </c>
      <c r="E877" s="12" t="s">
        <v>41</v>
      </c>
      <c r="F877" s="12" t="s">
        <v>49</v>
      </c>
      <c r="G877" s="12" t="s">
        <v>45</v>
      </c>
      <c r="H877" s="12" t="n">
        <v>1322</v>
      </c>
      <c r="I877" s="12" t="n">
        <v>11</v>
      </c>
      <c r="J877" s="12" t="s">
        <v>23</v>
      </c>
    </row>
    <row r="878" customFormat="false" ht="15" hidden="false" customHeight="true" outlineLevel="0" collapsed="false">
      <c r="A878" s="12" t="n">
        <v>877</v>
      </c>
      <c r="B878" s="12" t="n">
        <v>36</v>
      </c>
      <c r="C878" s="12" t="s">
        <v>40</v>
      </c>
      <c r="D878" s="12" t="n">
        <v>3</v>
      </c>
      <c r="E878" s="12" t="s">
        <v>46</v>
      </c>
      <c r="F878" s="12" t="s">
        <v>43</v>
      </c>
      <c r="G878" s="12" t="s">
        <v>43</v>
      </c>
      <c r="H878" s="12" t="n">
        <v>1940</v>
      </c>
      <c r="I878" s="12" t="n">
        <v>18</v>
      </c>
      <c r="J878" s="12" t="s">
        <v>24</v>
      </c>
    </row>
    <row r="879" customFormat="false" ht="15" hidden="false" customHeight="true" outlineLevel="0" collapsed="false">
      <c r="A879" s="12" t="n">
        <v>878</v>
      </c>
      <c r="B879" s="12" t="n">
        <v>28</v>
      </c>
      <c r="C879" s="12" t="s">
        <v>40</v>
      </c>
      <c r="D879" s="12" t="n">
        <v>2</v>
      </c>
      <c r="E879" s="12" t="s">
        <v>41</v>
      </c>
      <c r="F879" s="12" t="s">
        <v>43</v>
      </c>
      <c r="G879" s="12" t="s">
        <v>42</v>
      </c>
      <c r="H879" s="12" t="n">
        <v>3595</v>
      </c>
      <c r="I879" s="12" t="n">
        <v>36</v>
      </c>
      <c r="J879" s="12" t="s">
        <v>24</v>
      </c>
    </row>
    <row r="880" customFormat="false" ht="15" hidden="false" customHeight="true" outlineLevel="0" collapsed="false">
      <c r="A880" s="12" t="n">
        <v>879</v>
      </c>
      <c r="B880" s="12" t="n">
        <v>27</v>
      </c>
      <c r="C880" s="12" t="s">
        <v>40</v>
      </c>
      <c r="D880" s="12" t="n">
        <v>3</v>
      </c>
      <c r="E880" s="12" t="s">
        <v>46</v>
      </c>
      <c r="F880" s="12" t="s">
        <v>43</v>
      </c>
      <c r="G880" s="12" t="s">
        <v>43</v>
      </c>
      <c r="H880" s="12" t="n">
        <v>1422</v>
      </c>
      <c r="I880" s="12" t="n">
        <v>9</v>
      </c>
      <c r="J880" s="12" t="s">
        <v>23</v>
      </c>
    </row>
    <row r="881" customFormat="false" ht="15" hidden="false" customHeight="true" outlineLevel="0" collapsed="false">
      <c r="A881" s="12" t="n">
        <v>880</v>
      </c>
      <c r="B881" s="12" t="n">
        <v>36</v>
      </c>
      <c r="C881" s="12" t="s">
        <v>40</v>
      </c>
      <c r="D881" s="12" t="n">
        <v>2</v>
      </c>
      <c r="E881" s="12" t="s">
        <v>41</v>
      </c>
      <c r="F881" s="12" t="s">
        <v>42</v>
      </c>
      <c r="G881" s="12" t="s">
        <v>42</v>
      </c>
      <c r="H881" s="12" t="n">
        <v>6742</v>
      </c>
      <c r="I881" s="12" t="n">
        <v>30</v>
      </c>
      <c r="J881" s="12" t="s">
        <v>24</v>
      </c>
    </row>
    <row r="882" customFormat="false" ht="15" hidden="false" customHeight="true" outlineLevel="0" collapsed="false">
      <c r="A882" s="12" t="n">
        <v>881</v>
      </c>
      <c r="B882" s="12" t="n">
        <v>38</v>
      </c>
      <c r="C882" s="12" t="s">
        <v>40</v>
      </c>
      <c r="D882" s="12" t="n">
        <v>3</v>
      </c>
      <c r="E882" s="12" t="s">
        <v>41</v>
      </c>
      <c r="F882" s="12" t="s">
        <v>43</v>
      </c>
      <c r="G882" s="12" t="s">
        <v>42</v>
      </c>
      <c r="H882" s="12" t="n">
        <v>7814</v>
      </c>
      <c r="I882" s="12" t="n">
        <v>24</v>
      </c>
      <c r="J882" s="12" t="s">
        <v>23</v>
      </c>
    </row>
    <row r="883" customFormat="false" ht="15" hidden="false" customHeight="true" outlineLevel="0" collapsed="false">
      <c r="A883" s="12" t="n">
        <v>882</v>
      </c>
      <c r="B883" s="12" t="n">
        <v>48</v>
      </c>
      <c r="C883" s="12" t="s">
        <v>40</v>
      </c>
      <c r="D883" s="12" t="n">
        <v>2</v>
      </c>
      <c r="E883" s="12" t="s">
        <v>46</v>
      </c>
      <c r="F883" s="12" t="s">
        <v>42</v>
      </c>
      <c r="G883" s="12" t="s">
        <v>42</v>
      </c>
      <c r="H883" s="12" t="n">
        <v>9277</v>
      </c>
      <c r="I883" s="12" t="n">
        <v>24</v>
      </c>
      <c r="J883" s="12" t="s">
        <v>23</v>
      </c>
    </row>
    <row r="884" customFormat="false" ht="15" hidden="false" customHeight="true" outlineLevel="0" collapsed="false">
      <c r="A884" s="12" t="n">
        <v>883</v>
      </c>
      <c r="B884" s="12" t="n">
        <v>36</v>
      </c>
      <c r="C884" s="12" t="s">
        <v>40</v>
      </c>
      <c r="D884" s="12" t="n">
        <v>2</v>
      </c>
      <c r="E884" s="12" t="s">
        <v>41</v>
      </c>
      <c r="F884" s="12" t="s">
        <v>42</v>
      </c>
      <c r="G884" s="12" t="s">
        <v>45</v>
      </c>
      <c r="H884" s="12" t="n">
        <v>2181</v>
      </c>
      <c r="I884" s="12" t="n">
        <v>30</v>
      </c>
      <c r="J884" s="12" t="s">
        <v>23</v>
      </c>
    </row>
    <row r="885" customFormat="false" ht="15" hidden="false" customHeight="true" outlineLevel="0" collapsed="false">
      <c r="A885" s="12" t="n">
        <v>884</v>
      </c>
      <c r="B885" s="12" t="n">
        <v>65</v>
      </c>
      <c r="C885" s="12" t="s">
        <v>44</v>
      </c>
      <c r="D885" s="12" t="n">
        <v>0</v>
      </c>
      <c r="E885" s="12" t="s">
        <v>41</v>
      </c>
      <c r="F885" s="12" t="s">
        <v>43</v>
      </c>
      <c r="G885" s="12" t="s">
        <v>42</v>
      </c>
      <c r="H885" s="12" t="n">
        <v>1098</v>
      </c>
      <c r="I885" s="12" t="n">
        <v>18</v>
      </c>
      <c r="J885" s="12" t="s">
        <v>24</v>
      </c>
    </row>
    <row r="886" customFormat="false" ht="15" hidden="false" customHeight="true" outlineLevel="0" collapsed="false">
      <c r="A886" s="12" t="n">
        <v>885</v>
      </c>
      <c r="B886" s="12" t="n">
        <v>43</v>
      </c>
      <c r="C886" s="12" t="s">
        <v>40</v>
      </c>
      <c r="D886" s="12" t="n">
        <v>2</v>
      </c>
      <c r="E886" s="12" t="s">
        <v>41</v>
      </c>
      <c r="F886" s="12" t="s">
        <v>43</v>
      </c>
      <c r="G886" s="12" t="s">
        <v>45</v>
      </c>
      <c r="H886" s="12" t="n">
        <v>4057</v>
      </c>
      <c r="I886" s="12" t="n">
        <v>24</v>
      </c>
      <c r="J886" s="12" t="s">
        <v>25</v>
      </c>
    </row>
    <row r="887" customFormat="false" ht="15" hidden="false" customHeight="true" outlineLevel="0" collapsed="false">
      <c r="A887" s="12" t="n">
        <v>886</v>
      </c>
      <c r="B887" s="12" t="n">
        <v>53</v>
      </c>
      <c r="C887" s="12" t="s">
        <v>44</v>
      </c>
      <c r="D887" s="12" t="n">
        <v>2</v>
      </c>
      <c r="E887" s="12" t="s">
        <v>41</v>
      </c>
      <c r="F887" s="12" t="s">
        <v>43</v>
      </c>
      <c r="G887" s="12" t="s">
        <v>43</v>
      </c>
      <c r="H887" s="12" t="n">
        <v>795</v>
      </c>
      <c r="I887" s="12" t="n">
        <v>12</v>
      </c>
      <c r="J887" s="12" t="s">
        <v>27</v>
      </c>
    </row>
    <row r="888" customFormat="false" ht="15" hidden="false" customHeight="true" outlineLevel="0" collapsed="false">
      <c r="A888" s="12" t="n">
        <v>887</v>
      </c>
      <c r="B888" s="12" t="n">
        <v>34</v>
      </c>
      <c r="C888" s="12" t="s">
        <v>40</v>
      </c>
      <c r="D888" s="12" t="n">
        <v>2</v>
      </c>
      <c r="E888" s="12" t="s">
        <v>41</v>
      </c>
      <c r="F888" s="12" t="s">
        <v>42</v>
      </c>
      <c r="G888" s="12" t="s">
        <v>45</v>
      </c>
      <c r="H888" s="12" t="n">
        <v>2825</v>
      </c>
      <c r="I888" s="12" t="n">
        <v>24</v>
      </c>
      <c r="J888" s="12" t="s">
        <v>26</v>
      </c>
    </row>
    <row r="889" customFormat="false" ht="15" hidden="false" customHeight="true" outlineLevel="0" collapsed="false">
      <c r="A889" s="12" t="n">
        <v>888</v>
      </c>
      <c r="B889" s="12" t="n">
        <v>23</v>
      </c>
      <c r="C889" s="12" t="s">
        <v>40</v>
      </c>
      <c r="D889" s="12" t="n">
        <v>2</v>
      </c>
      <c r="E889" s="12" t="s">
        <v>41</v>
      </c>
      <c r="F889" s="12" t="s">
        <v>43</v>
      </c>
      <c r="G889" s="12" t="s">
        <v>45</v>
      </c>
      <c r="H889" s="12" t="n">
        <v>15672</v>
      </c>
      <c r="I889" s="12" t="n">
        <v>48</v>
      </c>
      <c r="J889" s="12" t="s">
        <v>26</v>
      </c>
    </row>
    <row r="890" customFormat="false" ht="15" hidden="false" customHeight="true" outlineLevel="0" collapsed="false">
      <c r="A890" s="12" t="n">
        <v>889</v>
      </c>
      <c r="B890" s="12" t="n">
        <v>34</v>
      </c>
      <c r="C890" s="12" t="s">
        <v>40</v>
      </c>
      <c r="D890" s="12" t="n">
        <v>3</v>
      </c>
      <c r="E890" s="12" t="s">
        <v>41</v>
      </c>
      <c r="F890" s="12" t="s">
        <v>43</v>
      </c>
      <c r="G890" s="12" t="s">
        <v>42</v>
      </c>
      <c r="H890" s="12" t="n">
        <v>6614</v>
      </c>
      <c r="I890" s="12" t="n">
        <v>36</v>
      </c>
      <c r="J890" s="12" t="s">
        <v>23</v>
      </c>
    </row>
    <row r="891" customFormat="false" ht="15" hidden="false" customHeight="true" outlineLevel="0" collapsed="false">
      <c r="A891" s="12" t="n">
        <v>890</v>
      </c>
      <c r="B891" s="12" t="n">
        <v>40</v>
      </c>
      <c r="C891" s="12" t="s">
        <v>40</v>
      </c>
      <c r="D891" s="12" t="n">
        <v>2</v>
      </c>
      <c r="E891" s="12" t="s">
        <v>48</v>
      </c>
      <c r="F891" s="12" t="s">
        <v>42</v>
      </c>
      <c r="G891" s="12" t="s">
        <v>42</v>
      </c>
      <c r="H891" s="12" t="n">
        <v>7824</v>
      </c>
      <c r="I891" s="12" t="n">
        <v>28</v>
      </c>
      <c r="J891" s="12" t="s">
        <v>23</v>
      </c>
    </row>
    <row r="892" customFormat="false" ht="15" hidden="false" customHeight="true" outlineLevel="0" collapsed="false">
      <c r="A892" s="12" t="n">
        <v>891</v>
      </c>
      <c r="B892" s="12" t="n">
        <v>43</v>
      </c>
      <c r="C892" s="12" t="s">
        <v>40</v>
      </c>
      <c r="D892" s="12" t="n">
        <v>3</v>
      </c>
      <c r="E892" s="12" t="s">
        <v>41</v>
      </c>
      <c r="F892" s="12" t="s">
        <v>43</v>
      </c>
      <c r="G892" s="12" t="s">
        <v>43</v>
      </c>
      <c r="H892" s="12" t="n">
        <v>2442</v>
      </c>
      <c r="I892" s="12" t="n">
        <v>27</v>
      </c>
      <c r="J892" s="12" t="s">
        <v>26</v>
      </c>
    </row>
    <row r="893" customFormat="false" ht="15" hidden="false" customHeight="true" outlineLevel="0" collapsed="false">
      <c r="A893" s="12" t="n">
        <v>892</v>
      </c>
      <c r="B893" s="12" t="n">
        <v>46</v>
      </c>
      <c r="C893" s="12" t="s">
        <v>40</v>
      </c>
      <c r="D893" s="12" t="n">
        <v>2</v>
      </c>
      <c r="E893" s="12" t="s">
        <v>41</v>
      </c>
      <c r="F893" s="12" t="s">
        <v>43</v>
      </c>
      <c r="G893" s="12" t="s">
        <v>42</v>
      </c>
      <c r="H893" s="12" t="n">
        <v>1829</v>
      </c>
      <c r="I893" s="12" t="n">
        <v>15</v>
      </c>
      <c r="J893" s="12" t="s">
        <v>24</v>
      </c>
    </row>
    <row r="894" customFormat="false" ht="15" hidden="false" customHeight="true" outlineLevel="0" collapsed="false">
      <c r="A894" s="12" t="n">
        <v>893</v>
      </c>
      <c r="B894" s="12" t="n">
        <v>38</v>
      </c>
      <c r="C894" s="12" t="s">
        <v>40</v>
      </c>
      <c r="D894" s="12" t="n">
        <v>1</v>
      </c>
      <c r="E894" s="12" t="s">
        <v>41</v>
      </c>
      <c r="F894" s="12" t="s">
        <v>43</v>
      </c>
      <c r="G894" s="12" t="s">
        <v>43</v>
      </c>
      <c r="H894" s="12" t="n">
        <v>2171</v>
      </c>
      <c r="I894" s="12" t="n">
        <v>12</v>
      </c>
      <c r="J894" s="12" t="s">
        <v>23</v>
      </c>
    </row>
    <row r="895" customFormat="false" ht="15" hidden="false" customHeight="true" outlineLevel="0" collapsed="false">
      <c r="A895" s="12" t="n">
        <v>894</v>
      </c>
      <c r="B895" s="12" t="n">
        <v>34</v>
      </c>
      <c r="C895" s="12" t="s">
        <v>40</v>
      </c>
      <c r="D895" s="12" t="n">
        <v>2</v>
      </c>
      <c r="E895" s="12" t="s">
        <v>41</v>
      </c>
      <c r="F895" s="12" t="s">
        <v>43</v>
      </c>
      <c r="G895" s="12" t="s">
        <v>45</v>
      </c>
      <c r="H895" s="12" t="n">
        <v>5800</v>
      </c>
      <c r="I895" s="12" t="n">
        <v>36</v>
      </c>
      <c r="J895" s="12" t="s">
        <v>23</v>
      </c>
    </row>
    <row r="896" customFormat="false" ht="15" hidden="false" customHeight="true" outlineLevel="0" collapsed="false">
      <c r="A896" s="12" t="n">
        <v>895</v>
      </c>
      <c r="B896" s="12" t="n">
        <v>29</v>
      </c>
      <c r="C896" s="12" t="s">
        <v>40</v>
      </c>
      <c r="D896" s="12" t="n">
        <v>2</v>
      </c>
      <c r="E896" s="12" t="s">
        <v>41</v>
      </c>
      <c r="F896" s="12" t="s">
        <v>42</v>
      </c>
      <c r="G896" s="12" t="s">
        <v>42</v>
      </c>
      <c r="H896" s="12" t="n">
        <v>1169</v>
      </c>
      <c r="I896" s="12" t="n">
        <v>18</v>
      </c>
      <c r="J896" s="12" t="s">
        <v>24</v>
      </c>
    </row>
    <row r="897" customFormat="false" ht="15" hidden="false" customHeight="true" outlineLevel="0" collapsed="false">
      <c r="A897" s="12" t="n">
        <v>896</v>
      </c>
      <c r="B897" s="12" t="n">
        <v>31</v>
      </c>
      <c r="C897" s="12" t="s">
        <v>40</v>
      </c>
      <c r="D897" s="12" t="n">
        <v>3</v>
      </c>
      <c r="E897" s="12" t="s">
        <v>41</v>
      </c>
      <c r="F897" s="12" t="s">
        <v>42</v>
      </c>
      <c r="G897" s="12" t="s">
        <v>42</v>
      </c>
      <c r="H897" s="12" t="n">
        <v>8947</v>
      </c>
      <c r="I897" s="12" t="n">
        <v>36</v>
      </c>
      <c r="J897" s="12" t="s">
        <v>23</v>
      </c>
    </row>
    <row r="898" customFormat="false" ht="15" hidden="false" customHeight="true" outlineLevel="0" collapsed="false">
      <c r="A898" s="12" t="n">
        <v>897</v>
      </c>
      <c r="B898" s="12" t="n">
        <v>28</v>
      </c>
      <c r="C898" s="12" t="s">
        <v>44</v>
      </c>
      <c r="D898" s="12" t="n">
        <v>3</v>
      </c>
      <c r="E898" s="12" t="s">
        <v>48</v>
      </c>
      <c r="F898" s="12" t="s">
        <v>43</v>
      </c>
      <c r="G898" s="12" t="s">
        <v>43</v>
      </c>
      <c r="H898" s="12" t="n">
        <v>2606</v>
      </c>
      <c r="I898" s="12" t="n">
        <v>21</v>
      </c>
      <c r="J898" s="12" t="s">
        <v>24</v>
      </c>
    </row>
    <row r="899" customFormat="false" ht="15" hidden="false" customHeight="true" outlineLevel="0" collapsed="false">
      <c r="A899" s="12" t="n">
        <v>898</v>
      </c>
      <c r="B899" s="12" t="n">
        <v>35</v>
      </c>
      <c r="C899" s="12" t="s">
        <v>44</v>
      </c>
      <c r="D899" s="12" t="n">
        <v>2</v>
      </c>
      <c r="E899" s="12" t="s">
        <v>41</v>
      </c>
      <c r="F899" s="12" t="s">
        <v>49</v>
      </c>
      <c r="G899" s="12" t="s">
        <v>42</v>
      </c>
      <c r="H899" s="12" t="n">
        <v>1592</v>
      </c>
      <c r="I899" s="12" t="n">
        <v>12</v>
      </c>
      <c r="J899" s="12" t="s">
        <v>25</v>
      </c>
    </row>
    <row r="900" customFormat="false" ht="15" hidden="false" customHeight="true" outlineLevel="0" collapsed="false">
      <c r="A900" s="12" t="n">
        <v>899</v>
      </c>
      <c r="B900" s="12" t="n">
        <v>33</v>
      </c>
      <c r="C900" s="12" t="s">
        <v>44</v>
      </c>
      <c r="D900" s="12" t="n">
        <v>1</v>
      </c>
      <c r="E900" s="12" t="s">
        <v>48</v>
      </c>
      <c r="F900" s="12" t="s">
        <v>42</v>
      </c>
      <c r="G900" s="12" t="s">
        <v>42</v>
      </c>
      <c r="H900" s="12" t="n">
        <v>2186</v>
      </c>
      <c r="I900" s="12" t="n">
        <v>15</v>
      </c>
      <c r="J900" s="12" t="s">
        <v>25</v>
      </c>
    </row>
    <row r="901" customFormat="false" ht="15" hidden="false" customHeight="true" outlineLevel="0" collapsed="false">
      <c r="A901" s="12" t="n">
        <v>900</v>
      </c>
      <c r="B901" s="12" t="n">
        <v>42</v>
      </c>
      <c r="C901" s="12" t="s">
        <v>40</v>
      </c>
      <c r="D901" s="12" t="n">
        <v>2</v>
      </c>
      <c r="E901" s="12" t="s">
        <v>41</v>
      </c>
      <c r="F901" s="12" t="s">
        <v>43</v>
      </c>
      <c r="G901" s="12" t="s">
        <v>43</v>
      </c>
      <c r="H901" s="12" t="n">
        <v>4153</v>
      </c>
      <c r="I901" s="12" t="n">
        <v>18</v>
      </c>
      <c r="J901" s="12" t="s">
        <v>25</v>
      </c>
    </row>
    <row r="902" customFormat="false" ht="15" hidden="false" customHeight="true" outlineLevel="0" collapsed="false">
      <c r="A902" s="12" t="n">
        <v>901</v>
      </c>
      <c r="B902" s="12" t="n">
        <v>43</v>
      </c>
      <c r="C902" s="12" t="s">
        <v>40</v>
      </c>
      <c r="D902" s="12" t="n">
        <v>2</v>
      </c>
      <c r="E902" s="12" t="s">
        <v>48</v>
      </c>
      <c r="F902" s="12" t="s">
        <v>43</v>
      </c>
      <c r="G902" s="12" t="s">
        <v>43</v>
      </c>
      <c r="H902" s="12" t="n">
        <v>2625</v>
      </c>
      <c r="I902" s="12" t="n">
        <v>16</v>
      </c>
      <c r="J902" s="12" t="s">
        <v>23</v>
      </c>
    </row>
    <row r="903" customFormat="false" ht="15" hidden="false" customHeight="true" outlineLevel="0" collapsed="false">
      <c r="A903" s="12" t="n">
        <v>902</v>
      </c>
      <c r="B903" s="12" t="n">
        <v>44</v>
      </c>
      <c r="C903" s="12" t="s">
        <v>40</v>
      </c>
      <c r="D903" s="12" t="n">
        <v>2</v>
      </c>
      <c r="E903" s="12" t="s">
        <v>41</v>
      </c>
      <c r="F903" s="12" t="s">
        <v>42</v>
      </c>
      <c r="G903" s="12" t="s">
        <v>42</v>
      </c>
      <c r="H903" s="12" t="n">
        <v>3485</v>
      </c>
      <c r="I903" s="12" t="n">
        <v>20</v>
      </c>
      <c r="J903" s="12" t="s">
        <v>23</v>
      </c>
    </row>
    <row r="904" customFormat="false" ht="15" hidden="false" customHeight="true" outlineLevel="0" collapsed="false">
      <c r="A904" s="12" t="n">
        <v>903</v>
      </c>
      <c r="B904" s="12" t="n">
        <v>42</v>
      </c>
      <c r="C904" s="12" t="s">
        <v>40</v>
      </c>
      <c r="D904" s="12" t="n">
        <v>2</v>
      </c>
      <c r="E904" s="12" t="s">
        <v>46</v>
      </c>
      <c r="F904" s="12" t="s">
        <v>42</v>
      </c>
      <c r="G904" s="12" t="s">
        <v>42</v>
      </c>
      <c r="H904" s="12" t="n">
        <v>10477</v>
      </c>
      <c r="I904" s="12" t="n">
        <v>36</v>
      </c>
      <c r="J904" s="12" t="s">
        <v>23</v>
      </c>
    </row>
    <row r="905" customFormat="false" ht="15" hidden="false" customHeight="true" outlineLevel="0" collapsed="false">
      <c r="A905" s="12" t="n">
        <v>904</v>
      </c>
      <c r="B905" s="12" t="n">
        <v>40</v>
      </c>
      <c r="C905" s="12" t="s">
        <v>40</v>
      </c>
      <c r="D905" s="12" t="n">
        <v>2</v>
      </c>
      <c r="E905" s="12" t="s">
        <v>48</v>
      </c>
      <c r="F905" s="12" t="s">
        <v>42</v>
      </c>
      <c r="G905" s="12" t="s">
        <v>42</v>
      </c>
      <c r="H905" s="12" t="n">
        <v>1386</v>
      </c>
      <c r="I905" s="12" t="n">
        <v>15</v>
      </c>
      <c r="J905" s="12" t="s">
        <v>24</v>
      </c>
    </row>
    <row r="906" customFormat="false" ht="15" hidden="false" customHeight="true" outlineLevel="0" collapsed="false">
      <c r="A906" s="12" t="n">
        <v>905</v>
      </c>
      <c r="B906" s="12" t="n">
        <v>36</v>
      </c>
      <c r="C906" s="12" t="s">
        <v>40</v>
      </c>
      <c r="D906" s="12" t="n">
        <v>3</v>
      </c>
      <c r="E906" s="12" t="s">
        <v>41</v>
      </c>
      <c r="F906" s="12" t="s">
        <v>43</v>
      </c>
      <c r="G906" s="12" t="s">
        <v>42</v>
      </c>
      <c r="H906" s="12" t="n">
        <v>1278</v>
      </c>
      <c r="I906" s="12" t="n">
        <v>24</v>
      </c>
      <c r="J906" s="12" t="s">
        <v>24</v>
      </c>
    </row>
    <row r="907" customFormat="false" ht="15" hidden="false" customHeight="true" outlineLevel="0" collapsed="false">
      <c r="A907" s="12" t="n">
        <v>906</v>
      </c>
      <c r="B907" s="12" t="n">
        <v>20</v>
      </c>
      <c r="C907" s="12" t="s">
        <v>40</v>
      </c>
      <c r="D907" s="12" t="n">
        <v>3</v>
      </c>
      <c r="E907" s="12" t="s">
        <v>48</v>
      </c>
      <c r="F907" s="12" t="s">
        <v>43</v>
      </c>
      <c r="G907" s="12" t="s">
        <v>43</v>
      </c>
      <c r="H907" s="12" t="n">
        <v>1107</v>
      </c>
      <c r="I907" s="12" t="n">
        <v>12</v>
      </c>
      <c r="J907" s="12" t="s">
        <v>24</v>
      </c>
    </row>
    <row r="908" customFormat="false" ht="15" hidden="false" customHeight="true" outlineLevel="0" collapsed="false">
      <c r="A908" s="12" t="n">
        <v>907</v>
      </c>
      <c r="B908" s="12" t="n">
        <v>24</v>
      </c>
      <c r="C908" s="12" t="s">
        <v>40</v>
      </c>
      <c r="D908" s="12" t="n">
        <v>1</v>
      </c>
      <c r="E908" s="12" t="s">
        <v>41</v>
      </c>
      <c r="F908" s="12" t="s">
        <v>42</v>
      </c>
      <c r="G908" s="12" t="s">
        <v>43</v>
      </c>
      <c r="H908" s="12" t="n">
        <v>3763</v>
      </c>
      <c r="I908" s="12" t="n">
        <v>21</v>
      </c>
      <c r="J908" s="12" t="s">
        <v>23</v>
      </c>
    </row>
    <row r="909" customFormat="false" ht="15" hidden="false" customHeight="true" outlineLevel="0" collapsed="false">
      <c r="A909" s="12" t="n">
        <v>908</v>
      </c>
      <c r="B909" s="12" t="n">
        <v>27</v>
      </c>
      <c r="C909" s="12" t="s">
        <v>40</v>
      </c>
      <c r="D909" s="12" t="n">
        <v>2</v>
      </c>
      <c r="E909" s="12" t="s">
        <v>41</v>
      </c>
      <c r="F909" s="12" t="s">
        <v>42</v>
      </c>
      <c r="G909" s="12" t="s">
        <v>45</v>
      </c>
      <c r="H909" s="12" t="n">
        <v>3711</v>
      </c>
      <c r="I909" s="12" t="n">
        <v>36</v>
      </c>
      <c r="J909" s="12" t="s">
        <v>27</v>
      </c>
    </row>
    <row r="910" customFormat="false" ht="15" hidden="false" customHeight="true" outlineLevel="0" collapsed="false">
      <c r="A910" s="12" t="n">
        <v>909</v>
      </c>
      <c r="B910" s="12" t="n">
        <v>46</v>
      </c>
      <c r="C910" s="12" t="s">
        <v>44</v>
      </c>
      <c r="D910" s="12" t="n">
        <v>1</v>
      </c>
      <c r="E910" s="12" t="s">
        <v>41</v>
      </c>
      <c r="F910" s="12" t="s">
        <v>43</v>
      </c>
      <c r="G910" s="12" t="s">
        <v>42</v>
      </c>
      <c r="H910" s="12" t="n">
        <v>3594</v>
      </c>
      <c r="I910" s="12" t="n">
        <v>15</v>
      </c>
      <c r="J910" s="12" t="s">
        <v>23</v>
      </c>
    </row>
    <row r="911" customFormat="false" ht="15" hidden="false" customHeight="true" outlineLevel="0" collapsed="false">
      <c r="A911" s="12" t="n">
        <v>910</v>
      </c>
      <c r="B911" s="12" t="n">
        <v>33</v>
      </c>
      <c r="C911" s="12" t="s">
        <v>44</v>
      </c>
      <c r="D911" s="12" t="n">
        <v>1</v>
      </c>
      <c r="E911" s="12" t="s">
        <v>41</v>
      </c>
      <c r="F911" s="12" t="s">
        <v>42</v>
      </c>
      <c r="G911" s="12" t="s">
        <v>45</v>
      </c>
      <c r="H911" s="12" t="n">
        <v>3195</v>
      </c>
      <c r="I911" s="12" t="n">
        <v>9</v>
      </c>
      <c r="J911" s="12" t="s">
        <v>23</v>
      </c>
    </row>
    <row r="912" customFormat="false" ht="15" hidden="false" customHeight="true" outlineLevel="0" collapsed="false">
      <c r="A912" s="12" t="n">
        <v>911</v>
      </c>
      <c r="B912" s="12" t="n">
        <v>34</v>
      </c>
      <c r="C912" s="12" t="s">
        <v>44</v>
      </c>
      <c r="D912" s="12" t="n">
        <v>2</v>
      </c>
      <c r="E912" s="12" t="s">
        <v>41</v>
      </c>
      <c r="F912" s="12" t="s">
        <v>43</v>
      </c>
      <c r="G912" s="12" t="s">
        <v>42</v>
      </c>
      <c r="H912" s="12" t="n">
        <v>4454</v>
      </c>
      <c r="I912" s="12" t="n">
        <v>36</v>
      </c>
      <c r="J912" s="12" t="s">
        <v>24</v>
      </c>
    </row>
    <row r="913" customFormat="false" ht="15" hidden="false" customHeight="true" outlineLevel="0" collapsed="false">
      <c r="A913" s="12" t="n">
        <v>912</v>
      </c>
      <c r="B913" s="12" t="n">
        <v>25</v>
      </c>
      <c r="C913" s="12" t="s">
        <v>44</v>
      </c>
      <c r="D913" s="12" t="n">
        <v>1</v>
      </c>
      <c r="E913" s="12" t="s">
        <v>41</v>
      </c>
      <c r="F913" s="12" t="s">
        <v>43</v>
      </c>
      <c r="G913" s="12" t="s">
        <v>45</v>
      </c>
      <c r="H913" s="12" t="n">
        <v>4736</v>
      </c>
      <c r="I913" s="12" t="n">
        <v>24</v>
      </c>
      <c r="J913" s="12" t="s">
        <v>25</v>
      </c>
    </row>
    <row r="914" customFormat="false" ht="15" hidden="false" customHeight="true" outlineLevel="0" collapsed="false">
      <c r="A914" s="12" t="n">
        <v>913</v>
      </c>
      <c r="B914" s="12" t="n">
        <v>25</v>
      </c>
      <c r="C914" s="12" t="s">
        <v>44</v>
      </c>
      <c r="D914" s="12" t="n">
        <v>2</v>
      </c>
      <c r="E914" s="12" t="s">
        <v>41</v>
      </c>
      <c r="F914" s="12" t="s">
        <v>42</v>
      </c>
      <c r="G914" s="12" t="s">
        <v>45</v>
      </c>
      <c r="H914" s="12" t="n">
        <v>2991</v>
      </c>
      <c r="I914" s="12" t="n">
        <v>30</v>
      </c>
      <c r="J914" s="12" t="s">
        <v>24</v>
      </c>
    </row>
    <row r="915" customFormat="false" ht="15" hidden="false" customHeight="true" outlineLevel="0" collapsed="false">
      <c r="A915" s="12" t="n">
        <v>914</v>
      </c>
      <c r="B915" s="12" t="n">
        <v>28</v>
      </c>
      <c r="C915" s="12" t="s">
        <v>40</v>
      </c>
      <c r="D915" s="12" t="n">
        <v>2</v>
      </c>
      <c r="E915" s="12" t="s">
        <v>41</v>
      </c>
      <c r="F915" s="12" t="s">
        <v>49</v>
      </c>
      <c r="G915" s="12" t="s">
        <v>42</v>
      </c>
      <c r="H915" s="12" t="n">
        <v>2142</v>
      </c>
      <c r="I915" s="12" t="n">
        <v>11</v>
      </c>
      <c r="J915" s="12" t="s">
        <v>26</v>
      </c>
    </row>
    <row r="916" customFormat="false" ht="15" hidden="false" customHeight="true" outlineLevel="0" collapsed="false">
      <c r="A916" s="12" t="n">
        <v>915</v>
      </c>
      <c r="B916" s="12" t="n">
        <v>31</v>
      </c>
      <c r="C916" s="12" t="s">
        <v>40</v>
      </c>
      <c r="D916" s="12" t="n">
        <v>2</v>
      </c>
      <c r="E916" s="12" t="s">
        <v>48</v>
      </c>
      <c r="F916" s="12" t="s">
        <v>43</v>
      </c>
      <c r="G916" s="12" t="s">
        <v>43</v>
      </c>
      <c r="H916" s="12" t="n">
        <v>3161</v>
      </c>
      <c r="I916" s="12" t="n">
        <v>24</v>
      </c>
      <c r="J916" s="12" t="s">
        <v>26</v>
      </c>
    </row>
    <row r="917" customFormat="false" ht="15" hidden="false" customHeight="true" outlineLevel="0" collapsed="false">
      <c r="A917" s="12" t="n">
        <v>916</v>
      </c>
      <c r="B917" s="12" t="n">
        <v>32</v>
      </c>
      <c r="C917" s="12" t="s">
        <v>44</v>
      </c>
      <c r="D917" s="12" t="n">
        <v>3</v>
      </c>
      <c r="E917" s="12" t="s">
        <v>41</v>
      </c>
      <c r="F917" s="12" t="s">
        <v>43</v>
      </c>
      <c r="G917" s="12" t="s">
        <v>45</v>
      </c>
      <c r="H917" s="12" t="n">
        <v>18424</v>
      </c>
      <c r="I917" s="12" t="n">
        <v>48</v>
      </c>
      <c r="J917" s="12" t="s">
        <v>30</v>
      </c>
    </row>
    <row r="918" customFormat="false" ht="15" hidden="false" customHeight="true" outlineLevel="0" collapsed="false">
      <c r="A918" s="12" t="n">
        <v>917</v>
      </c>
      <c r="B918" s="12" t="n">
        <v>32</v>
      </c>
      <c r="C918" s="12" t="s">
        <v>40</v>
      </c>
      <c r="D918" s="12" t="n">
        <v>2</v>
      </c>
      <c r="E918" s="12" t="s">
        <v>41</v>
      </c>
      <c r="F918" s="12" t="s">
        <v>45</v>
      </c>
      <c r="G918" s="12" t="s">
        <v>42</v>
      </c>
      <c r="H918" s="12" t="n">
        <v>2848</v>
      </c>
      <c r="I918" s="12" t="n">
        <v>10</v>
      </c>
      <c r="J918" s="12" t="s">
        <v>23</v>
      </c>
    </row>
    <row r="919" customFormat="false" ht="15" hidden="false" customHeight="true" outlineLevel="0" collapsed="false">
      <c r="A919" s="12" t="n">
        <v>918</v>
      </c>
      <c r="B919" s="12" t="n">
        <v>68</v>
      </c>
      <c r="C919" s="12" t="s">
        <v>40</v>
      </c>
      <c r="D919" s="12" t="n">
        <v>3</v>
      </c>
      <c r="E919" s="12" t="s">
        <v>41</v>
      </c>
      <c r="F919" s="12" t="s">
        <v>43</v>
      </c>
      <c r="G919" s="12" t="s">
        <v>43</v>
      </c>
      <c r="H919" s="12" t="n">
        <v>14896</v>
      </c>
      <c r="I919" s="12" t="n">
        <v>6</v>
      </c>
      <c r="J919" s="12" t="s">
        <v>23</v>
      </c>
    </row>
    <row r="920" customFormat="false" ht="15" hidden="false" customHeight="true" outlineLevel="0" collapsed="false">
      <c r="A920" s="12" t="n">
        <v>919</v>
      </c>
      <c r="B920" s="12" t="n">
        <v>33</v>
      </c>
      <c r="C920" s="12" t="s">
        <v>40</v>
      </c>
      <c r="D920" s="12" t="n">
        <v>2</v>
      </c>
      <c r="E920" s="12" t="s">
        <v>41</v>
      </c>
      <c r="F920" s="12" t="s">
        <v>45</v>
      </c>
      <c r="G920" s="12" t="s">
        <v>43</v>
      </c>
      <c r="H920" s="12" t="n">
        <v>2359</v>
      </c>
      <c r="I920" s="12" t="n">
        <v>24</v>
      </c>
      <c r="J920" s="12" t="s">
        <v>25</v>
      </c>
    </row>
    <row r="921" customFormat="false" ht="15" hidden="false" customHeight="true" outlineLevel="0" collapsed="false">
      <c r="A921" s="12" t="n">
        <v>920</v>
      </c>
      <c r="B921" s="12" t="n">
        <v>39</v>
      </c>
      <c r="C921" s="12" t="s">
        <v>40</v>
      </c>
      <c r="D921" s="12" t="n">
        <v>3</v>
      </c>
      <c r="E921" s="12" t="s">
        <v>48</v>
      </c>
      <c r="F921" s="12" t="s">
        <v>43</v>
      </c>
      <c r="G921" s="12" t="s">
        <v>43</v>
      </c>
      <c r="H921" s="12" t="n">
        <v>3345</v>
      </c>
      <c r="I921" s="12" t="n">
        <v>24</v>
      </c>
      <c r="J921" s="12" t="s">
        <v>25</v>
      </c>
    </row>
    <row r="922" customFormat="false" ht="15" hidden="false" customHeight="true" outlineLevel="0" collapsed="false">
      <c r="A922" s="12" t="n">
        <v>921</v>
      </c>
      <c r="B922" s="12" t="n">
        <v>28</v>
      </c>
      <c r="C922" s="12" t="s">
        <v>44</v>
      </c>
      <c r="D922" s="12" t="n">
        <v>2</v>
      </c>
      <c r="E922" s="12" t="s">
        <v>41</v>
      </c>
      <c r="F922" s="12" t="s">
        <v>43</v>
      </c>
      <c r="G922" s="12" t="s">
        <v>42</v>
      </c>
      <c r="H922" s="12" t="n">
        <v>1817</v>
      </c>
      <c r="I922" s="12" t="n">
        <v>18</v>
      </c>
      <c r="J922" s="12" t="s">
        <v>25</v>
      </c>
    </row>
    <row r="923" customFormat="false" ht="15" hidden="false" customHeight="true" outlineLevel="0" collapsed="false">
      <c r="A923" s="12" t="n">
        <v>922</v>
      </c>
      <c r="B923" s="12" t="n">
        <v>37</v>
      </c>
      <c r="C923" s="12" t="s">
        <v>40</v>
      </c>
      <c r="D923" s="12" t="n">
        <v>3</v>
      </c>
      <c r="E923" s="12" t="s">
        <v>41</v>
      </c>
      <c r="F923" s="12" t="s">
        <v>47</v>
      </c>
      <c r="G923" s="12" t="s">
        <v>42</v>
      </c>
      <c r="H923" s="12" t="n">
        <v>12749</v>
      </c>
      <c r="I923" s="12" t="n">
        <v>48</v>
      </c>
      <c r="J923" s="12" t="s">
        <v>24</v>
      </c>
    </row>
    <row r="924" customFormat="false" ht="15" hidden="false" customHeight="true" outlineLevel="0" collapsed="false">
      <c r="A924" s="12" t="n">
        <v>923</v>
      </c>
      <c r="B924" s="12" t="n">
        <v>22</v>
      </c>
      <c r="C924" s="12" t="s">
        <v>44</v>
      </c>
      <c r="D924" s="12" t="n">
        <v>2</v>
      </c>
      <c r="E924" s="12" t="s">
        <v>48</v>
      </c>
      <c r="F924" s="12" t="s">
        <v>43</v>
      </c>
      <c r="G924" s="12" t="s">
        <v>43</v>
      </c>
      <c r="H924" s="12" t="n">
        <v>1366</v>
      </c>
      <c r="I924" s="12" t="n">
        <v>9</v>
      </c>
      <c r="J924" s="12" t="s">
        <v>24</v>
      </c>
    </row>
    <row r="925" customFormat="false" ht="15" hidden="false" customHeight="true" outlineLevel="0" collapsed="false">
      <c r="A925" s="12" t="n">
        <v>924</v>
      </c>
      <c r="B925" s="12" t="n">
        <v>30</v>
      </c>
      <c r="C925" s="12" t="s">
        <v>40</v>
      </c>
      <c r="D925" s="12" t="n">
        <v>2</v>
      </c>
      <c r="E925" s="12" t="s">
        <v>48</v>
      </c>
      <c r="F925" s="12" t="s">
        <v>43</v>
      </c>
      <c r="G925" s="12" t="s">
        <v>45</v>
      </c>
      <c r="H925" s="12" t="n">
        <v>2002</v>
      </c>
      <c r="I925" s="12" t="n">
        <v>12</v>
      </c>
      <c r="J925" s="12" t="s">
        <v>23</v>
      </c>
    </row>
    <row r="926" customFormat="false" ht="15" hidden="false" customHeight="true" outlineLevel="0" collapsed="false">
      <c r="A926" s="12" t="n">
        <v>925</v>
      </c>
      <c r="B926" s="12" t="n">
        <v>55</v>
      </c>
      <c r="C926" s="12" t="s">
        <v>40</v>
      </c>
      <c r="D926" s="12" t="n">
        <v>2</v>
      </c>
      <c r="E926" s="12" t="s">
        <v>41</v>
      </c>
      <c r="F926" s="12" t="s">
        <v>43</v>
      </c>
      <c r="G926" s="12" t="s">
        <v>43</v>
      </c>
      <c r="H926" s="12" t="n">
        <v>6872</v>
      </c>
      <c r="I926" s="12" t="n">
        <v>24</v>
      </c>
      <c r="J926" s="12" t="s">
        <v>25</v>
      </c>
    </row>
    <row r="927" customFormat="false" ht="15" hidden="false" customHeight="true" outlineLevel="0" collapsed="false">
      <c r="A927" s="12" t="n">
        <v>926</v>
      </c>
      <c r="B927" s="12" t="n">
        <v>46</v>
      </c>
      <c r="C927" s="12" t="s">
        <v>40</v>
      </c>
      <c r="D927" s="12" t="n">
        <v>2</v>
      </c>
      <c r="E927" s="12" t="s">
        <v>41</v>
      </c>
      <c r="F927" s="12" t="s">
        <v>43</v>
      </c>
      <c r="G927" s="12" t="s">
        <v>43</v>
      </c>
      <c r="H927" s="12" t="n">
        <v>697</v>
      </c>
      <c r="I927" s="12" t="n">
        <v>12</v>
      </c>
      <c r="J927" s="12" t="s">
        <v>23</v>
      </c>
    </row>
    <row r="928" customFormat="false" ht="15" hidden="false" customHeight="true" outlineLevel="0" collapsed="false">
      <c r="A928" s="12" t="n">
        <v>927</v>
      </c>
      <c r="B928" s="12" t="n">
        <v>21</v>
      </c>
      <c r="C928" s="12" t="s">
        <v>44</v>
      </c>
      <c r="D928" s="12" t="n">
        <v>2</v>
      </c>
      <c r="E928" s="12" t="s">
        <v>48</v>
      </c>
      <c r="F928" s="12" t="s">
        <v>43</v>
      </c>
      <c r="G928" s="12" t="s">
        <v>43</v>
      </c>
      <c r="H928" s="12" t="n">
        <v>1049</v>
      </c>
      <c r="I928" s="12" t="n">
        <v>18</v>
      </c>
      <c r="J928" s="12" t="s">
        <v>25</v>
      </c>
    </row>
    <row r="929" customFormat="false" ht="15" hidden="false" customHeight="true" outlineLevel="0" collapsed="false">
      <c r="A929" s="12" t="n">
        <v>928</v>
      </c>
      <c r="B929" s="12" t="n">
        <v>39</v>
      </c>
      <c r="C929" s="12" t="s">
        <v>40</v>
      </c>
      <c r="D929" s="12" t="n">
        <v>2</v>
      </c>
      <c r="E929" s="12" t="s">
        <v>46</v>
      </c>
      <c r="F929" s="12" t="s">
        <v>43</v>
      </c>
      <c r="G929" s="12" t="s">
        <v>43</v>
      </c>
      <c r="H929" s="12" t="n">
        <v>10297</v>
      </c>
      <c r="I929" s="12" t="n">
        <v>48</v>
      </c>
      <c r="J929" s="12" t="s">
        <v>23</v>
      </c>
    </row>
    <row r="930" customFormat="false" ht="15" hidden="false" customHeight="true" outlineLevel="0" collapsed="false">
      <c r="A930" s="12" t="n">
        <v>929</v>
      </c>
      <c r="B930" s="12" t="n">
        <v>58</v>
      </c>
      <c r="C930" s="12" t="s">
        <v>40</v>
      </c>
      <c r="D930" s="12" t="n">
        <v>2</v>
      </c>
      <c r="E930" s="12" t="s">
        <v>41</v>
      </c>
      <c r="F930" s="12" t="s">
        <v>42</v>
      </c>
      <c r="G930" s="12" t="s">
        <v>42</v>
      </c>
      <c r="H930" s="12" t="n">
        <v>1867</v>
      </c>
      <c r="I930" s="12" t="n">
        <v>30</v>
      </c>
      <c r="J930" s="12" t="s">
        <v>24</v>
      </c>
    </row>
    <row r="931" customFormat="false" ht="15" hidden="false" customHeight="true" outlineLevel="0" collapsed="false">
      <c r="A931" s="12" t="n">
        <v>930</v>
      </c>
      <c r="B931" s="12" t="n">
        <v>43</v>
      </c>
      <c r="C931" s="12" t="s">
        <v>40</v>
      </c>
      <c r="D931" s="12" t="n">
        <v>1</v>
      </c>
      <c r="E931" s="12" t="s">
        <v>41</v>
      </c>
      <c r="F931" s="12" t="s">
        <v>43</v>
      </c>
      <c r="G931" s="12" t="s">
        <v>43</v>
      </c>
      <c r="H931" s="12" t="n">
        <v>1344</v>
      </c>
      <c r="I931" s="12" t="n">
        <v>12</v>
      </c>
      <c r="J931" s="12" t="s">
        <v>23</v>
      </c>
    </row>
    <row r="932" customFormat="false" ht="15" hidden="false" customHeight="true" outlineLevel="0" collapsed="false">
      <c r="A932" s="12" t="n">
        <v>931</v>
      </c>
      <c r="B932" s="12" t="n">
        <v>24</v>
      </c>
      <c r="C932" s="12" t="s">
        <v>40</v>
      </c>
      <c r="D932" s="12" t="n">
        <v>1</v>
      </c>
      <c r="E932" s="12" t="s">
        <v>41</v>
      </c>
      <c r="F932" s="12" t="s">
        <v>43</v>
      </c>
      <c r="G932" s="12" t="s">
        <v>43</v>
      </c>
      <c r="H932" s="12" t="n">
        <v>1747</v>
      </c>
      <c r="I932" s="12" t="n">
        <v>24</v>
      </c>
      <c r="J932" s="12" t="s">
        <v>25</v>
      </c>
    </row>
    <row r="933" customFormat="false" ht="15" hidden="false" customHeight="true" outlineLevel="0" collapsed="false">
      <c r="A933" s="12" t="n">
        <v>932</v>
      </c>
      <c r="B933" s="12" t="n">
        <v>22</v>
      </c>
      <c r="C933" s="12" t="s">
        <v>44</v>
      </c>
      <c r="D933" s="12" t="n">
        <v>2</v>
      </c>
      <c r="E933" s="12" t="s">
        <v>41</v>
      </c>
      <c r="F933" s="12" t="s">
        <v>43</v>
      </c>
      <c r="G933" s="12" t="s">
        <v>45</v>
      </c>
      <c r="H933" s="12" t="n">
        <v>1670</v>
      </c>
      <c r="I933" s="12" t="n">
        <v>9</v>
      </c>
      <c r="J933" s="12" t="s">
        <v>24</v>
      </c>
    </row>
    <row r="934" customFormat="false" ht="15" hidden="false" customHeight="true" outlineLevel="0" collapsed="false">
      <c r="A934" s="12" t="n">
        <v>933</v>
      </c>
      <c r="B934" s="12" t="n">
        <v>30</v>
      </c>
      <c r="C934" s="12" t="s">
        <v>40</v>
      </c>
      <c r="D934" s="12" t="n">
        <v>2</v>
      </c>
      <c r="E934" s="12" t="s">
        <v>41</v>
      </c>
      <c r="F934" s="12" t="s">
        <v>43</v>
      </c>
      <c r="G934" s="12" t="s">
        <v>42</v>
      </c>
      <c r="H934" s="12" t="n">
        <v>1224</v>
      </c>
      <c r="I934" s="12" t="n">
        <v>9</v>
      </c>
      <c r="J934" s="12" t="s">
        <v>23</v>
      </c>
    </row>
    <row r="935" customFormat="false" ht="15" hidden="false" customHeight="true" outlineLevel="0" collapsed="false">
      <c r="A935" s="12" t="n">
        <v>934</v>
      </c>
      <c r="B935" s="12" t="n">
        <v>42</v>
      </c>
      <c r="C935" s="12" t="s">
        <v>40</v>
      </c>
      <c r="D935" s="12" t="n">
        <v>2</v>
      </c>
      <c r="E935" s="12" t="s">
        <v>41</v>
      </c>
      <c r="F935" s="12" t="s">
        <v>47</v>
      </c>
      <c r="G935" s="12" t="s">
        <v>42</v>
      </c>
      <c r="H935" s="12" t="n">
        <v>522</v>
      </c>
      <c r="I935" s="12" t="n">
        <v>12</v>
      </c>
      <c r="J935" s="12" t="s">
        <v>24</v>
      </c>
    </row>
    <row r="936" customFormat="false" ht="15" hidden="false" customHeight="true" outlineLevel="0" collapsed="false">
      <c r="A936" s="12" t="n">
        <v>935</v>
      </c>
      <c r="B936" s="12" t="n">
        <v>23</v>
      </c>
      <c r="C936" s="12" t="s">
        <v>44</v>
      </c>
      <c r="D936" s="12" t="n">
        <v>2</v>
      </c>
      <c r="E936" s="12" t="s">
        <v>41</v>
      </c>
      <c r="F936" s="12" t="s">
        <v>43</v>
      </c>
      <c r="G936" s="12" t="s">
        <v>43</v>
      </c>
      <c r="H936" s="12" t="n">
        <v>1498</v>
      </c>
      <c r="I936" s="12" t="n">
        <v>12</v>
      </c>
      <c r="J936" s="12" t="s">
        <v>24</v>
      </c>
    </row>
    <row r="937" customFormat="false" ht="15" hidden="false" customHeight="true" outlineLevel="0" collapsed="false">
      <c r="A937" s="12" t="n">
        <v>936</v>
      </c>
      <c r="B937" s="12" t="n">
        <v>30</v>
      </c>
      <c r="C937" s="12" t="s">
        <v>40</v>
      </c>
      <c r="D937" s="12" t="n">
        <v>3</v>
      </c>
      <c r="E937" s="12" t="s">
        <v>41</v>
      </c>
      <c r="F937" s="12" t="s">
        <v>45</v>
      </c>
      <c r="G937" s="12" t="s">
        <v>45</v>
      </c>
      <c r="H937" s="12" t="n">
        <v>1919</v>
      </c>
      <c r="I937" s="12" t="n">
        <v>30</v>
      </c>
      <c r="J937" s="12" t="s">
        <v>24</v>
      </c>
    </row>
    <row r="938" customFormat="false" ht="15" hidden="false" customHeight="true" outlineLevel="0" collapsed="false">
      <c r="A938" s="12" t="n">
        <v>937</v>
      </c>
      <c r="B938" s="12" t="n">
        <v>28</v>
      </c>
      <c r="C938" s="12" t="s">
        <v>44</v>
      </c>
      <c r="D938" s="12" t="n">
        <v>1</v>
      </c>
      <c r="E938" s="12" t="s">
        <v>41</v>
      </c>
      <c r="F938" s="12" t="s">
        <v>43</v>
      </c>
      <c r="G938" s="12" t="s">
        <v>49</v>
      </c>
      <c r="H938" s="12" t="n">
        <v>745</v>
      </c>
      <c r="I938" s="12" t="n">
        <v>9</v>
      </c>
      <c r="J938" s="12" t="s">
        <v>24</v>
      </c>
    </row>
    <row r="939" customFormat="false" ht="15" hidden="false" customHeight="true" outlineLevel="0" collapsed="false">
      <c r="A939" s="12" t="n">
        <v>938</v>
      </c>
      <c r="B939" s="12" t="n">
        <v>30</v>
      </c>
      <c r="C939" s="12" t="s">
        <v>40</v>
      </c>
      <c r="D939" s="12" t="n">
        <v>3</v>
      </c>
      <c r="E939" s="12" t="s">
        <v>48</v>
      </c>
      <c r="F939" s="12" t="s">
        <v>43</v>
      </c>
      <c r="G939" s="12" t="s">
        <v>45</v>
      </c>
      <c r="H939" s="12" t="n">
        <v>2063</v>
      </c>
      <c r="I939" s="12" t="n">
        <v>6</v>
      </c>
      <c r="J939" s="12" t="s">
        <v>24</v>
      </c>
    </row>
    <row r="940" customFormat="false" ht="15" hidden="false" customHeight="true" outlineLevel="0" collapsed="false">
      <c r="A940" s="12" t="n">
        <v>939</v>
      </c>
      <c r="B940" s="12" t="n">
        <v>42</v>
      </c>
      <c r="C940" s="12" t="s">
        <v>40</v>
      </c>
      <c r="D940" s="12" t="n">
        <v>2</v>
      </c>
      <c r="E940" s="12" t="s">
        <v>46</v>
      </c>
      <c r="F940" s="12" t="s">
        <v>43</v>
      </c>
      <c r="G940" s="12" t="s">
        <v>45</v>
      </c>
      <c r="H940" s="12" t="n">
        <v>6288</v>
      </c>
      <c r="I940" s="12" t="n">
        <v>60</v>
      </c>
      <c r="J940" s="12" t="s">
        <v>27</v>
      </c>
    </row>
    <row r="941" customFormat="false" ht="15" hidden="false" customHeight="true" outlineLevel="0" collapsed="false">
      <c r="A941" s="12" t="n">
        <v>940</v>
      </c>
      <c r="B941" s="12" t="n">
        <v>46</v>
      </c>
      <c r="C941" s="12" t="s">
        <v>40</v>
      </c>
      <c r="D941" s="12" t="n">
        <v>3</v>
      </c>
      <c r="E941" s="12" t="s">
        <v>41</v>
      </c>
      <c r="F941" s="12" t="s">
        <v>42</v>
      </c>
      <c r="G941" s="12" t="s">
        <v>42</v>
      </c>
      <c r="H941" s="12" t="n">
        <v>6842</v>
      </c>
      <c r="I941" s="12" t="n">
        <v>24</v>
      </c>
      <c r="J941" s="12" t="s">
        <v>23</v>
      </c>
    </row>
    <row r="942" customFormat="false" ht="15" hidden="false" customHeight="true" outlineLevel="0" collapsed="false">
      <c r="A942" s="12" t="n">
        <v>941</v>
      </c>
      <c r="B942" s="12" t="n">
        <v>45</v>
      </c>
      <c r="C942" s="12" t="s">
        <v>40</v>
      </c>
      <c r="D942" s="12" t="n">
        <v>3</v>
      </c>
      <c r="E942" s="12" t="s">
        <v>41</v>
      </c>
      <c r="F942" s="12" t="s">
        <v>42</v>
      </c>
      <c r="G942" s="12" t="s">
        <v>42</v>
      </c>
      <c r="H942" s="12" t="n">
        <v>3527</v>
      </c>
      <c r="I942" s="12" t="n">
        <v>12</v>
      </c>
      <c r="J942" s="12" t="s">
        <v>23</v>
      </c>
    </row>
    <row r="943" customFormat="false" ht="15" hidden="false" customHeight="true" outlineLevel="0" collapsed="false">
      <c r="A943" s="12" t="n">
        <v>942</v>
      </c>
      <c r="B943" s="12" t="n">
        <v>31</v>
      </c>
      <c r="C943" s="12" t="s">
        <v>40</v>
      </c>
      <c r="D943" s="12" t="n">
        <v>1</v>
      </c>
      <c r="E943" s="12" t="s">
        <v>41</v>
      </c>
      <c r="F943" s="12" t="s">
        <v>43</v>
      </c>
      <c r="G943" s="12" t="s">
        <v>42</v>
      </c>
      <c r="H943" s="12" t="n">
        <v>1546</v>
      </c>
      <c r="I943" s="12" t="n">
        <v>10</v>
      </c>
      <c r="J943" s="12" t="s">
        <v>23</v>
      </c>
    </row>
    <row r="944" customFormat="false" ht="15" hidden="false" customHeight="true" outlineLevel="0" collapsed="false">
      <c r="A944" s="12" t="n">
        <v>943</v>
      </c>
      <c r="B944" s="12" t="n">
        <v>31</v>
      </c>
      <c r="C944" s="12" t="s">
        <v>40</v>
      </c>
      <c r="D944" s="12" t="n">
        <v>2</v>
      </c>
      <c r="E944" s="12" t="s">
        <v>41</v>
      </c>
      <c r="F944" s="12" t="s">
        <v>42</v>
      </c>
      <c r="G944" s="12" t="s">
        <v>42</v>
      </c>
      <c r="H944" s="12" t="n">
        <v>929</v>
      </c>
      <c r="I944" s="12" t="n">
        <v>24</v>
      </c>
      <c r="J944" s="12" t="s">
        <v>25</v>
      </c>
    </row>
    <row r="945" customFormat="false" ht="15" hidden="false" customHeight="true" outlineLevel="0" collapsed="false">
      <c r="A945" s="12" t="n">
        <v>944</v>
      </c>
      <c r="B945" s="12" t="n">
        <v>42</v>
      </c>
      <c r="C945" s="12" t="s">
        <v>40</v>
      </c>
      <c r="D945" s="12" t="n">
        <v>1</v>
      </c>
      <c r="E945" s="12" t="s">
        <v>41</v>
      </c>
      <c r="F945" s="12" t="s">
        <v>43</v>
      </c>
      <c r="G945" s="12" t="s">
        <v>42</v>
      </c>
      <c r="H945" s="12" t="n">
        <v>1455</v>
      </c>
      <c r="I945" s="12" t="n">
        <v>4</v>
      </c>
      <c r="J945" s="12" t="s">
        <v>23</v>
      </c>
    </row>
    <row r="946" customFormat="false" ht="15" hidden="false" customHeight="true" outlineLevel="0" collapsed="false">
      <c r="A946" s="12" t="n">
        <v>945</v>
      </c>
      <c r="B946" s="12" t="n">
        <v>46</v>
      </c>
      <c r="C946" s="12" t="s">
        <v>44</v>
      </c>
      <c r="D946" s="12" t="n">
        <v>2</v>
      </c>
      <c r="E946" s="12" t="s">
        <v>48</v>
      </c>
      <c r="F946" s="12" t="s">
        <v>43</v>
      </c>
      <c r="G946" s="12" t="s">
        <v>43</v>
      </c>
      <c r="H946" s="12" t="n">
        <v>1845</v>
      </c>
      <c r="I946" s="12" t="n">
        <v>15</v>
      </c>
      <c r="J946" s="12" t="s">
        <v>25</v>
      </c>
    </row>
    <row r="947" customFormat="false" ht="15" hidden="false" customHeight="true" outlineLevel="0" collapsed="false">
      <c r="A947" s="12" t="n">
        <v>946</v>
      </c>
      <c r="B947" s="12" t="n">
        <v>30</v>
      </c>
      <c r="C947" s="12" t="s">
        <v>44</v>
      </c>
      <c r="D947" s="12" t="n">
        <v>2</v>
      </c>
      <c r="E947" s="12" t="s">
        <v>41</v>
      </c>
      <c r="F947" s="12" t="s">
        <v>47</v>
      </c>
      <c r="G947" s="12" t="s">
        <v>45</v>
      </c>
      <c r="H947" s="12" t="n">
        <v>8358</v>
      </c>
      <c r="I947" s="12" t="n">
        <v>48</v>
      </c>
      <c r="J947" s="12" t="s">
        <v>23</v>
      </c>
    </row>
    <row r="948" customFormat="false" ht="15" hidden="false" customHeight="true" outlineLevel="0" collapsed="false">
      <c r="A948" s="12" t="n">
        <v>947</v>
      </c>
      <c r="B948" s="12" t="n">
        <v>30</v>
      </c>
      <c r="C948" s="12" t="s">
        <v>40</v>
      </c>
      <c r="D948" s="12" t="n">
        <v>2</v>
      </c>
      <c r="E948" s="12" t="s">
        <v>46</v>
      </c>
      <c r="F948" s="12" t="s">
        <v>47</v>
      </c>
      <c r="G948" s="12" t="s">
        <v>43</v>
      </c>
      <c r="H948" s="12" t="n">
        <v>3349</v>
      </c>
      <c r="I948" s="12" t="n">
        <v>24</v>
      </c>
      <c r="J948" s="12" t="s">
        <v>25</v>
      </c>
    </row>
    <row r="949" customFormat="false" ht="15" hidden="false" customHeight="true" outlineLevel="0" collapsed="false">
      <c r="A949" s="12" t="n">
        <v>948</v>
      </c>
      <c r="B949" s="12" t="n">
        <v>38</v>
      </c>
      <c r="C949" s="12" t="s">
        <v>40</v>
      </c>
      <c r="D949" s="12" t="n">
        <v>3</v>
      </c>
      <c r="E949" s="12" t="s">
        <v>41</v>
      </c>
      <c r="F949" s="12" t="s">
        <v>42</v>
      </c>
      <c r="G949" s="12" t="s">
        <v>42</v>
      </c>
      <c r="H949" s="12" t="n">
        <v>2859</v>
      </c>
      <c r="I949" s="12" t="n">
        <v>12</v>
      </c>
      <c r="J949" s="12" t="s">
        <v>23</v>
      </c>
    </row>
    <row r="950" customFormat="false" ht="15" hidden="false" customHeight="true" outlineLevel="0" collapsed="false">
      <c r="A950" s="12" t="n">
        <v>949</v>
      </c>
      <c r="B950" s="12" t="n">
        <v>43</v>
      </c>
      <c r="C950" s="12" t="s">
        <v>40</v>
      </c>
      <c r="D950" s="12" t="n">
        <v>1</v>
      </c>
      <c r="E950" s="12" t="s">
        <v>41</v>
      </c>
      <c r="F950" s="12" t="s">
        <v>43</v>
      </c>
      <c r="G950" s="12" t="s">
        <v>42</v>
      </c>
      <c r="H950" s="12" t="n">
        <v>1533</v>
      </c>
      <c r="I950" s="12" t="n">
        <v>18</v>
      </c>
      <c r="J950" s="12" t="s">
        <v>25</v>
      </c>
    </row>
    <row r="951" customFormat="false" ht="15" hidden="false" customHeight="true" outlineLevel="0" collapsed="false">
      <c r="A951" s="12" t="n">
        <v>950</v>
      </c>
      <c r="B951" s="12" t="n">
        <v>31</v>
      </c>
      <c r="C951" s="12" t="s">
        <v>40</v>
      </c>
      <c r="D951" s="12" t="n">
        <v>2</v>
      </c>
      <c r="E951" s="12" t="s">
        <v>41</v>
      </c>
      <c r="F951" s="12" t="s">
        <v>45</v>
      </c>
      <c r="G951" s="12" t="s">
        <v>42</v>
      </c>
      <c r="H951" s="12" t="n">
        <v>3621</v>
      </c>
      <c r="I951" s="12" t="n">
        <v>24</v>
      </c>
      <c r="J951" s="12" t="s">
        <v>24</v>
      </c>
    </row>
    <row r="952" customFormat="false" ht="15" hidden="false" customHeight="true" outlineLevel="0" collapsed="false">
      <c r="A952" s="12" t="n">
        <v>951</v>
      </c>
      <c r="B952" s="12" t="n">
        <v>40</v>
      </c>
      <c r="C952" s="12" t="s">
        <v>40</v>
      </c>
      <c r="D952" s="12" t="n">
        <v>0</v>
      </c>
      <c r="E952" s="12" t="s">
        <v>41</v>
      </c>
      <c r="F952" s="12" t="s">
        <v>43</v>
      </c>
      <c r="G952" s="12" t="s">
        <v>45</v>
      </c>
      <c r="H952" s="12" t="n">
        <v>3590</v>
      </c>
      <c r="I952" s="12" t="n">
        <v>18</v>
      </c>
      <c r="J952" s="12" t="s">
        <v>26</v>
      </c>
    </row>
    <row r="953" customFormat="false" ht="15" hidden="false" customHeight="true" outlineLevel="0" collapsed="false">
      <c r="A953" s="12" t="n">
        <v>952</v>
      </c>
      <c r="B953" s="12" t="n">
        <v>24</v>
      </c>
      <c r="C953" s="12" t="s">
        <v>40</v>
      </c>
      <c r="D953" s="12" t="n">
        <v>2</v>
      </c>
      <c r="E953" s="12" t="s">
        <v>41</v>
      </c>
      <c r="F953" s="12" t="s">
        <v>43</v>
      </c>
      <c r="G953" s="12" t="s">
        <v>43</v>
      </c>
      <c r="H953" s="12" t="n">
        <v>2145</v>
      </c>
      <c r="I953" s="12" t="n">
        <v>36</v>
      </c>
      <c r="J953" s="12" t="s">
        <v>26</v>
      </c>
    </row>
    <row r="954" customFormat="false" ht="15" hidden="false" customHeight="true" outlineLevel="0" collapsed="false">
      <c r="A954" s="12" t="n">
        <v>953</v>
      </c>
      <c r="B954" s="12" t="n">
        <v>28</v>
      </c>
      <c r="C954" s="12" t="s">
        <v>44</v>
      </c>
      <c r="D954" s="12" t="n">
        <v>2</v>
      </c>
      <c r="E954" s="12" t="s">
        <v>48</v>
      </c>
      <c r="F954" s="12" t="s">
        <v>47</v>
      </c>
      <c r="G954" s="12" t="s">
        <v>45</v>
      </c>
      <c r="H954" s="12" t="n">
        <v>4113</v>
      </c>
      <c r="I954" s="12" t="n">
        <v>24</v>
      </c>
      <c r="J954" s="12" t="s">
        <v>23</v>
      </c>
    </row>
    <row r="955" customFormat="false" ht="15" hidden="false" customHeight="true" outlineLevel="0" collapsed="false">
      <c r="A955" s="12" t="n">
        <v>954</v>
      </c>
      <c r="B955" s="12" t="n">
        <v>26</v>
      </c>
      <c r="C955" s="12" t="s">
        <v>44</v>
      </c>
      <c r="D955" s="12" t="n">
        <v>3</v>
      </c>
      <c r="E955" s="12" t="s">
        <v>41</v>
      </c>
      <c r="F955" s="12" t="s">
        <v>43</v>
      </c>
      <c r="G955" s="12" t="s">
        <v>42</v>
      </c>
      <c r="H955" s="12" t="n">
        <v>10974</v>
      </c>
      <c r="I955" s="12" t="n">
        <v>36</v>
      </c>
      <c r="J955" s="12" t="s">
        <v>25</v>
      </c>
    </row>
    <row r="956" customFormat="false" ht="15" hidden="false" customHeight="true" outlineLevel="0" collapsed="false">
      <c r="A956" s="12" t="n">
        <v>955</v>
      </c>
      <c r="B956" s="12" t="n">
        <v>29</v>
      </c>
      <c r="C956" s="12" t="s">
        <v>44</v>
      </c>
      <c r="D956" s="12" t="n">
        <v>2</v>
      </c>
      <c r="E956" s="12" t="s">
        <v>41</v>
      </c>
      <c r="F956" s="12" t="s">
        <v>43</v>
      </c>
      <c r="G956" s="12" t="s">
        <v>43</v>
      </c>
      <c r="H956" s="12" t="n">
        <v>1893</v>
      </c>
      <c r="I956" s="12" t="n">
        <v>12</v>
      </c>
      <c r="J956" s="12" t="s">
        <v>23</v>
      </c>
    </row>
    <row r="957" customFormat="false" ht="15" hidden="false" customHeight="true" outlineLevel="0" collapsed="false">
      <c r="A957" s="12" t="n">
        <v>956</v>
      </c>
      <c r="B957" s="12" t="n">
        <v>57</v>
      </c>
      <c r="C957" s="12" t="s">
        <v>44</v>
      </c>
      <c r="D957" s="12" t="n">
        <v>3</v>
      </c>
      <c r="E957" s="12" t="s">
        <v>48</v>
      </c>
      <c r="F957" s="12" t="s">
        <v>49</v>
      </c>
      <c r="G957" s="12" t="s">
        <v>43</v>
      </c>
      <c r="H957" s="12" t="n">
        <v>1231</v>
      </c>
      <c r="I957" s="12" t="n">
        <v>24</v>
      </c>
      <c r="J957" s="12" t="s">
        <v>24</v>
      </c>
    </row>
    <row r="958" customFormat="false" ht="15" hidden="false" customHeight="true" outlineLevel="0" collapsed="false">
      <c r="A958" s="12" t="n">
        <v>957</v>
      </c>
      <c r="B958" s="12" t="n">
        <v>49</v>
      </c>
      <c r="C958" s="12" t="s">
        <v>40</v>
      </c>
      <c r="D958" s="12" t="n">
        <v>1</v>
      </c>
      <c r="E958" s="12" t="s">
        <v>41</v>
      </c>
      <c r="F958" s="12" t="s">
        <v>42</v>
      </c>
      <c r="G958" s="12" t="s">
        <v>49</v>
      </c>
      <c r="H958" s="12" t="n">
        <v>3656</v>
      </c>
      <c r="I958" s="12" t="n">
        <v>30</v>
      </c>
      <c r="J958" s="12" t="s">
        <v>24</v>
      </c>
    </row>
    <row r="959" customFormat="false" ht="15" hidden="false" customHeight="true" outlineLevel="0" collapsed="false">
      <c r="A959" s="12" t="n">
        <v>958</v>
      </c>
      <c r="B959" s="12" t="n">
        <v>37</v>
      </c>
      <c r="C959" s="12" t="s">
        <v>40</v>
      </c>
      <c r="D959" s="12" t="n">
        <v>1</v>
      </c>
      <c r="E959" s="12" t="s">
        <v>41</v>
      </c>
      <c r="F959" s="12" t="s">
        <v>43</v>
      </c>
      <c r="G959" s="12" t="s">
        <v>45</v>
      </c>
      <c r="H959" s="12" t="n">
        <v>1154</v>
      </c>
      <c r="I959" s="12" t="n">
        <v>9</v>
      </c>
      <c r="J959" s="12" t="s">
        <v>24</v>
      </c>
    </row>
    <row r="960" customFormat="false" ht="15" hidden="false" customHeight="true" outlineLevel="0" collapsed="false">
      <c r="A960" s="12" t="n">
        <v>959</v>
      </c>
      <c r="B960" s="12" t="n">
        <v>45</v>
      </c>
      <c r="C960" s="12" t="s">
        <v>40</v>
      </c>
      <c r="D960" s="12" t="n">
        <v>1</v>
      </c>
      <c r="E960" s="12" t="s">
        <v>41</v>
      </c>
      <c r="F960" s="12" t="s">
        <v>43</v>
      </c>
      <c r="G960" s="12" t="s">
        <v>43</v>
      </c>
      <c r="H960" s="12" t="n">
        <v>4006</v>
      </c>
      <c r="I960" s="12" t="n">
        <v>28</v>
      </c>
      <c r="J960" s="12" t="s">
        <v>23</v>
      </c>
    </row>
    <row r="961" customFormat="false" ht="15" hidden="false" customHeight="true" outlineLevel="0" collapsed="false">
      <c r="A961" s="12" t="n">
        <v>960</v>
      </c>
      <c r="B961" s="12" t="n">
        <v>30</v>
      </c>
      <c r="C961" s="12" t="s">
        <v>40</v>
      </c>
      <c r="D961" s="12" t="n">
        <v>2</v>
      </c>
      <c r="E961" s="12" t="s">
        <v>46</v>
      </c>
      <c r="F961" s="12" t="s">
        <v>45</v>
      </c>
      <c r="G961" s="12" t="s">
        <v>45</v>
      </c>
      <c r="H961" s="12" t="n">
        <v>3069</v>
      </c>
      <c r="I961" s="12" t="n">
        <v>24</v>
      </c>
      <c r="J961" s="12" t="s">
        <v>25</v>
      </c>
    </row>
    <row r="962" customFormat="false" ht="15" hidden="false" customHeight="true" outlineLevel="0" collapsed="false">
      <c r="A962" s="12" t="n">
        <v>961</v>
      </c>
      <c r="B962" s="12" t="n">
        <v>30</v>
      </c>
      <c r="C962" s="12" t="s">
        <v>40</v>
      </c>
      <c r="D962" s="12" t="n">
        <v>2</v>
      </c>
      <c r="E962" s="12" t="s">
        <v>48</v>
      </c>
      <c r="F962" s="12" t="s">
        <v>43</v>
      </c>
      <c r="G962" s="12" t="s">
        <v>42</v>
      </c>
      <c r="H962" s="12" t="n">
        <v>1740</v>
      </c>
      <c r="I962" s="12" t="n">
        <v>6</v>
      </c>
      <c r="J962" s="12" t="s">
        <v>24</v>
      </c>
    </row>
    <row r="963" customFormat="false" ht="15" hidden="false" customHeight="true" outlineLevel="0" collapsed="false">
      <c r="A963" s="12" t="n">
        <v>962</v>
      </c>
      <c r="B963" s="12" t="n">
        <v>47</v>
      </c>
      <c r="C963" s="12" t="s">
        <v>40</v>
      </c>
      <c r="D963" s="12" t="n">
        <v>2</v>
      </c>
      <c r="E963" s="12" t="s">
        <v>41</v>
      </c>
      <c r="F963" s="12" t="s">
        <v>43</v>
      </c>
      <c r="G963" s="12" t="s">
        <v>45</v>
      </c>
      <c r="H963" s="12" t="n">
        <v>2353</v>
      </c>
      <c r="I963" s="12" t="n">
        <v>21</v>
      </c>
      <c r="J963" s="12" t="s">
        <v>23</v>
      </c>
    </row>
    <row r="964" customFormat="false" ht="15" hidden="false" customHeight="true" outlineLevel="0" collapsed="false">
      <c r="A964" s="12" t="n">
        <v>963</v>
      </c>
      <c r="B964" s="12" t="n">
        <v>29</v>
      </c>
      <c r="C964" s="12" t="s">
        <v>40</v>
      </c>
      <c r="D964" s="12" t="n">
        <v>2</v>
      </c>
      <c r="E964" s="12" t="s">
        <v>41</v>
      </c>
      <c r="F964" s="12" t="s">
        <v>42</v>
      </c>
      <c r="G964" s="12" t="s">
        <v>42</v>
      </c>
      <c r="H964" s="12" t="n">
        <v>3556</v>
      </c>
      <c r="I964" s="12" t="n">
        <v>15</v>
      </c>
      <c r="J964" s="12" t="s">
        <v>23</v>
      </c>
    </row>
    <row r="965" customFormat="false" ht="15" hidden="false" customHeight="true" outlineLevel="0" collapsed="false">
      <c r="A965" s="12" t="n">
        <v>964</v>
      </c>
      <c r="B965" s="12" t="n">
        <v>35</v>
      </c>
      <c r="C965" s="12" t="s">
        <v>40</v>
      </c>
      <c r="D965" s="12" t="n">
        <v>2</v>
      </c>
      <c r="E965" s="12" t="s">
        <v>41</v>
      </c>
      <c r="F965" s="12" t="s">
        <v>47</v>
      </c>
      <c r="G965" s="12" t="s">
        <v>42</v>
      </c>
      <c r="H965" s="12" t="n">
        <v>2397</v>
      </c>
      <c r="I965" s="12" t="n">
        <v>24</v>
      </c>
      <c r="J965" s="12" t="s">
        <v>24</v>
      </c>
    </row>
    <row r="966" customFormat="false" ht="15" hidden="false" customHeight="true" outlineLevel="0" collapsed="false">
      <c r="A966" s="12" t="n">
        <v>965</v>
      </c>
      <c r="B966" s="12" t="n">
        <v>22</v>
      </c>
      <c r="C966" s="12" t="s">
        <v>40</v>
      </c>
      <c r="D966" s="12" t="n">
        <v>1</v>
      </c>
      <c r="E966" s="12" t="s">
        <v>41</v>
      </c>
      <c r="F966" s="12" t="s">
        <v>43</v>
      </c>
      <c r="G966" s="12" t="s">
        <v>45</v>
      </c>
      <c r="H966" s="12" t="n">
        <v>454</v>
      </c>
      <c r="I966" s="12" t="n">
        <v>6</v>
      </c>
      <c r="J966" s="12" t="s">
        <v>28</v>
      </c>
    </row>
    <row r="967" customFormat="false" ht="15" hidden="false" customHeight="true" outlineLevel="0" collapsed="false">
      <c r="A967" s="12" t="n">
        <v>966</v>
      </c>
      <c r="B967" s="12" t="n">
        <v>26</v>
      </c>
      <c r="C967" s="12" t="s">
        <v>44</v>
      </c>
      <c r="D967" s="12" t="n">
        <v>2</v>
      </c>
      <c r="E967" s="12" t="s">
        <v>41</v>
      </c>
      <c r="F967" s="12" t="s">
        <v>42</v>
      </c>
      <c r="G967" s="12" t="s">
        <v>45</v>
      </c>
      <c r="H967" s="12" t="n">
        <v>1715</v>
      </c>
      <c r="I967" s="12" t="n">
        <v>30</v>
      </c>
      <c r="J967" s="12" t="s">
        <v>24</v>
      </c>
    </row>
    <row r="968" customFormat="false" ht="15" hidden="false" customHeight="true" outlineLevel="0" collapsed="false">
      <c r="A968" s="12" t="n">
        <v>967</v>
      </c>
      <c r="B968" s="12" t="n">
        <v>23</v>
      </c>
      <c r="C968" s="12" t="s">
        <v>40</v>
      </c>
      <c r="D968" s="12" t="n">
        <v>1</v>
      </c>
      <c r="E968" s="12" t="s">
        <v>41</v>
      </c>
      <c r="F968" s="12" t="s">
        <v>47</v>
      </c>
      <c r="G968" s="12" t="s">
        <v>45</v>
      </c>
      <c r="H968" s="12" t="n">
        <v>2520</v>
      </c>
      <c r="I968" s="12" t="n">
        <v>27</v>
      </c>
      <c r="J968" s="12" t="s">
        <v>24</v>
      </c>
    </row>
    <row r="969" customFormat="false" ht="15" hidden="false" customHeight="true" outlineLevel="0" collapsed="false">
      <c r="A969" s="12" t="n">
        <v>968</v>
      </c>
      <c r="B969" s="12" t="n">
        <v>54</v>
      </c>
      <c r="C969" s="12" t="s">
        <v>44</v>
      </c>
      <c r="D969" s="12" t="n">
        <v>3</v>
      </c>
      <c r="E969" s="12" t="s">
        <v>48</v>
      </c>
      <c r="F969" s="12" t="s">
        <v>43</v>
      </c>
      <c r="G969" s="12" t="s">
        <v>42</v>
      </c>
      <c r="H969" s="12" t="n">
        <v>3568</v>
      </c>
      <c r="I969" s="12" t="n">
        <v>15</v>
      </c>
      <c r="J969" s="12" t="s">
        <v>24</v>
      </c>
    </row>
    <row r="970" customFormat="false" ht="15" hidden="false" customHeight="true" outlineLevel="0" collapsed="false">
      <c r="A970" s="12" t="n">
        <v>969</v>
      </c>
      <c r="B970" s="12" t="n">
        <v>29</v>
      </c>
      <c r="C970" s="12" t="s">
        <v>40</v>
      </c>
      <c r="D970" s="12" t="n">
        <v>2</v>
      </c>
      <c r="E970" s="12" t="s">
        <v>48</v>
      </c>
      <c r="F970" s="12" t="s">
        <v>42</v>
      </c>
      <c r="G970" s="12" t="s">
        <v>42</v>
      </c>
      <c r="H970" s="12" t="n">
        <v>7166</v>
      </c>
      <c r="I970" s="12" t="n">
        <v>42</v>
      </c>
      <c r="J970" s="12" t="s">
        <v>24</v>
      </c>
    </row>
    <row r="971" customFormat="false" ht="15" hidden="false" customHeight="true" outlineLevel="0" collapsed="false">
      <c r="A971" s="12" t="n">
        <v>970</v>
      </c>
      <c r="B971" s="12" t="n">
        <v>40</v>
      </c>
      <c r="C971" s="12" t="s">
        <v>40</v>
      </c>
      <c r="D971" s="12" t="n">
        <v>1</v>
      </c>
      <c r="E971" s="12" t="s">
        <v>41</v>
      </c>
      <c r="F971" s="12" t="s">
        <v>43</v>
      </c>
      <c r="G971" s="12" t="s">
        <v>43</v>
      </c>
      <c r="H971" s="12" t="n">
        <v>3939</v>
      </c>
      <c r="I971" s="12" t="n">
        <v>11</v>
      </c>
      <c r="J971" s="12" t="s">
        <v>23</v>
      </c>
    </row>
    <row r="972" customFormat="false" ht="15" hidden="false" customHeight="true" outlineLevel="0" collapsed="false">
      <c r="A972" s="12" t="n">
        <v>971</v>
      </c>
      <c r="B972" s="12" t="n">
        <v>22</v>
      </c>
      <c r="C972" s="12" t="s">
        <v>40</v>
      </c>
      <c r="D972" s="12" t="n">
        <v>2</v>
      </c>
      <c r="E972" s="12" t="s">
        <v>41</v>
      </c>
      <c r="F972" s="12" t="s">
        <v>45</v>
      </c>
      <c r="G972" s="12" t="s">
        <v>45</v>
      </c>
      <c r="H972" s="12" t="n">
        <v>1514</v>
      </c>
      <c r="I972" s="12" t="n">
        <v>15</v>
      </c>
      <c r="J972" s="12" t="s">
        <v>28</v>
      </c>
    </row>
    <row r="973" customFormat="false" ht="15" hidden="false" customHeight="true" outlineLevel="0" collapsed="false">
      <c r="A973" s="12" t="n">
        <v>972</v>
      </c>
      <c r="B973" s="12" t="n">
        <v>43</v>
      </c>
      <c r="C973" s="12" t="s">
        <v>40</v>
      </c>
      <c r="D973" s="12" t="n">
        <v>1</v>
      </c>
      <c r="E973" s="12" t="s">
        <v>41</v>
      </c>
      <c r="F973" s="12" t="s">
        <v>43</v>
      </c>
      <c r="G973" s="12" t="s">
        <v>42</v>
      </c>
      <c r="H973" s="12" t="n">
        <v>7393</v>
      </c>
      <c r="I973" s="12" t="n">
        <v>24</v>
      </c>
      <c r="J973" s="12" t="s">
        <v>23</v>
      </c>
    </row>
    <row r="974" customFormat="false" ht="15" hidden="false" customHeight="true" outlineLevel="0" collapsed="false">
      <c r="A974" s="12" t="n">
        <v>973</v>
      </c>
      <c r="B974" s="12" t="n">
        <v>29</v>
      </c>
      <c r="C974" s="12" t="s">
        <v>44</v>
      </c>
      <c r="D974" s="12" t="n">
        <v>0</v>
      </c>
      <c r="E974" s="12" t="s">
        <v>48</v>
      </c>
      <c r="F974" s="12" t="s">
        <v>43</v>
      </c>
      <c r="G974" s="12" t="s">
        <v>43</v>
      </c>
      <c r="H974" s="12" t="n">
        <v>1193</v>
      </c>
      <c r="I974" s="12" t="n">
        <v>24</v>
      </c>
      <c r="J974" s="12" t="s">
        <v>23</v>
      </c>
    </row>
    <row r="975" customFormat="false" ht="15" hidden="false" customHeight="true" outlineLevel="0" collapsed="false">
      <c r="A975" s="12" t="n">
        <v>974</v>
      </c>
      <c r="B975" s="12" t="n">
        <v>36</v>
      </c>
      <c r="C975" s="12" t="s">
        <v>40</v>
      </c>
      <c r="D975" s="12" t="n">
        <v>2</v>
      </c>
      <c r="E975" s="12" t="s">
        <v>48</v>
      </c>
      <c r="F975" s="12" t="s">
        <v>43</v>
      </c>
      <c r="G975" s="12" t="s">
        <v>43</v>
      </c>
      <c r="H975" s="12" t="n">
        <v>7297</v>
      </c>
      <c r="I975" s="12" t="n">
        <v>60</v>
      </c>
      <c r="J975" s="12" t="s">
        <v>26</v>
      </c>
    </row>
    <row r="976" customFormat="false" ht="15" hidden="false" customHeight="true" outlineLevel="0" collapsed="false">
      <c r="A976" s="12" t="n">
        <v>975</v>
      </c>
      <c r="B976" s="12" t="n">
        <v>33</v>
      </c>
      <c r="C976" s="12" t="s">
        <v>44</v>
      </c>
      <c r="D976" s="12" t="n">
        <v>2</v>
      </c>
      <c r="E976" s="12" t="s">
        <v>41</v>
      </c>
      <c r="F976" s="12" t="s">
        <v>43</v>
      </c>
      <c r="G976" s="12" t="s">
        <v>42</v>
      </c>
      <c r="H976" s="12" t="n">
        <v>2831</v>
      </c>
      <c r="I976" s="12" t="n">
        <v>30</v>
      </c>
      <c r="J976" s="12" t="s">
        <v>24</v>
      </c>
    </row>
    <row r="977" customFormat="false" ht="15" hidden="false" customHeight="true" outlineLevel="0" collapsed="false">
      <c r="A977" s="12" t="n">
        <v>976</v>
      </c>
      <c r="B977" s="12" t="n">
        <v>57</v>
      </c>
      <c r="C977" s="12" t="s">
        <v>44</v>
      </c>
      <c r="D977" s="12" t="n">
        <v>1</v>
      </c>
      <c r="E977" s="12" t="s">
        <v>41</v>
      </c>
      <c r="F977" s="12" t="s">
        <v>47</v>
      </c>
      <c r="G977" s="12" t="s">
        <v>49</v>
      </c>
      <c r="H977" s="12" t="n">
        <v>1258</v>
      </c>
      <c r="I977" s="12" t="n">
        <v>24</v>
      </c>
      <c r="J977" s="12" t="s">
        <v>24</v>
      </c>
    </row>
    <row r="978" customFormat="false" ht="15" hidden="false" customHeight="true" outlineLevel="0" collapsed="false">
      <c r="A978" s="12" t="n">
        <v>977</v>
      </c>
      <c r="B978" s="12" t="n">
        <v>64</v>
      </c>
      <c r="C978" s="12" t="s">
        <v>44</v>
      </c>
      <c r="D978" s="12" t="n">
        <v>2</v>
      </c>
      <c r="E978" s="12" t="s">
        <v>41</v>
      </c>
      <c r="F978" s="12" t="s">
        <v>43</v>
      </c>
      <c r="G978" s="12" t="s">
        <v>45</v>
      </c>
      <c r="H978" s="12" t="n">
        <v>753</v>
      </c>
      <c r="I978" s="12" t="n">
        <v>6</v>
      </c>
      <c r="J978" s="12" t="s">
        <v>24</v>
      </c>
    </row>
    <row r="979" customFormat="false" ht="15" hidden="false" customHeight="true" outlineLevel="0" collapsed="false">
      <c r="A979" s="12" t="n">
        <v>978</v>
      </c>
      <c r="B979" s="12" t="n">
        <v>42</v>
      </c>
      <c r="C979" s="12" t="s">
        <v>40</v>
      </c>
      <c r="D979" s="12" t="n">
        <v>2</v>
      </c>
      <c r="E979" s="12" t="s">
        <v>41</v>
      </c>
      <c r="F979" s="12" t="s">
        <v>42</v>
      </c>
      <c r="G979" s="12" t="s">
        <v>45</v>
      </c>
      <c r="H979" s="12" t="n">
        <v>2427</v>
      </c>
      <c r="I979" s="12" t="n">
        <v>18</v>
      </c>
      <c r="J979" s="12" t="s">
        <v>26</v>
      </c>
    </row>
    <row r="980" customFormat="false" ht="15" hidden="false" customHeight="true" outlineLevel="0" collapsed="false">
      <c r="A980" s="12" t="n">
        <v>979</v>
      </c>
      <c r="B980" s="12" t="n">
        <v>47</v>
      </c>
      <c r="C980" s="12" t="s">
        <v>40</v>
      </c>
      <c r="D980" s="12" t="n">
        <v>1</v>
      </c>
      <c r="E980" s="12" t="s">
        <v>41</v>
      </c>
      <c r="F980" s="12" t="s">
        <v>43</v>
      </c>
      <c r="G980" s="12" t="s">
        <v>42</v>
      </c>
      <c r="H980" s="12" t="n">
        <v>2538</v>
      </c>
      <c r="I980" s="12" t="n">
        <v>24</v>
      </c>
      <c r="J980" s="12" t="s">
        <v>23</v>
      </c>
    </row>
    <row r="981" customFormat="false" ht="15" hidden="false" customHeight="true" outlineLevel="0" collapsed="false">
      <c r="A981" s="12" t="n">
        <v>980</v>
      </c>
      <c r="B981" s="12" t="n">
        <v>25</v>
      </c>
      <c r="C981" s="12" t="s">
        <v>40</v>
      </c>
      <c r="D981" s="12" t="n">
        <v>2</v>
      </c>
      <c r="E981" s="12" t="s">
        <v>48</v>
      </c>
      <c r="F981" s="12" t="s">
        <v>45</v>
      </c>
      <c r="G981" s="12" t="s">
        <v>45</v>
      </c>
      <c r="H981" s="12" t="n">
        <v>1264</v>
      </c>
      <c r="I981" s="12" t="n">
        <v>15</v>
      </c>
      <c r="J981" s="12" t="s">
        <v>23</v>
      </c>
    </row>
    <row r="982" customFormat="false" ht="15" hidden="false" customHeight="true" outlineLevel="0" collapsed="false">
      <c r="A982" s="12" t="n">
        <v>981</v>
      </c>
      <c r="B982" s="12" t="n">
        <v>49</v>
      </c>
      <c r="C982" s="12" t="s">
        <v>40</v>
      </c>
      <c r="D982" s="12" t="n">
        <v>2</v>
      </c>
      <c r="E982" s="12" t="s">
        <v>41</v>
      </c>
      <c r="F982" s="12" t="s">
        <v>43</v>
      </c>
      <c r="G982" s="12" t="s">
        <v>45</v>
      </c>
      <c r="H982" s="12" t="n">
        <v>8386</v>
      </c>
      <c r="I982" s="12" t="n">
        <v>30</v>
      </c>
      <c r="J982" s="12" t="s">
        <v>25</v>
      </c>
    </row>
    <row r="983" customFormat="false" ht="15" hidden="false" customHeight="true" outlineLevel="0" collapsed="false">
      <c r="A983" s="12" t="n">
        <v>982</v>
      </c>
      <c r="B983" s="12" t="n">
        <v>33</v>
      </c>
      <c r="C983" s="12" t="s">
        <v>40</v>
      </c>
      <c r="D983" s="12" t="n">
        <v>3</v>
      </c>
      <c r="E983" s="12" t="s">
        <v>48</v>
      </c>
      <c r="F983" s="12" t="s">
        <v>43</v>
      </c>
      <c r="G983" s="12" t="s">
        <v>42</v>
      </c>
      <c r="H983" s="12" t="n">
        <v>4844</v>
      </c>
      <c r="I983" s="12" t="n">
        <v>48</v>
      </c>
      <c r="J983" s="12" t="s">
        <v>26</v>
      </c>
    </row>
    <row r="984" customFormat="false" ht="15" hidden="false" customHeight="true" outlineLevel="0" collapsed="false">
      <c r="A984" s="12" t="n">
        <v>983</v>
      </c>
      <c r="B984" s="12" t="n">
        <v>28</v>
      </c>
      <c r="C984" s="12" t="s">
        <v>44</v>
      </c>
      <c r="D984" s="12" t="n">
        <v>3</v>
      </c>
      <c r="E984" s="12" t="s">
        <v>41</v>
      </c>
      <c r="F984" s="12" t="s">
        <v>45</v>
      </c>
      <c r="G984" s="12" t="s">
        <v>49</v>
      </c>
      <c r="H984" s="12" t="n">
        <v>2923</v>
      </c>
      <c r="I984" s="12" t="n">
        <v>21</v>
      </c>
      <c r="J984" s="12" t="s">
        <v>23</v>
      </c>
    </row>
    <row r="985" customFormat="false" ht="15" hidden="false" customHeight="true" outlineLevel="0" collapsed="false">
      <c r="A985" s="12" t="n">
        <v>984</v>
      </c>
      <c r="B985" s="12" t="n">
        <v>26</v>
      </c>
      <c r="C985" s="12" t="s">
        <v>40</v>
      </c>
      <c r="D985" s="12" t="n">
        <v>2</v>
      </c>
      <c r="E985" s="12" t="s">
        <v>41</v>
      </c>
      <c r="F985" s="12" t="s">
        <v>43</v>
      </c>
      <c r="G985" s="12" t="s">
        <v>43</v>
      </c>
      <c r="H985" s="12" t="n">
        <v>8229</v>
      </c>
      <c r="I985" s="12" t="n">
        <v>36</v>
      </c>
      <c r="J985" s="12" t="s">
        <v>23</v>
      </c>
    </row>
    <row r="986" customFormat="false" ht="15" hidden="false" customHeight="true" outlineLevel="0" collapsed="false">
      <c r="A986" s="12" t="n">
        <v>985</v>
      </c>
      <c r="B986" s="12" t="n">
        <v>30</v>
      </c>
      <c r="C986" s="12" t="s">
        <v>40</v>
      </c>
      <c r="D986" s="12" t="n">
        <v>1</v>
      </c>
      <c r="E986" s="12" t="s">
        <v>41</v>
      </c>
      <c r="F986" s="12" t="s">
        <v>43</v>
      </c>
      <c r="G986" s="12" t="s">
        <v>42</v>
      </c>
      <c r="H986" s="12" t="n">
        <v>2028</v>
      </c>
      <c r="I986" s="12" t="n">
        <v>24</v>
      </c>
      <c r="J986" s="12" t="s">
        <v>25</v>
      </c>
    </row>
    <row r="987" customFormat="false" ht="15" hidden="false" customHeight="true" outlineLevel="0" collapsed="false">
      <c r="A987" s="12" t="n">
        <v>986</v>
      </c>
      <c r="B987" s="12" t="n">
        <v>25</v>
      </c>
      <c r="C987" s="12" t="s">
        <v>44</v>
      </c>
      <c r="D987" s="12" t="n">
        <v>2</v>
      </c>
      <c r="E987" s="12" t="s">
        <v>48</v>
      </c>
      <c r="F987" s="12" t="s">
        <v>43</v>
      </c>
      <c r="G987" s="12" t="s">
        <v>43</v>
      </c>
      <c r="H987" s="12" t="n">
        <v>1433</v>
      </c>
      <c r="I987" s="12" t="n">
        <v>15</v>
      </c>
      <c r="J987" s="12" t="s">
        <v>25</v>
      </c>
    </row>
    <row r="988" customFormat="false" ht="15" hidden="false" customHeight="true" outlineLevel="0" collapsed="false">
      <c r="A988" s="12" t="n">
        <v>987</v>
      </c>
      <c r="B988" s="12" t="n">
        <v>33</v>
      </c>
      <c r="C988" s="12" t="s">
        <v>40</v>
      </c>
      <c r="D988" s="12" t="n">
        <v>2</v>
      </c>
      <c r="E988" s="12" t="s">
        <v>41</v>
      </c>
      <c r="F988" s="12" t="s">
        <v>43</v>
      </c>
      <c r="G988" s="12" t="s">
        <v>49</v>
      </c>
      <c r="H988" s="12" t="n">
        <v>6289</v>
      </c>
      <c r="I988" s="12" t="n">
        <v>42</v>
      </c>
      <c r="J988" s="12" t="s">
        <v>26</v>
      </c>
    </row>
    <row r="989" customFormat="false" ht="15" hidden="false" customHeight="true" outlineLevel="0" collapsed="false">
      <c r="A989" s="12" t="n">
        <v>988</v>
      </c>
      <c r="B989" s="12" t="n">
        <v>64</v>
      </c>
      <c r="C989" s="12" t="s">
        <v>44</v>
      </c>
      <c r="D989" s="12" t="n">
        <v>2</v>
      </c>
      <c r="E989" s="12" t="s">
        <v>41</v>
      </c>
      <c r="F989" s="12" t="s">
        <v>45</v>
      </c>
      <c r="G989" s="12" t="s">
        <v>42</v>
      </c>
      <c r="H989" s="12" t="n">
        <v>1409</v>
      </c>
      <c r="I989" s="12" t="n">
        <v>13</v>
      </c>
      <c r="J989" s="12" t="s">
        <v>24</v>
      </c>
    </row>
    <row r="990" customFormat="false" ht="15" hidden="false" customHeight="true" outlineLevel="0" collapsed="false">
      <c r="A990" s="12" t="n">
        <v>989</v>
      </c>
      <c r="B990" s="12" t="n">
        <v>29</v>
      </c>
      <c r="C990" s="12" t="s">
        <v>40</v>
      </c>
      <c r="D990" s="12" t="n">
        <v>3</v>
      </c>
      <c r="E990" s="12" t="s">
        <v>46</v>
      </c>
      <c r="F990" s="12" t="s">
        <v>43</v>
      </c>
      <c r="G990" s="12" t="s">
        <v>43</v>
      </c>
      <c r="H990" s="12" t="n">
        <v>6579</v>
      </c>
      <c r="I990" s="12" t="n">
        <v>24</v>
      </c>
      <c r="J990" s="12" t="s">
        <v>23</v>
      </c>
    </row>
    <row r="991" customFormat="false" ht="15" hidden="false" customHeight="true" outlineLevel="0" collapsed="false">
      <c r="A991" s="12" t="n">
        <v>990</v>
      </c>
      <c r="B991" s="12" t="n">
        <v>48</v>
      </c>
      <c r="C991" s="12" t="s">
        <v>40</v>
      </c>
      <c r="D991" s="12" t="n">
        <v>1</v>
      </c>
      <c r="E991" s="12" t="s">
        <v>41</v>
      </c>
      <c r="F991" s="12" t="s">
        <v>43</v>
      </c>
      <c r="G991" s="12" t="s">
        <v>45</v>
      </c>
      <c r="H991" s="12" t="n">
        <v>1743</v>
      </c>
      <c r="I991" s="12" t="n">
        <v>24</v>
      </c>
      <c r="J991" s="12" t="s">
        <v>24</v>
      </c>
    </row>
    <row r="992" customFormat="false" ht="15" hidden="false" customHeight="true" outlineLevel="0" collapsed="false">
      <c r="A992" s="12" t="n">
        <v>991</v>
      </c>
      <c r="B992" s="12" t="n">
        <v>37</v>
      </c>
      <c r="C992" s="12" t="s">
        <v>40</v>
      </c>
      <c r="D992" s="12" t="n">
        <v>1</v>
      </c>
      <c r="E992" s="12" t="s">
        <v>41</v>
      </c>
      <c r="F992" s="12" t="s">
        <v>42</v>
      </c>
      <c r="G992" s="12" t="s">
        <v>42</v>
      </c>
      <c r="H992" s="12" t="n">
        <v>3565</v>
      </c>
      <c r="I992" s="12" t="n">
        <v>12</v>
      </c>
      <c r="J992" s="12" t="s">
        <v>27</v>
      </c>
    </row>
    <row r="993" customFormat="false" ht="15" hidden="false" customHeight="true" outlineLevel="0" collapsed="false">
      <c r="A993" s="12" t="n">
        <v>992</v>
      </c>
      <c r="B993" s="12" t="n">
        <v>34</v>
      </c>
      <c r="C993" s="12" t="s">
        <v>40</v>
      </c>
      <c r="D993" s="12" t="n">
        <v>1</v>
      </c>
      <c r="E993" s="12" t="s">
        <v>41</v>
      </c>
      <c r="F993" s="12" t="s">
        <v>45</v>
      </c>
      <c r="G993" s="12" t="s">
        <v>42</v>
      </c>
      <c r="H993" s="12" t="n">
        <v>1569</v>
      </c>
      <c r="I993" s="12" t="n">
        <v>15</v>
      </c>
      <c r="J993" s="12" t="s">
        <v>24</v>
      </c>
    </row>
    <row r="994" customFormat="false" ht="15" hidden="false" customHeight="true" outlineLevel="0" collapsed="false">
      <c r="A994" s="12" t="n">
        <v>993</v>
      </c>
      <c r="B994" s="12" t="n">
        <v>23</v>
      </c>
      <c r="C994" s="12" t="s">
        <v>40</v>
      </c>
      <c r="D994" s="12" t="n">
        <v>1</v>
      </c>
      <c r="E994" s="12" t="s">
        <v>48</v>
      </c>
      <c r="F994" s="12" t="s">
        <v>42</v>
      </c>
      <c r="G994" s="12" t="s">
        <v>43</v>
      </c>
      <c r="H994" s="12" t="n">
        <v>1936</v>
      </c>
      <c r="I994" s="12" t="n">
        <v>18</v>
      </c>
      <c r="J994" s="12" t="s">
        <v>24</v>
      </c>
    </row>
    <row r="995" customFormat="false" ht="15" hidden="false" customHeight="true" outlineLevel="0" collapsed="false">
      <c r="A995" s="12" t="n">
        <v>994</v>
      </c>
      <c r="B995" s="12" t="n">
        <v>30</v>
      </c>
      <c r="C995" s="12" t="s">
        <v>40</v>
      </c>
      <c r="D995" s="12" t="n">
        <v>3</v>
      </c>
      <c r="E995" s="12" t="s">
        <v>41</v>
      </c>
      <c r="F995" s="12" t="s">
        <v>43</v>
      </c>
      <c r="G995" s="12" t="s">
        <v>43</v>
      </c>
      <c r="H995" s="12" t="n">
        <v>3959</v>
      </c>
      <c r="I995" s="12" t="n">
        <v>36</v>
      </c>
      <c r="J995" s="12" t="s">
        <v>25</v>
      </c>
    </row>
    <row r="996" customFormat="false" ht="15" hidden="false" customHeight="true" outlineLevel="0" collapsed="false">
      <c r="A996" s="12" t="n">
        <v>995</v>
      </c>
      <c r="B996" s="12" t="n">
        <v>50</v>
      </c>
      <c r="C996" s="12" t="s">
        <v>40</v>
      </c>
      <c r="D996" s="12" t="n">
        <v>2</v>
      </c>
      <c r="E996" s="12" t="s">
        <v>41</v>
      </c>
      <c r="F996" s="12" t="s">
        <v>42</v>
      </c>
      <c r="G996" s="12" t="s">
        <v>42</v>
      </c>
      <c r="H996" s="12" t="n">
        <v>2390</v>
      </c>
      <c r="I996" s="12" t="n">
        <v>12</v>
      </c>
      <c r="J996" s="12" t="s">
        <v>23</v>
      </c>
    </row>
    <row r="997" customFormat="false" ht="15" hidden="false" customHeight="true" outlineLevel="0" collapsed="false">
      <c r="A997" s="12" t="n">
        <v>996</v>
      </c>
      <c r="B997" s="12" t="n">
        <v>31</v>
      </c>
      <c r="C997" s="12" t="s">
        <v>44</v>
      </c>
      <c r="D997" s="12" t="n">
        <v>1</v>
      </c>
      <c r="E997" s="12" t="s">
        <v>41</v>
      </c>
      <c r="F997" s="12" t="s">
        <v>43</v>
      </c>
      <c r="G997" s="12" t="s">
        <v>42</v>
      </c>
      <c r="H997" s="12" t="n">
        <v>1736</v>
      </c>
      <c r="I997" s="12" t="n">
        <v>12</v>
      </c>
      <c r="J997" s="12" t="s">
        <v>25</v>
      </c>
    </row>
    <row r="998" customFormat="false" ht="15" hidden="false" customHeight="true" outlineLevel="0" collapsed="false">
      <c r="A998" s="12" t="n">
        <v>997</v>
      </c>
      <c r="B998" s="12" t="n">
        <v>40</v>
      </c>
      <c r="C998" s="12" t="s">
        <v>40</v>
      </c>
      <c r="D998" s="12" t="n">
        <v>3</v>
      </c>
      <c r="E998" s="12" t="s">
        <v>41</v>
      </c>
      <c r="F998" s="12" t="s">
        <v>43</v>
      </c>
      <c r="G998" s="12" t="s">
        <v>43</v>
      </c>
      <c r="H998" s="12" t="n">
        <v>3857</v>
      </c>
      <c r="I998" s="12" t="n">
        <v>30</v>
      </c>
      <c r="J998" s="12" t="s">
        <v>23</v>
      </c>
    </row>
    <row r="999" customFormat="false" ht="15" hidden="false" customHeight="true" outlineLevel="0" collapsed="false">
      <c r="A999" s="12" t="n">
        <v>998</v>
      </c>
      <c r="B999" s="12" t="n">
        <v>38</v>
      </c>
      <c r="C999" s="12" t="s">
        <v>40</v>
      </c>
      <c r="D999" s="12" t="n">
        <v>2</v>
      </c>
      <c r="E999" s="12" t="s">
        <v>41</v>
      </c>
      <c r="F999" s="12" t="s">
        <v>43</v>
      </c>
      <c r="G999" s="12" t="s">
        <v>42</v>
      </c>
      <c r="H999" s="12" t="n">
        <v>804</v>
      </c>
      <c r="I999" s="12" t="n">
        <v>12</v>
      </c>
      <c r="J999" s="12" t="s">
        <v>24</v>
      </c>
    </row>
    <row r="1000" customFormat="false" ht="15" hidden="false" customHeight="true" outlineLevel="0" collapsed="false">
      <c r="A1000" s="12" t="n">
        <v>999</v>
      </c>
      <c r="B1000" s="12" t="n">
        <v>23</v>
      </c>
      <c r="C1000" s="12" t="s">
        <v>40</v>
      </c>
      <c r="D1000" s="12" t="n">
        <v>2</v>
      </c>
      <c r="E1000" s="12" t="s">
        <v>46</v>
      </c>
      <c r="F1000" s="12" t="s">
        <v>43</v>
      </c>
      <c r="G1000" s="12" t="s">
        <v>43</v>
      </c>
      <c r="H1000" s="12" t="n">
        <v>1845</v>
      </c>
      <c r="I1000" s="12" t="n">
        <v>45</v>
      </c>
      <c r="J1000" s="12" t="s">
        <v>24</v>
      </c>
    </row>
    <row r="1001" customFormat="false" ht="15" hidden="false" customHeight="true" outlineLevel="0" collapsed="false">
      <c r="A1001" s="12" t="n">
        <v>1000</v>
      </c>
      <c r="B1001" s="12" t="n">
        <v>27</v>
      </c>
      <c r="C1001" s="12" t="s">
        <v>40</v>
      </c>
      <c r="D1001" s="12" t="n">
        <v>2</v>
      </c>
      <c r="E1001" s="12" t="s">
        <v>41</v>
      </c>
      <c r="F1001" s="12" t="s">
        <v>45</v>
      </c>
      <c r="G1001" s="12" t="s">
        <v>45</v>
      </c>
      <c r="H1001" s="12" t="n">
        <v>4576</v>
      </c>
      <c r="I1001" s="12" t="n">
        <v>45</v>
      </c>
      <c r="J1001" s="1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1" width="55"/>
    <col collapsed="false" customWidth="true" hidden="false" outlineLevel="0" max="2" min="2" style="11" width="16"/>
  </cols>
  <sheetData>
    <row r="1" customFormat="false" ht="17.25" hidden="false" customHeight="true" outlineLevel="0" collapsed="false">
      <c r="A1" s="13" t="s">
        <v>50</v>
      </c>
    </row>
    <row r="2" customFormat="false" ht="15" hidden="false" customHeight="true" outlineLevel="0" collapsed="false">
      <c r="A2" s="14" t="s">
        <v>51</v>
      </c>
    </row>
    <row r="4" customFormat="false" ht="15" hidden="false" customHeight="true" outlineLevel="0" collapsed="false">
      <c r="A4" s="15" t="s">
        <v>52</v>
      </c>
    </row>
    <row r="6" customFormat="false" ht="15" hidden="false" customHeight="true" outlineLevel="0" collapsed="false">
      <c r="A6" s="4" t="s">
        <v>53</v>
      </c>
      <c r="B6" s="4" t="s">
        <v>54</v>
      </c>
    </row>
    <row r="7" customFormat="false" ht="15" hidden="false" customHeight="true" outlineLevel="0" collapsed="false">
      <c r="A7" s="16" t="s">
        <v>55</v>
      </c>
      <c r="B7" s="17" t="n">
        <v>0.3</v>
      </c>
    </row>
    <row r="8" customFormat="false" ht="15" hidden="false" customHeight="true" outlineLevel="0" collapsed="false">
      <c r="A8" s="16" t="s">
        <v>56</v>
      </c>
      <c r="B8" s="17" t="n">
        <v>0.25</v>
      </c>
    </row>
    <row r="9" customFormat="false" ht="15" hidden="false" customHeight="true" outlineLevel="0" collapsed="false">
      <c r="A9" s="16" t="s">
        <v>57</v>
      </c>
      <c r="B9" s="17" t="n">
        <v>0.2</v>
      </c>
    </row>
    <row r="10" customFormat="false" ht="15" hidden="false" customHeight="true" outlineLevel="0" collapsed="false">
      <c r="A10" s="16" t="s">
        <v>58</v>
      </c>
      <c r="B10" s="17" t="n">
        <v>0.15</v>
      </c>
    </row>
    <row r="11" customFormat="false" ht="15" hidden="false" customHeight="true" outlineLevel="0" collapsed="false">
      <c r="A11" s="16" t="s">
        <v>59</v>
      </c>
      <c r="B11" s="17" t="n">
        <v>0.1</v>
      </c>
    </row>
    <row r="12" customFormat="false" ht="15" hidden="false" customHeight="true" outlineLevel="0" collapsed="false">
      <c r="A12" s="15" t="s">
        <v>14</v>
      </c>
      <c r="B12" s="18" t="n">
        <f aca="false">SUM(B7:B11)</f>
        <v>1</v>
      </c>
    </row>
    <row r="14" customFormat="false" ht="15" hidden="false" customHeight="true" outlineLevel="0" collapsed="false">
      <c r="A14" s="16" t="s">
        <v>60</v>
      </c>
      <c r="B14" s="19" t="n">
        <v>400</v>
      </c>
    </row>
    <row r="17" customFormat="false" ht="15" hidden="false" customHeight="true" outlineLevel="0" collapsed="false">
      <c r="A17" s="15" t="s">
        <v>61</v>
      </c>
    </row>
    <row r="18" customFormat="false" ht="15" hidden="false" customHeight="true" outlineLevel="0" collapsed="false">
      <c r="A18" s="4" t="s">
        <v>62</v>
      </c>
      <c r="B18" s="4" t="s">
        <v>63</v>
      </c>
    </row>
    <row r="19" customFormat="false" ht="15" hidden="false" customHeight="true" outlineLevel="0" collapsed="false">
      <c r="A19" s="16" t="s">
        <v>49</v>
      </c>
      <c r="B19" s="19" t="n">
        <v>100</v>
      </c>
    </row>
    <row r="20" customFormat="false" ht="15" hidden="false" customHeight="true" outlineLevel="0" collapsed="false">
      <c r="A20" s="16" t="s">
        <v>47</v>
      </c>
      <c r="B20" s="19" t="n">
        <v>75</v>
      </c>
    </row>
    <row r="21" customFormat="false" ht="15" hidden="false" customHeight="true" outlineLevel="0" collapsed="false">
      <c r="A21" s="16" t="s">
        <v>45</v>
      </c>
      <c r="B21" s="19" t="n">
        <v>50</v>
      </c>
    </row>
    <row r="22" customFormat="false" ht="15" hidden="false" customHeight="true" outlineLevel="0" collapsed="false">
      <c r="A22" s="16" t="s">
        <v>43</v>
      </c>
      <c r="B22" s="19" t="n">
        <v>25</v>
      </c>
    </row>
    <row r="23" customFormat="false" ht="15" hidden="false" customHeight="true" outlineLevel="0" collapsed="false">
      <c r="A23" s="16" t="s">
        <v>42</v>
      </c>
      <c r="B23" s="19" t="n">
        <v>40</v>
      </c>
    </row>
    <row r="25" customFormat="false" ht="15" hidden="false" customHeight="true" outlineLevel="0" collapsed="false">
      <c r="A25" s="15" t="s">
        <v>64</v>
      </c>
    </row>
    <row r="26" customFormat="false" ht="15" hidden="false" customHeight="true" outlineLevel="0" collapsed="false">
      <c r="A26" s="4" t="s">
        <v>62</v>
      </c>
      <c r="B26" s="4" t="s">
        <v>63</v>
      </c>
    </row>
    <row r="27" customFormat="false" ht="15" hidden="false" customHeight="true" outlineLevel="0" collapsed="false">
      <c r="A27" s="16" t="s">
        <v>49</v>
      </c>
      <c r="B27" s="19" t="n">
        <v>100</v>
      </c>
    </row>
    <row r="28" customFormat="false" ht="15" hidden="false" customHeight="true" outlineLevel="0" collapsed="false">
      <c r="A28" s="16" t="s">
        <v>45</v>
      </c>
      <c r="B28" s="19" t="n">
        <v>60</v>
      </c>
    </row>
    <row r="29" customFormat="false" ht="15" hidden="false" customHeight="true" outlineLevel="0" collapsed="false">
      <c r="A29" s="16" t="s">
        <v>43</v>
      </c>
      <c r="B29" s="19" t="n">
        <v>25</v>
      </c>
    </row>
    <row r="30" customFormat="false" ht="15" hidden="false" customHeight="true" outlineLevel="0" collapsed="false">
      <c r="A30" s="16" t="s">
        <v>42</v>
      </c>
      <c r="B30" s="19" t="n">
        <v>50</v>
      </c>
    </row>
    <row r="32" customFormat="false" ht="15" hidden="false" customHeight="true" outlineLevel="0" collapsed="false">
      <c r="A32" s="15" t="s">
        <v>65</v>
      </c>
    </row>
    <row r="33" customFormat="false" ht="15" hidden="false" customHeight="true" outlineLevel="0" collapsed="false">
      <c r="A33" s="4" t="s">
        <v>66</v>
      </c>
      <c r="B33" s="4" t="s">
        <v>63</v>
      </c>
    </row>
    <row r="34" customFormat="false" ht="15" hidden="false" customHeight="true" outlineLevel="0" collapsed="false">
      <c r="A34" s="16" t="n">
        <v>0</v>
      </c>
      <c r="B34" s="19" t="n">
        <v>0</v>
      </c>
    </row>
    <row r="35" customFormat="false" ht="15" hidden="false" customHeight="true" outlineLevel="0" collapsed="false">
      <c r="A35" s="16" t="n">
        <v>1</v>
      </c>
      <c r="B35" s="19" t="n">
        <v>33</v>
      </c>
    </row>
    <row r="36" customFormat="false" ht="15" hidden="false" customHeight="true" outlineLevel="0" collapsed="false">
      <c r="A36" s="16" t="n">
        <v>2</v>
      </c>
      <c r="B36" s="19" t="n">
        <v>66</v>
      </c>
    </row>
    <row r="37" customFormat="false" ht="15" hidden="false" customHeight="true" outlineLevel="0" collapsed="false">
      <c r="A37" s="16" t="n">
        <v>3</v>
      </c>
      <c r="B37" s="19" t="n">
        <v>100</v>
      </c>
    </row>
    <row r="39" customFormat="false" ht="15" hidden="false" customHeight="true" outlineLevel="0" collapsed="false">
      <c r="A39" s="15" t="s">
        <v>67</v>
      </c>
    </row>
    <row r="40" customFormat="false" ht="15" hidden="false" customHeight="true" outlineLevel="0" collapsed="false">
      <c r="A40" s="4" t="s">
        <v>62</v>
      </c>
      <c r="B40" s="4" t="s">
        <v>63</v>
      </c>
    </row>
    <row r="41" customFormat="false" ht="15" hidden="false" customHeight="true" outlineLevel="0" collapsed="false">
      <c r="A41" s="16" t="s">
        <v>41</v>
      </c>
      <c r="B41" s="19" t="n">
        <v>100</v>
      </c>
    </row>
    <row r="42" customFormat="false" ht="15" hidden="false" customHeight="true" outlineLevel="0" collapsed="false">
      <c r="A42" s="16" t="s">
        <v>46</v>
      </c>
      <c r="B42" s="19" t="n">
        <v>60</v>
      </c>
    </row>
    <row r="43" customFormat="false" ht="15" hidden="false" customHeight="true" outlineLevel="0" collapsed="false">
      <c r="A43" s="16" t="s">
        <v>48</v>
      </c>
      <c r="B43" s="19" t="n">
        <v>30</v>
      </c>
    </row>
    <row r="45" customFormat="false" ht="15" hidden="false" customHeight="true" outlineLevel="0" collapsed="false">
      <c r="A45" s="15" t="s">
        <v>68</v>
      </c>
    </row>
    <row r="46" customFormat="false" ht="15" hidden="false" customHeight="true" outlineLevel="0" collapsed="false">
      <c r="A46" s="4" t="s">
        <v>62</v>
      </c>
      <c r="B46" s="4" t="s">
        <v>69</v>
      </c>
    </row>
    <row r="47" customFormat="false" ht="15" hidden="false" customHeight="true" outlineLevel="0" collapsed="false">
      <c r="A47" s="16" t="s">
        <v>8</v>
      </c>
      <c r="B47" s="16" t="s">
        <v>70</v>
      </c>
    </row>
    <row r="48" customFormat="false" ht="15" hidden="false" customHeight="true" outlineLevel="0" collapsed="false">
      <c r="A48" s="16" t="s">
        <v>10</v>
      </c>
      <c r="B48" s="16" t="s">
        <v>71</v>
      </c>
    </row>
    <row r="49" customFormat="false" ht="15" hidden="false" customHeight="true" outlineLevel="0" collapsed="false">
      <c r="A49" s="16" t="s">
        <v>12</v>
      </c>
      <c r="B49" s="16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" style="11" width="16"/>
  </cols>
  <sheetData>
    <row r="1" customFormat="false" ht="15" hidden="false" customHeight="true" outlineLevel="0" collapsed="fals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22</v>
      </c>
      <c r="K1" s="4" t="s">
        <v>73</v>
      </c>
      <c r="L1" s="4" t="s">
        <v>74</v>
      </c>
      <c r="M1" s="4" t="s">
        <v>75</v>
      </c>
      <c r="N1" s="4" t="s">
        <v>76</v>
      </c>
      <c r="O1" s="4" t="s">
        <v>77</v>
      </c>
      <c r="P1" s="4" t="s">
        <v>78</v>
      </c>
      <c r="Q1" s="4" t="s">
        <v>79</v>
      </c>
      <c r="R1" s="4" t="s">
        <v>4</v>
      </c>
    </row>
    <row r="2" customFormat="false" ht="15" hidden="false" customHeight="true" outlineLevel="0" collapsed="false">
      <c r="A2" s="20" t="n">
        <f aca="false">'Raw Data'!A2</f>
        <v>1</v>
      </c>
      <c r="B2" s="20" t="n">
        <f aca="false">'Raw Data'!B2</f>
        <v>67</v>
      </c>
      <c r="C2" s="20" t="str">
        <f aca="false">'Raw Data'!C2</f>
        <v>male</v>
      </c>
      <c r="D2" s="20" t="n">
        <f aca="false">'Raw Data'!D2</f>
        <v>2</v>
      </c>
      <c r="E2" s="20" t="str">
        <f aca="false">'Raw Data'!E2</f>
        <v>own</v>
      </c>
      <c r="F2" s="20" t="str">
        <f aca="false">'Raw Data'!F2</f>
        <v>none</v>
      </c>
      <c r="G2" s="20" t="str">
        <f aca="false">'Raw Data'!G2</f>
        <v>little</v>
      </c>
      <c r="H2" s="20" t="n">
        <f aca="false">'Raw Data'!H2</f>
        <v>1169</v>
      </c>
      <c r="I2" s="20" t="n">
        <f aca="false">'Raw Data'!I2</f>
        <v>6</v>
      </c>
      <c r="J2" s="20" t="str">
        <f aca="false">'Raw Data'!J2</f>
        <v>radio/TV</v>
      </c>
      <c r="K2" s="21" t="n">
        <f aca="false">H2/I2</f>
        <v>194.833333333333</v>
      </c>
      <c r="L2" s="21" t="n">
        <f aca="false">100-MIN(K2/Assumptions!$B$14,1)*100</f>
        <v>51.2916666666667</v>
      </c>
      <c r="M2" s="21" t="n">
        <f aca="false">VLOOKUP(F2,Assumptions!$A$19:$B$23,2,0)</f>
        <v>40</v>
      </c>
      <c r="N2" s="21" t="n">
        <f aca="false">VLOOKUP(G2,Assumptions!$A$27:$B$30,2,0)</f>
        <v>25</v>
      </c>
      <c r="O2" s="21" t="n">
        <f aca="false">VLOOKUP(D2,Assumptions!$A$34:$B$37,2,0)</f>
        <v>66</v>
      </c>
      <c r="P2" s="21" t="n">
        <f aca="false">VLOOKUP(E2,Assumptions!$A$41:$B$43,2,0)</f>
        <v>100</v>
      </c>
      <c r="Q2" s="22" t="n">
        <f aca="false">L2*Assumptions!$B$7+M2*Assumptions!$B$8+N2*Assumptions!$B$9+O2*Assumptions!$B$10+P2*Assumptions!$B$11</f>
        <v>50.2875</v>
      </c>
      <c r="R2" s="11" t="str">
        <f aca="false">IF(Q2&lt;=33,"High Risk",IF(Q2&lt;=66,"Medium Risk","Low Risk"))</f>
        <v>Medium Risk</v>
      </c>
    </row>
    <row r="3" customFormat="false" ht="15" hidden="false" customHeight="true" outlineLevel="0" collapsed="false">
      <c r="A3" s="20" t="n">
        <f aca="false">'Raw Data'!A3</f>
        <v>2</v>
      </c>
      <c r="B3" s="20" t="n">
        <f aca="false">'Raw Data'!B3</f>
        <v>22</v>
      </c>
      <c r="C3" s="20" t="str">
        <f aca="false">'Raw Data'!C3</f>
        <v>female</v>
      </c>
      <c r="D3" s="20" t="n">
        <f aca="false">'Raw Data'!D3</f>
        <v>2</v>
      </c>
      <c r="E3" s="20" t="str">
        <f aca="false">'Raw Data'!E3</f>
        <v>own</v>
      </c>
      <c r="F3" s="20" t="str">
        <f aca="false">'Raw Data'!F3</f>
        <v>little</v>
      </c>
      <c r="G3" s="20" t="str">
        <f aca="false">'Raw Data'!G3</f>
        <v>moderate</v>
      </c>
      <c r="H3" s="20" t="n">
        <f aca="false">'Raw Data'!H3</f>
        <v>5951</v>
      </c>
      <c r="I3" s="20" t="n">
        <f aca="false">'Raw Data'!I3</f>
        <v>48</v>
      </c>
      <c r="J3" s="20" t="str">
        <f aca="false">'Raw Data'!J3</f>
        <v>radio/TV</v>
      </c>
      <c r="K3" s="21" t="n">
        <f aca="false">H3/I3</f>
        <v>123.979166666667</v>
      </c>
      <c r="L3" s="21" t="n">
        <f aca="false">100-MIN(K3/Assumptions!$B$14,1)*100</f>
        <v>69.0052083333333</v>
      </c>
      <c r="M3" s="21" t="n">
        <f aca="false">VLOOKUP(F3,Assumptions!$A$19:$B$23,2,0)</f>
        <v>25</v>
      </c>
      <c r="N3" s="21" t="n">
        <f aca="false">VLOOKUP(G3,Assumptions!$A$27:$B$30,2,0)</f>
        <v>60</v>
      </c>
      <c r="O3" s="21" t="n">
        <f aca="false">VLOOKUP(D3,Assumptions!$A$34:$B$37,2,0)</f>
        <v>66</v>
      </c>
      <c r="P3" s="21" t="n">
        <f aca="false">VLOOKUP(E3,Assumptions!$A$41:$B$43,2,0)</f>
        <v>100</v>
      </c>
      <c r="Q3" s="22" t="n">
        <f aca="false">L3*Assumptions!$B$7+M3*Assumptions!$B$8+N3*Assumptions!$B$9+O3*Assumptions!$B$10+P3*Assumptions!$B$11</f>
        <v>58.8515625</v>
      </c>
      <c r="R3" s="11" t="str">
        <f aca="false">IF(Q3&lt;=33,"High Risk",IF(Q3&lt;=66,"Medium Risk","Low Risk"))</f>
        <v>Medium Risk</v>
      </c>
    </row>
    <row r="4" customFormat="false" ht="15" hidden="false" customHeight="true" outlineLevel="0" collapsed="false">
      <c r="A4" s="20" t="n">
        <f aca="false">'Raw Data'!A4</f>
        <v>3</v>
      </c>
      <c r="B4" s="20" t="n">
        <f aca="false">'Raw Data'!B4</f>
        <v>49</v>
      </c>
      <c r="C4" s="20" t="str">
        <f aca="false">'Raw Data'!C4</f>
        <v>male</v>
      </c>
      <c r="D4" s="20" t="n">
        <f aca="false">'Raw Data'!D4</f>
        <v>1</v>
      </c>
      <c r="E4" s="20" t="str">
        <f aca="false">'Raw Data'!E4</f>
        <v>own</v>
      </c>
      <c r="F4" s="20" t="str">
        <f aca="false">'Raw Data'!F4</f>
        <v>little</v>
      </c>
      <c r="G4" s="20" t="str">
        <f aca="false">'Raw Data'!G4</f>
        <v>none</v>
      </c>
      <c r="H4" s="20" t="n">
        <f aca="false">'Raw Data'!H4</f>
        <v>2096</v>
      </c>
      <c r="I4" s="20" t="n">
        <f aca="false">'Raw Data'!I4</f>
        <v>12</v>
      </c>
      <c r="J4" s="20" t="str">
        <f aca="false">'Raw Data'!J4</f>
        <v>education</v>
      </c>
      <c r="K4" s="21" t="n">
        <f aca="false">H4/I4</f>
        <v>174.666666666667</v>
      </c>
      <c r="L4" s="21" t="n">
        <f aca="false">100-MIN(K4/Assumptions!$B$14,1)*100</f>
        <v>56.3333333333333</v>
      </c>
      <c r="M4" s="21" t="n">
        <f aca="false">VLOOKUP(F4,Assumptions!$A$19:$B$23,2,0)</f>
        <v>25</v>
      </c>
      <c r="N4" s="21" t="n">
        <f aca="false">VLOOKUP(G4,Assumptions!$A$27:$B$30,2,0)</f>
        <v>50</v>
      </c>
      <c r="O4" s="21" t="n">
        <f aca="false">VLOOKUP(D4,Assumptions!$A$34:$B$37,2,0)</f>
        <v>33</v>
      </c>
      <c r="P4" s="21" t="n">
        <f aca="false">VLOOKUP(E4,Assumptions!$A$41:$B$43,2,0)</f>
        <v>100</v>
      </c>
      <c r="Q4" s="22" t="n">
        <f aca="false">L4*Assumptions!$B$7+M4*Assumptions!$B$8+N4*Assumptions!$B$9+O4*Assumptions!$B$10+P4*Assumptions!$B$11</f>
        <v>48.1</v>
      </c>
      <c r="R4" s="11" t="str">
        <f aca="false">IF(Q4&lt;=33,"High Risk",IF(Q4&lt;=66,"Medium Risk","Low Risk"))</f>
        <v>Medium Risk</v>
      </c>
    </row>
    <row r="5" customFormat="false" ht="15" hidden="false" customHeight="true" outlineLevel="0" collapsed="false">
      <c r="A5" s="20" t="n">
        <f aca="false">'Raw Data'!A5</f>
        <v>4</v>
      </c>
      <c r="B5" s="20" t="n">
        <f aca="false">'Raw Data'!B5</f>
        <v>45</v>
      </c>
      <c r="C5" s="20" t="str">
        <f aca="false">'Raw Data'!C5</f>
        <v>male</v>
      </c>
      <c r="D5" s="20" t="n">
        <f aca="false">'Raw Data'!D5</f>
        <v>2</v>
      </c>
      <c r="E5" s="20" t="str">
        <f aca="false">'Raw Data'!E5</f>
        <v>free</v>
      </c>
      <c r="F5" s="20" t="str">
        <f aca="false">'Raw Data'!F5</f>
        <v>little</v>
      </c>
      <c r="G5" s="20" t="str">
        <f aca="false">'Raw Data'!G5</f>
        <v>little</v>
      </c>
      <c r="H5" s="20" t="n">
        <f aca="false">'Raw Data'!H5</f>
        <v>7882</v>
      </c>
      <c r="I5" s="20" t="n">
        <f aca="false">'Raw Data'!I5</f>
        <v>42</v>
      </c>
      <c r="J5" s="20" t="str">
        <f aca="false">'Raw Data'!J5</f>
        <v>furniture/equipment</v>
      </c>
      <c r="K5" s="21" t="n">
        <f aca="false">H5/I5</f>
        <v>187.666666666667</v>
      </c>
      <c r="L5" s="21" t="n">
        <f aca="false">100-MIN(K5/Assumptions!$B$14,1)*100</f>
        <v>53.0833333333333</v>
      </c>
      <c r="M5" s="21" t="n">
        <f aca="false">VLOOKUP(F5,Assumptions!$A$19:$B$23,2,0)</f>
        <v>25</v>
      </c>
      <c r="N5" s="21" t="n">
        <f aca="false">VLOOKUP(G5,Assumptions!$A$27:$B$30,2,0)</f>
        <v>25</v>
      </c>
      <c r="O5" s="21" t="n">
        <f aca="false">VLOOKUP(D5,Assumptions!$A$34:$B$37,2,0)</f>
        <v>66</v>
      </c>
      <c r="P5" s="21" t="n">
        <f aca="false">VLOOKUP(E5,Assumptions!$A$41:$B$43,2,0)</f>
        <v>60</v>
      </c>
      <c r="Q5" s="22" t="n">
        <f aca="false">L5*Assumptions!$B$7+M5*Assumptions!$B$8+N5*Assumptions!$B$9+O5*Assumptions!$B$10+P5*Assumptions!$B$11</f>
        <v>43.075</v>
      </c>
      <c r="R5" s="11" t="str">
        <f aca="false">IF(Q5&lt;=33,"High Risk",IF(Q5&lt;=66,"Medium Risk","Low Risk"))</f>
        <v>Medium Risk</v>
      </c>
    </row>
    <row r="6" customFormat="false" ht="15" hidden="false" customHeight="true" outlineLevel="0" collapsed="false">
      <c r="A6" s="20" t="n">
        <f aca="false">'Raw Data'!A6</f>
        <v>5</v>
      </c>
      <c r="B6" s="20" t="n">
        <f aca="false">'Raw Data'!B6</f>
        <v>53</v>
      </c>
      <c r="C6" s="20" t="str">
        <f aca="false">'Raw Data'!C6</f>
        <v>male</v>
      </c>
      <c r="D6" s="20" t="n">
        <f aca="false">'Raw Data'!D6</f>
        <v>2</v>
      </c>
      <c r="E6" s="20" t="str">
        <f aca="false">'Raw Data'!E6</f>
        <v>free</v>
      </c>
      <c r="F6" s="20" t="str">
        <f aca="false">'Raw Data'!F6</f>
        <v>little</v>
      </c>
      <c r="G6" s="20" t="str">
        <f aca="false">'Raw Data'!G6</f>
        <v>little</v>
      </c>
      <c r="H6" s="20" t="n">
        <f aca="false">'Raw Data'!H6</f>
        <v>4870</v>
      </c>
      <c r="I6" s="20" t="n">
        <f aca="false">'Raw Data'!I6</f>
        <v>24</v>
      </c>
      <c r="J6" s="20" t="str">
        <f aca="false">'Raw Data'!J6</f>
        <v>car</v>
      </c>
      <c r="K6" s="21" t="n">
        <f aca="false">H6/I6</f>
        <v>202.916666666667</v>
      </c>
      <c r="L6" s="21" t="n">
        <f aca="false">100-MIN(K6/Assumptions!$B$14,1)*100</f>
        <v>49.2708333333333</v>
      </c>
      <c r="M6" s="21" t="n">
        <f aca="false">VLOOKUP(F6,Assumptions!$A$19:$B$23,2,0)</f>
        <v>25</v>
      </c>
      <c r="N6" s="21" t="n">
        <f aca="false">VLOOKUP(G6,Assumptions!$A$27:$B$30,2,0)</f>
        <v>25</v>
      </c>
      <c r="O6" s="21" t="n">
        <f aca="false">VLOOKUP(D6,Assumptions!$A$34:$B$37,2,0)</f>
        <v>66</v>
      </c>
      <c r="P6" s="21" t="n">
        <f aca="false">VLOOKUP(E6,Assumptions!$A$41:$B$43,2,0)</f>
        <v>60</v>
      </c>
      <c r="Q6" s="22" t="n">
        <f aca="false">L6*Assumptions!$B$7+M6*Assumptions!$B$8+N6*Assumptions!$B$9+O6*Assumptions!$B$10+P6*Assumptions!$B$11</f>
        <v>41.93125</v>
      </c>
      <c r="R6" s="11" t="str">
        <f aca="false">IF(Q6&lt;=33,"High Risk",IF(Q6&lt;=66,"Medium Risk","Low Risk"))</f>
        <v>Medium Risk</v>
      </c>
    </row>
    <row r="7" customFormat="false" ht="15" hidden="false" customHeight="true" outlineLevel="0" collapsed="false">
      <c r="A7" s="20" t="n">
        <f aca="false">'Raw Data'!A7</f>
        <v>6</v>
      </c>
      <c r="B7" s="20" t="n">
        <f aca="false">'Raw Data'!B7</f>
        <v>35</v>
      </c>
      <c r="C7" s="20" t="str">
        <f aca="false">'Raw Data'!C7</f>
        <v>male</v>
      </c>
      <c r="D7" s="20" t="n">
        <f aca="false">'Raw Data'!D7</f>
        <v>1</v>
      </c>
      <c r="E7" s="20" t="str">
        <f aca="false">'Raw Data'!E7</f>
        <v>free</v>
      </c>
      <c r="F7" s="20" t="str">
        <f aca="false">'Raw Data'!F7</f>
        <v>none</v>
      </c>
      <c r="G7" s="20" t="str">
        <f aca="false">'Raw Data'!G7</f>
        <v>none</v>
      </c>
      <c r="H7" s="20" t="n">
        <f aca="false">'Raw Data'!H7</f>
        <v>9055</v>
      </c>
      <c r="I7" s="20" t="n">
        <f aca="false">'Raw Data'!I7</f>
        <v>36</v>
      </c>
      <c r="J7" s="20" t="str">
        <f aca="false">'Raw Data'!J7</f>
        <v>education</v>
      </c>
      <c r="K7" s="21" t="n">
        <f aca="false">H7/I7</f>
        <v>251.527777777778</v>
      </c>
      <c r="L7" s="21" t="n">
        <f aca="false">100-MIN(K7/Assumptions!$B$14,1)*100</f>
        <v>37.1180555555556</v>
      </c>
      <c r="M7" s="21" t="n">
        <f aca="false">VLOOKUP(F7,Assumptions!$A$19:$B$23,2,0)</f>
        <v>40</v>
      </c>
      <c r="N7" s="21" t="n">
        <f aca="false">VLOOKUP(G7,Assumptions!$A$27:$B$30,2,0)</f>
        <v>50</v>
      </c>
      <c r="O7" s="21" t="n">
        <f aca="false">VLOOKUP(D7,Assumptions!$A$34:$B$37,2,0)</f>
        <v>33</v>
      </c>
      <c r="P7" s="21" t="n">
        <f aca="false">VLOOKUP(E7,Assumptions!$A$41:$B$43,2,0)</f>
        <v>60</v>
      </c>
      <c r="Q7" s="22" t="n">
        <f aca="false">L7*Assumptions!$B$7+M7*Assumptions!$B$8+N7*Assumptions!$B$9+O7*Assumptions!$B$10+P7*Assumptions!$B$11</f>
        <v>42.0854166666667</v>
      </c>
      <c r="R7" s="11" t="str">
        <f aca="false">IF(Q7&lt;=33,"High Risk",IF(Q7&lt;=66,"Medium Risk","Low Risk"))</f>
        <v>Medium Risk</v>
      </c>
    </row>
    <row r="8" customFormat="false" ht="15" hidden="false" customHeight="true" outlineLevel="0" collapsed="false">
      <c r="A8" s="20" t="n">
        <f aca="false">'Raw Data'!A8</f>
        <v>7</v>
      </c>
      <c r="B8" s="20" t="n">
        <f aca="false">'Raw Data'!B8</f>
        <v>53</v>
      </c>
      <c r="C8" s="20" t="str">
        <f aca="false">'Raw Data'!C8</f>
        <v>male</v>
      </c>
      <c r="D8" s="20" t="n">
        <f aca="false">'Raw Data'!D8</f>
        <v>2</v>
      </c>
      <c r="E8" s="20" t="str">
        <f aca="false">'Raw Data'!E8</f>
        <v>own</v>
      </c>
      <c r="F8" s="20" t="str">
        <f aca="false">'Raw Data'!F8</f>
        <v>quite rich</v>
      </c>
      <c r="G8" s="20" t="str">
        <f aca="false">'Raw Data'!G8</f>
        <v>none</v>
      </c>
      <c r="H8" s="20" t="n">
        <f aca="false">'Raw Data'!H8</f>
        <v>2835</v>
      </c>
      <c r="I8" s="20" t="n">
        <f aca="false">'Raw Data'!I8</f>
        <v>24</v>
      </c>
      <c r="J8" s="20" t="str">
        <f aca="false">'Raw Data'!J8</f>
        <v>furniture/equipment</v>
      </c>
      <c r="K8" s="21" t="n">
        <f aca="false">H8/I8</f>
        <v>118.125</v>
      </c>
      <c r="L8" s="21" t="n">
        <f aca="false">100-MIN(K8/Assumptions!$B$14,1)*100</f>
        <v>70.46875</v>
      </c>
      <c r="M8" s="21" t="n">
        <f aca="false">VLOOKUP(F8,Assumptions!$A$19:$B$23,2,0)</f>
        <v>75</v>
      </c>
      <c r="N8" s="21" t="n">
        <f aca="false">VLOOKUP(G8,Assumptions!$A$27:$B$30,2,0)</f>
        <v>50</v>
      </c>
      <c r="O8" s="21" t="n">
        <f aca="false">VLOOKUP(D8,Assumptions!$A$34:$B$37,2,0)</f>
        <v>66</v>
      </c>
      <c r="P8" s="21" t="n">
        <f aca="false">VLOOKUP(E8,Assumptions!$A$41:$B$43,2,0)</f>
        <v>100</v>
      </c>
      <c r="Q8" s="22" t="n">
        <f aca="false">L8*Assumptions!$B$7+M8*Assumptions!$B$8+N8*Assumptions!$B$9+O8*Assumptions!$B$10+P8*Assumptions!$B$11</f>
        <v>69.790625</v>
      </c>
      <c r="R8" s="11" t="str">
        <f aca="false">IF(Q8&lt;=33,"High Risk",IF(Q8&lt;=66,"Medium Risk","Low Risk"))</f>
        <v>Low Risk</v>
      </c>
    </row>
    <row r="9" customFormat="false" ht="15" hidden="false" customHeight="true" outlineLevel="0" collapsed="false">
      <c r="A9" s="20" t="n">
        <f aca="false">'Raw Data'!A9</f>
        <v>8</v>
      </c>
      <c r="B9" s="20" t="n">
        <f aca="false">'Raw Data'!B9</f>
        <v>35</v>
      </c>
      <c r="C9" s="20" t="str">
        <f aca="false">'Raw Data'!C9</f>
        <v>male</v>
      </c>
      <c r="D9" s="20" t="n">
        <f aca="false">'Raw Data'!D9</f>
        <v>3</v>
      </c>
      <c r="E9" s="20" t="str">
        <f aca="false">'Raw Data'!E9</f>
        <v>rent</v>
      </c>
      <c r="F9" s="20" t="str">
        <f aca="false">'Raw Data'!F9</f>
        <v>little</v>
      </c>
      <c r="G9" s="20" t="str">
        <f aca="false">'Raw Data'!G9</f>
        <v>moderate</v>
      </c>
      <c r="H9" s="20" t="n">
        <f aca="false">'Raw Data'!H9</f>
        <v>6948</v>
      </c>
      <c r="I9" s="20" t="n">
        <f aca="false">'Raw Data'!I9</f>
        <v>36</v>
      </c>
      <c r="J9" s="20" t="str">
        <f aca="false">'Raw Data'!J9</f>
        <v>car</v>
      </c>
      <c r="K9" s="21" t="n">
        <f aca="false">H9/I9</f>
        <v>193</v>
      </c>
      <c r="L9" s="21" t="n">
        <f aca="false">100-MIN(K9/Assumptions!$B$14,1)*100</f>
        <v>51.75</v>
      </c>
      <c r="M9" s="21" t="n">
        <f aca="false">VLOOKUP(F9,Assumptions!$A$19:$B$23,2,0)</f>
        <v>25</v>
      </c>
      <c r="N9" s="21" t="n">
        <f aca="false">VLOOKUP(G9,Assumptions!$A$27:$B$30,2,0)</f>
        <v>60</v>
      </c>
      <c r="O9" s="21" t="n">
        <f aca="false">VLOOKUP(D9,Assumptions!$A$34:$B$37,2,0)</f>
        <v>100</v>
      </c>
      <c r="P9" s="21" t="n">
        <f aca="false">VLOOKUP(E9,Assumptions!$A$41:$B$43,2,0)</f>
        <v>30</v>
      </c>
      <c r="Q9" s="22" t="n">
        <f aca="false">L9*Assumptions!$B$7+M9*Assumptions!$B$8+N9*Assumptions!$B$9+O9*Assumptions!$B$10+P9*Assumptions!$B$11</f>
        <v>51.775</v>
      </c>
      <c r="R9" s="11" t="str">
        <f aca="false">IF(Q9&lt;=33,"High Risk",IF(Q9&lt;=66,"Medium Risk","Low Risk"))</f>
        <v>Medium Risk</v>
      </c>
    </row>
    <row r="10" customFormat="false" ht="15" hidden="false" customHeight="true" outlineLevel="0" collapsed="false">
      <c r="A10" s="20" t="n">
        <f aca="false">'Raw Data'!A10</f>
        <v>9</v>
      </c>
      <c r="B10" s="20" t="n">
        <f aca="false">'Raw Data'!B10</f>
        <v>61</v>
      </c>
      <c r="C10" s="20" t="str">
        <f aca="false">'Raw Data'!C10</f>
        <v>male</v>
      </c>
      <c r="D10" s="20" t="n">
        <f aca="false">'Raw Data'!D10</f>
        <v>1</v>
      </c>
      <c r="E10" s="20" t="str">
        <f aca="false">'Raw Data'!E10</f>
        <v>own</v>
      </c>
      <c r="F10" s="20" t="str">
        <f aca="false">'Raw Data'!F10</f>
        <v>rich</v>
      </c>
      <c r="G10" s="20" t="str">
        <f aca="false">'Raw Data'!G10</f>
        <v>none</v>
      </c>
      <c r="H10" s="20" t="n">
        <f aca="false">'Raw Data'!H10</f>
        <v>3059</v>
      </c>
      <c r="I10" s="20" t="n">
        <f aca="false">'Raw Data'!I10</f>
        <v>12</v>
      </c>
      <c r="J10" s="20" t="str">
        <f aca="false">'Raw Data'!J10</f>
        <v>radio/TV</v>
      </c>
      <c r="K10" s="21" t="n">
        <f aca="false">H10/I10</f>
        <v>254.916666666667</v>
      </c>
      <c r="L10" s="21" t="n">
        <f aca="false">100-MIN(K10/Assumptions!$B$14,1)*100</f>
        <v>36.2708333333333</v>
      </c>
      <c r="M10" s="21" t="n">
        <f aca="false">VLOOKUP(F10,Assumptions!$A$19:$B$23,2,0)</f>
        <v>100</v>
      </c>
      <c r="N10" s="21" t="n">
        <f aca="false">VLOOKUP(G10,Assumptions!$A$27:$B$30,2,0)</f>
        <v>50</v>
      </c>
      <c r="O10" s="21" t="n">
        <f aca="false">VLOOKUP(D10,Assumptions!$A$34:$B$37,2,0)</f>
        <v>33</v>
      </c>
      <c r="P10" s="21" t="n">
        <f aca="false">VLOOKUP(E10,Assumptions!$A$41:$B$43,2,0)</f>
        <v>100</v>
      </c>
      <c r="Q10" s="22" t="n">
        <f aca="false">L10*Assumptions!$B$7+M10*Assumptions!$B$8+N10*Assumptions!$B$9+O10*Assumptions!$B$10+P10*Assumptions!$B$11</f>
        <v>60.83125</v>
      </c>
      <c r="R10" s="11" t="str">
        <f aca="false">IF(Q10&lt;=33,"High Risk",IF(Q10&lt;=66,"Medium Risk","Low Risk"))</f>
        <v>Medium Risk</v>
      </c>
    </row>
    <row r="11" customFormat="false" ht="15" hidden="false" customHeight="true" outlineLevel="0" collapsed="false">
      <c r="A11" s="20" t="n">
        <f aca="false">'Raw Data'!A11</f>
        <v>10</v>
      </c>
      <c r="B11" s="20" t="n">
        <f aca="false">'Raw Data'!B11</f>
        <v>28</v>
      </c>
      <c r="C11" s="20" t="str">
        <f aca="false">'Raw Data'!C11</f>
        <v>male</v>
      </c>
      <c r="D11" s="20" t="n">
        <f aca="false">'Raw Data'!D11</f>
        <v>3</v>
      </c>
      <c r="E11" s="20" t="str">
        <f aca="false">'Raw Data'!E11</f>
        <v>own</v>
      </c>
      <c r="F11" s="20" t="str">
        <f aca="false">'Raw Data'!F11</f>
        <v>little</v>
      </c>
      <c r="G11" s="20" t="str">
        <f aca="false">'Raw Data'!G11</f>
        <v>moderate</v>
      </c>
      <c r="H11" s="20" t="n">
        <f aca="false">'Raw Data'!H11</f>
        <v>5234</v>
      </c>
      <c r="I11" s="20" t="n">
        <f aca="false">'Raw Data'!I11</f>
        <v>30</v>
      </c>
      <c r="J11" s="20" t="str">
        <f aca="false">'Raw Data'!J11</f>
        <v>car</v>
      </c>
      <c r="K11" s="21" t="n">
        <f aca="false">H11/I11</f>
        <v>174.466666666667</v>
      </c>
      <c r="L11" s="21" t="n">
        <f aca="false">100-MIN(K11/Assumptions!$B$14,1)*100</f>
        <v>56.3833333333333</v>
      </c>
      <c r="M11" s="21" t="n">
        <f aca="false">VLOOKUP(F11,Assumptions!$A$19:$B$23,2,0)</f>
        <v>25</v>
      </c>
      <c r="N11" s="21" t="n">
        <f aca="false">VLOOKUP(G11,Assumptions!$A$27:$B$30,2,0)</f>
        <v>60</v>
      </c>
      <c r="O11" s="21" t="n">
        <f aca="false">VLOOKUP(D11,Assumptions!$A$34:$B$37,2,0)</f>
        <v>100</v>
      </c>
      <c r="P11" s="21" t="n">
        <f aca="false">VLOOKUP(E11,Assumptions!$A$41:$B$43,2,0)</f>
        <v>100</v>
      </c>
      <c r="Q11" s="22" t="n">
        <f aca="false">L11*Assumptions!$B$7+M11*Assumptions!$B$8+N11*Assumptions!$B$9+O11*Assumptions!$B$10+P11*Assumptions!$B$11</f>
        <v>60.165</v>
      </c>
      <c r="R11" s="11" t="str">
        <f aca="false">IF(Q11&lt;=33,"High Risk",IF(Q11&lt;=66,"Medium Risk","Low Risk"))</f>
        <v>Medium Risk</v>
      </c>
    </row>
    <row r="12" customFormat="false" ht="15" hidden="false" customHeight="true" outlineLevel="0" collapsed="false">
      <c r="A12" s="20" t="n">
        <f aca="false">'Raw Data'!A12</f>
        <v>11</v>
      </c>
      <c r="B12" s="20" t="n">
        <f aca="false">'Raw Data'!B12</f>
        <v>25</v>
      </c>
      <c r="C12" s="20" t="str">
        <f aca="false">'Raw Data'!C12</f>
        <v>female</v>
      </c>
      <c r="D12" s="20" t="n">
        <f aca="false">'Raw Data'!D12</f>
        <v>2</v>
      </c>
      <c r="E12" s="20" t="str">
        <f aca="false">'Raw Data'!E12</f>
        <v>rent</v>
      </c>
      <c r="F12" s="20" t="str">
        <f aca="false">'Raw Data'!F12</f>
        <v>little</v>
      </c>
      <c r="G12" s="20" t="str">
        <f aca="false">'Raw Data'!G12</f>
        <v>moderate</v>
      </c>
      <c r="H12" s="20" t="n">
        <f aca="false">'Raw Data'!H12</f>
        <v>1295</v>
      </c>
      <c r="I12" s="20" t="n">
        <f aca="false">'Raw Data'!I12</f>
        <v>12</v>
      </c>
      <c r="J12" s="20" t="str">
        <f aca="false">'Raw Data'!J12</f>
        <v>car</v>
      </c>
      <c r="K12" s="21" t="n">
        <f aca="false">H12/I12</f>
        <v>107.916666666667</v>
      </c>
      <c r="L12" s="21" t="n">
        <f aca="false">100-MIN(K12/Assumptions!$B$14,1)*100</f>
        <v>73.0208333333333</v>
      </c>
      <c r="M12" s="21" t="n">
        <f aca="false">VLOOKUP(F12,Assumptions!$A$19:$B$23,2,0)</f>
        <v>25</v>
      </c>
      <c r="N12" s="21" t="n">
        <f aca="false">VLOOKUP(G12,Assumptions!$A$27:$B$30,2,0)</f>
        <v>60</v>
      </c>
      <c r="O12" s="21" t="n">
        <f aca="false">VLOOKUP(D12,Assumptions!$A$34:$B$37,2,0)</f>
        <v>66</v>
      </c>
      <c r="P12" s="21" t="n">
        <f aca="false">VLOOKUP(E12,Assumptions!$A$41:$B$43,2,0)</f>
        <v>30</v>
      </c>
      <c r="Q12" s="22" t="n">
        <f aca="false">L12*Assumptions!$B$7+M12*Assumptions!$B$8+N12*Assumptions!$B$9+O12*Assumptions!$B$10+P12*Assumptions!$B$11</f>
        <v>53.05625</v>
      </c>
      <c r="R12" s="11" t="str">
        <f aca="false">IF(Q12&lt;=33,"High Risk",IF(Q12&lt;=66,"Medium Risk","Low Risk"))</f>
        <v>Medium Risk</v>
      </c>
    </row>
    <row r="13" customFormat="false" ht="15" hidden="false" customHeight="true" outlineLevel="0" collapsed="false">
      <c r="A13" s="20" t="n">
        <f aca="false">'Raw Data'!A13</f>
        <v>12</v>
      </c>
      <c r="B13" s="20" t="n">
        <f aca="false">'Raw Data'!B13</f>
        <v>24</v>
      </c>
      <c r="C13" s="20" t="str">
        <f aca="false">'Raw Data'!C13</f>
        <v>female</v>
      </c>
      <c r="D13" s="20" t="n">
        <f aca="false">'Raw Data'!D13</f>
        <v>2</v>
      </c>
      <c r="E13" s="20" t="str">
        <f aca="false">'Raw Data'!E13</f>
        <v>rent</v>
      </c>
      <c r="F13" s="20" t="str">
        <f aca="false">'Raw Data'!F13</f>
        <v>little</v>
      </c>
      <c r="G13" s="20" t="str">
        <f aca="false">'Raw Data'!G13</f>
        <v>little</v>
      </c>
      <c r="H13" s="20" t="n">
        <f aca="false">'Raw Data'!H13</f>
        <v>4308</v>
      </c>
      <c r="I13" s="20" t="n">
        <f aca="false">'Raw Data'!I13</f>
        <v>48</v>
      </c>
      <c r="J13" s="20" t="str">
        <f aca="false">'Raw Data'!J13</f>
        <v>business</v>
      </c>
      <c r="K13" s="21" t="n">
        <f aca="false">H13/I13</f>
        <v>89.75</v>
      </c>
      <c r="L13" s="21" t="n">
        <f aca="false">100-MIN(K13/Assumptions!$B$14,1)*100</f>
        <v>77.5625</v>
      </c>
      <c r="M13" s="21" t="n">
        <f aca="false">VLOOKUP(F13,Assumptions!$A$19:$B$23,2,0)</f>
        <v>25</v>
      </c>
      <c r="N13" s="21" t="n">
        <f aca="false">VLOOKUP(G13,Assumptions!$A$27:$B$30,2,0)</f>
        <v>25</v>
      </c>
      <c r="O13" s="21" t="n">
        <f aca="false">VLOOKUP(D13,Assumptions!$A$34:$B$37,2,0)</f>
        <v>66</v>
      </c>
      <c r="P13" s="21" t="n">
        <f aca="false">VLOOKUP(E13,Assumptions!$A$41:$B$43,2,0)</f>
        <v>30</v>
      </c>
      <c r="Q13" s="22" t="n">
        <f aca="false">L13*Assumptions!$B$7+M13*Assumptions!$B$8+N13*Assumptions!$B$9+O13*Assumptions!$B$10+P13*Assumptions!$B$11</f>
        <v>47.41875</v>
      </c>
      <c r="R13" s="11" t="str">
        <f aca="false">IF(Q13&lt;=33,"High Risk",IF(Q13&lt;=66,"Medium Risk","Low Risk"))</f>
        <v>Medium Risk</v>
      </c>
    </row>
    <row r="14" customFormat="false" ht="15" hidden="false" customHeight="true" outlineLevel="0" collapsed="false">
      <c r="A14" s="20" t="n">
        <f aca="false">'Raw Data'!A14</f>
        <v>13</v>
      </c>
      <c r="B14" s="20" t="n">
        <f aca="false">'Raw Data'!B14</f>
        <v>22</v>
      </c>
      <c r="C14" s="20" t="str">
        <f aca="false">'Raw Data'!C14</f>
        <v>female</v>
      </c>
      <c r="D14" s="20" t="n">
        <f aca="false">'Raw Data'!D14</f>
        <v>2</v>
      </c>
      <c r="E14" s="20" t="str">
        <f aca="false">'Raw Data'!E14</f>
        <v>own</v>
      </c>
      <c r="F14" s="20" t="str">
        <f aca="false">'Raw Data'!F14</f>
        <v>little</v>
      </c>
      <c r="G14" s="20" t="str">
        <f aca="false">'Raw Data'!G14</f>
        <v>moderate</v>
      </c>
      <c r="H14" s="20" t="n">
        <f aca="false">'Raw Data'!H14</f>
        <v>1567</v>
      </c>
      <c r="I14" s="20" t="n">
        <f aca="false">'Raw Data'!I14</f>
        <v>12</v>
      </c>
      <c r="J14" s="20" t="str">
        <f aca="false">'Raw Data'!J14</f>
        <v>radio/TV</v>
      </c>
      <c r="K14" s="21" t="n">
        <f aca="false">H14/I14</f>
        <v>130.583333333333</v>
      </c>
      <c r="L14" s="21" t="n">
        <f aca="false">100-MIN(K14/Assumptions!$B$14,1)*100</f>
        <v>67.3541666666667</v>
      </c>
      <c r="M14" s="21" t="n">
        <f aca="false">VLOOKUP(F14,Assumptions!$A$19:$B$23,2,0)</f>
        <v>25</v>
      </c>
      <c r="N14" s="21" t="n">
        <f aca="false">VLOOKUP(G14,Assumptions!$A$27:$B$30,2,0)</f>
        <v>60</v>
      </c>
      <c r="O14" s="21" t="n">
        <f aca="false">VLOOKUP(D14,Assumptions!$A$34:$B$37,2,0)</f>
        <v>66</v>
      </c>
      <c r="P14" s="21" t="n">
        <f aca="false">VLOOKUP(E14,Assumptions!$A$41:$B$43,2,0)</f>
        <v>100</v>
      </c>
      <c r="Q14" s="22" t="n">
        <f aca="false">L14*Assumptions!$B$7+M14*Assumptions!$B$8+N14*Assumptions!$B$9+O14*Assumptions!$B$10+P14*Assumptions!$B$11</f>
        <v>58.35625</v>
      </c>
      <c r="R14" s="11" t="str">
        <f aca="false">IF(Q14&lt;=33,"High Risk",IF(Q14&lt;=66,"Medium Risk","Low Risk"))</f>
        <v>Medium Risk</v>
      </c>
    </row>
    <row r="15" customFormat="false" ht="15" hidden="false" customHeight="true" outlineLevel="0" collapsed="false">
      <c r="A15" s="20" t="n">
        <f aca="false">'Raw Data'!A15</f>
        <v>14</v>
      </c>
      <c r="B15" s="20" t="n">
        <f aca="false">'Raw Data'!B15</f>
        <v>60</v>
      </c>
      <c r="C15" s="20" t="str">
        <f aca="false">'Raw Data'!C15</f>
        <v>male</v>
      </c>
      <c r="D15" s="20" t="n">
        <f aca="false">'Raw Data'!D15</f>
        <v>1</v>
      </c>
      <c r="E15" s="20" t="str">
        <f aca="false">'Raw Data'!E15</f>
        <v>own</v>
      </c>
      <c r="F15" s="20" t="str">
        <f aca="false">'Raw Data'!F15</f>
        <v>little</v>
      </c>
      <c r="G15" s="20" t="str">
        <f aca="false">'Raw Data'!G15</f>
        <v>little</v>
      </c>
      <c r="H15" s="20" t="n">
        <f aca="false">'Raw Data'!H15</f>
        <v>1199</v>
      </c>
      <c r="I15" s="20" t="n">
        <f aca="false">'Raw Data'!I15</f>
        <v>24</v>
      </c>
      <c r="J15" s="20" t="str">
        <f aca="false">'Raw Data'!J15</f>
        <v>car</v>
      </c>
      <c r="K15" s="21" t="n">
        <f aca="false">H15/I15</f>
        <v>49.9583333333333</v>
      </c>
      <c r="L15" s="21" t="n">
        <f aca="false">100-MIN(K15/Assumptions!$B$14,1)*100</f>
        <v>87.5104166666667</v>
      </c>
      <c r="M15" s="21" t="n">
        <f aca="false">VLOOKUP(F15,Assumptions!$A$19:$B$23,2,0)</f>
        <v>25</v>
      </c>
      <c r="N15" s="21" t="n">
        <f aca="false">VLOOKUP(G15,Assumptions!$A$27:$B$30,2,0)</f>
        <v>25</v>
      </c>
      <c r="O15" s="21" t="n">
        <f aca="false">VLOOKUP(D15,Assumptions!$A$34:$B$37,2,0)</f>
        <v>33</v>
      </c>
      <c r="P15" s="21" t="n">
        <f aca="false">VLOOKUP(E15,Assumptions!$A$41:$B$43,2,0)</f>
        <v>100</v>
      </c>
      <c r="Q15" s="22" t="n">
        <f aca="false">L15*Assumptions!$B$7+M15*Assumptions!$B$8+N15*Assumptions!$B$9+O15*Assumptions!$B$10+P15*Assumptions!$B$11</f>
        <v>52.453125</v>
      </c>
      <c r="R15" s="11" t="str">
        <f aca="false">IF(Q15&lt;=33,"High Risk",IF(Q15&lt;=66,"Medium Risk","Low Risk"))</f>
        <v>Medium Risk</v>
      </c>
    </row>
    <row r="16" customFormat="false" ht="15" hidden="false" customHeight="true" outlineLevel="0" collapsed="false">
      <c r="A16" s="20" t="n">
        <f aca="false">'Raw Data'!A16</f>
        <v>15</v>
      </c>
      <c r="B16" s="20" t="n">
        <f aca="false">'Raw Data'!B16</f>
        <v>28</v>
      </c>
      <c r="C16" s="20" t="str">
        <f aca="false">'Raw Data'!C16</f>
        <v>female</v>
      </c>
      <c r="D16" s="20" t="n">
        <f aca="false">'Raw Data'!D16</f>
        <v>2</v>
      </c>
      <c r="E16" s="20" t="str">
        <f aca="false">'Raw Data'!E16</f>
        <v>rent</v>
      </c>
      <c r="F16" s="20" t="str">
        <f aca="false">'Raw Data'!F16</f>
        <v>little</v>
      </c>
      <c r="G16" s="20" t="str">
        <f aca="false">'Raw Data'!G16</f>
        <v>little</v>
      </c>
      <c r="H16" s="20" t="n">
        <f aca="false">'Raw Data'!H16</f>
        <v>1403</v>
      </c>
      <c r="I16" s="20" t="n">
        <f aca="false">'Raw Data'!I16</f>
        <v>15</v>
      </c>
      <c r="J16" s="20" t="str">
        <f aca="false">'Raw Data'!J16</f>
        <v>car</v>
      </c>
      <c r="K16" s="21" t="n">
        <f aca="false">H16/I16</f>
        <v>93.5333333333333</v>
      </c>
      <c r="L16" s="21" t="n">
        <f aca="false">100-MIN(K16/Assumptions!$B$14,1)*100</f>
        <v>76.6166666666667</v>
      </c>
      <c r="M16" s="21" t="n">
        <f aca="false">VLOOKUP(F16,Assumptions!$A$19:$B$23,2,0)</f>
        <v>25</v>
      </c>
      <c r="N16" s="21" t="n">
        <f aca="false">VLOOKUP(G16,Assumptions!$A$27:$B$30,2,0)</f>
        <v>25</v>
      </c>
      <c r="O16" s="21" t="n">
        <f aca="false">VLOOKUP(D16,Assumptions!$A$34:$B$37,2,0)</f>
        <v>66</v>
      </c>
      <c r="P16" s="21" t="n">
        <f aca="false">VLOOKUP(E16,Assumptions!$A$41:$B$43,2,0)</f>
        <v>30</v>
      </c>
      <c r="Q16" s="22" t="n">
        <f aca="false">L16*Assumptions!$B$7+M16*Assumptions!$B$8+N16*Assumptions!$B$9+O16*Assumptions!$B$10+P16*Assumptions!$B$11</f>
        <v>47.135</v>
      </c>
      <c r="R16" s="11" t="str">
        <f aca="false">IF(Q16&lt;=33,"High Risk",IF(Q16&lt;=66,"Medium Risk","Low Risk"))</f>
        <v>Medium Risk</v>
      </c>
    </row>
    <row r="17" customFormat="false" ht="15" hidden="false" customHeight="true" outlineLevel="0" collapsed="false">
      <c r="A17" s="20" t="n">
        <f aca="false">'Raw Data'!A17</f>
        <v>16</v>
      </c>
      <c r="B17" s="20" t="n">
        <f aca="false">'Raw Data'!B17</f>
        <v>32</v>
      </c>
      <c r="C17" s="20" t="str">
        <f aca="false">'Raw Data'!C17</f>
        <v>female</v>
      </c>
      <c r="D17" s="20" t="n">
        <f aca="false">'Raw Data'!D17</f>
        <v>1</v>
      </c>
      <c r="E17" s="20" t="str">
        <f aca="false">'Raw Data'!E17</f>
        <v>own</v>
      </c>
      <c r="F17" s="20" t="str">
        <f aca="false">'Raw Data'!F17</f>
        <v>moderate</v>
      </c>
      <c r="G17" s="20" t="str">
        <f aca="false">'Raw Data'!G17</f>
        <v>little</v>
      </c>
      <c r="H17" s="20" t="n">
        <f aca="false">'Raw Data'!H17</f>
        <v>1282</v>
      </c>
      <c r="I17" s="20" t="n">
        <f aca="false">'Raw Data'!I17</f>
        <v>24</v>
      </c>
      <c r="J17" s="20" t="str">
        <f aca="false">'Raw Data'!J17</f>
        <v>radio/TV</v>
      </c>
      <c r="K17" s="21" t="n">
        <f aca="false">H17/I17</f>
        <v>53.4166666666667</v>
      </c>
      <c r="L17" s="21" t="n">
        <f aca="false">100-MIN(K17/Assumptions!$B$14,1)*100</f>
        <v>86.6458333333333</v>
      </c>
      <c r="M17" s="21" t="n">
        <f aca="false">VLOOKUP(F17,Assumptions!$A$19:$B$23,2,0)</f>
        <v>50</v>
      </c>
      <c r="N17" s="21" t="n">
        <f aca="false">VLOOKUP(G17,Assumptions!$A$27:$B$30,2,0)</f>
        <v>25</v>
      </c>
      <c r="O17" s="21" t="n">
        <f aca="false">VLOOKUP(D17,Assumptions!$A$34:$B$37,2,0)</f>
        <v>33</v>
      </c>
      <c r="P17" s="21" t="n">
        <f aca="false">VLOOKUP(E17,Assumptions!$A$41:$B$43,2,0)</f>
        <v>100</v>
      </c>
      <c r="Q17" s="22" t="n">
        <f aca="false">L17*Assumptions!$B$7+M17*Assumptions!$B$8+N17*Assumptions!$B$9+O17*Assumptions!$B$10+P17*Assumptions!$B$11</f>
        <v>58.44375</v>
      </c>
      <c r="R17" s="11" t="str">
        <f aca="false">IF(Q17&lt;=33,"High Risk",IF(Q17&lt;=66,"Medium Risk","Low Risk"))</f>
        <v>Medium Risk</v>
      </c>
    </row>
    <row r="18" customFormat="false" ht="15" hidden="false" customHeight="true" outlineLevel="0" collapsed="false">
      <c r="A18" s="20" t="n">
        <f aca="false">'Raw Data'!A18</f>
        <v>17</v>
      </c>
      <c r="B18" s="20" t="n">
        <f aca="false">'Raw Data'!B18</f>
        <v>53</v>
      </c>
      <c r="C18" s="20" t="str">
        <f aca="false">'Raw Data'!C18</f>
        <v>male</v>
      </c>
      <c r="D18" s="20" t="n">
        <f aca="false">'Raw Data'!D18</f>
        <v>2</v>
      </c>
      <c r="E18" s="20" t="str">
        <f aca="false">'Raw Data'!E18</f>
        <v>own</v>
      </c>
      <c r="F18" s="20" t="str">
        <f aca="false">'Raw Data'!F18</f>
        <v>none</v>
      </c>
      <c r="G18" s="20" t="str">
        <f aca="false">'Raw Data'!G18</f>
        <v>none</v>
      </c>
      <c r="H18" s="20" t="n">
        <f aca="false">'Raw Data'!H18</f>
        <v>2424</v>
      </c>
      <c r="I18" s="20" t="n">
        <f aca="false">'Raw Data'!I18</f>
        <v>24</v>
      </c>
      <c r="J18" s="20" t="str">
        <f aca="false">'Raw Data'!J18</f>
        <v>radio/TV</v>
      </c>
      <c r="K18" s="21" t="n">
        <f aca="false">H18/I18</f>
        <v>101</v>
      </c>
      <c r="L18" s="21" t="n">
        <f aca="false">100-MIN(K18/Assumptions!$B$14,1)*100</f>
        <v>74.75</v>
      </c>
      <c r="M18" s="21" t="n">
        <f aca="false">VLOOKUP(F18,Assumptions!$A$19:$B$23,2,0)</f>
        <v>40</v>
      </c>
      <c r="N18" s="21" t="n">
        <f aca="false">VLOOKUP(G18,Assumptions!$A$27:$B$30,2,0)</f>
        <v>50</v>
      </c>
      <c r="O18" s="21" t="n">
        <f aca="false">VLOOKUP(D18,Assumptions!$A$34:$B$37,2,0)</f>
        <v>66</v>
      </c>
      <c r="P18" s="21" t="n">
        <f aca="false">VLOOKUP(E18,Assumptions!$A$41:$B$43,2,0)</f>
        <v>100</v>
      </c>
      <c r="Q18" s="22" t="n">
        <f aca="false">L18*Assumptions!$B$7+M18*Assumptions!$B$8+N18*Assumptions!$B$9+O18*Assumptions!$B$10+P18*Assumptions!$B$11</f>
        <v>62.325</v>
      </c>
      <c r="R18" s="11" t="str">
        <f aca="false">IF(Q18&lt;=33,"High Risk",IF(Q18&lt;=66,"Medium Risk","Low Risk"))</f>
        <v>Medium Risk</v>
      </c>
    </row>
    <row r="19" customFormat="false" ht="15" hidden="false" customHeight="true" outlineLevel="0" collapsed="false">
      <c r="A19" s="20" t="n">
        <f aca="false">'Raw Data'!A19</f>
        <v>18</v>
      </c>
      <c r="B19" s="20" t="n">
        <f aca="false">'Raw Data'!B19</f>
        <v>25</v>
      </c>
      <c r="C19" s="20" t="str">
        <f aca="false">'Raw Data'!C19</f>
        <v>male</v>
      </c>
      <c r="D19" s="20" t="n">
        <f aca="false">'Raw Data'!D19</f>
        <v>2</v>
      </c>
      <c r="E19" s="20" t="str">
        <f aca="false">'Raw Data'!E19</f>
        <v>own</v>
      </c>
      <c r="F19" s="20" t="str">
        <f aca="false">'Raw Data'!F19</f>
        <v>none</v>
      </c>
      <c r="G19" s="20" t="str">
        <f aca="false">'Raw Data'!G19</f>
        <v>little</v>
      </c>
      <c r="H19" s="20" t="n">
        <f aca="false">'Raw Data'!H19</f>
        <v>8072</v>
      </c>
      <c r="I19" s="20" t="n">
        <f aca="false">'Raw Data'!I19</f>
        <v>30</v>
      </c>
      <c r="J19" s="20" t="str">
        <f aca="false">'Raw Data'!J19</f>
        <v>business</v>
      </c>
      <c r="K19" s="21" t="n">
        <f aca="false">H19/I19</f>
        <v>269.066666666667</v>
      </c>
      <c r="L19" s="21" t="n">
        <f aca="false">100-MIN(K19/Assumptions!$B$14,1)*100</f>
        <v>32.7333333333333</v>
      </c>
      <c r="M19" s="21" t="n">
        <f aca="false">VLOOKUP(F19,Assumptions!$A$19:$B$23,2,0)</f>
        <v>40</v>
      </c>
      <c r="N19" s="21" t="n">
        <f aca="false">VLOOKUP(G19,Assumptions!$A$27:$B$30,2,0)</f>
        <v>25</v>
      </c>
      <c r="O19" s="21" t="n">
        <f aca="false">VLOOKUP(D19,Assumptions!$A$34:$B$37,2,0)</f>
        <v>66</v>
      </c>
      <c r="P19" s="21" t="n">
        <f aca="false">VLOOKUP(E19,Assumptions!$A$41:$B$43,2,0)</f>
        <v>100</v>
      </c>
      <c r="Q19" s="22" t="n">
        <f aca="false">L19*Assumptions!$B$7+M19*Assumptions!$B$8+N19*Assumptions!$B$9+O19*Assumptions!$B$10+P19*Assumptions!$B$11</f>
        <v>44.72</v>
      </c>
      <c r="R19" s="11" t="str">
        <f aca="false">IF(Q19&lt;=33,"High Risk",IF(Q19&lt;=66,"Medium Risk","Low Risk"))</f>
        <v>Medium Risk</v>
      </c>
    </row>
    <row r="20" customFormat="false" ht="15" hidden="false" customHeight="true" outlineLevel="0" collapsed="false">
      <c r="A20" s="20" t="n">
        <f aca="false">'Raw Data'!A20</f>
        <v>19</v>
      </c>
      <c r="B20" s="20" t="n">
        <f aca="false">'Raw Data'!B20</f>
        <v>44</v>
      </c>
      <c r="C20" s="20" t="str">
        <f aca="false">'Raw Data'!C20</f>
        <v>female</v>
      </c>
      <c r="D20" s="20" t="n">
        <f aca="false">'Raw Data'!D20</f>
        <v>3</v>
      </c>
      <c r="E20" s="20" t="str">
        <f aca="false">'Raw Data'!E20</f>
        <v>free</v>
      </c>
      <c r="F20" s="20" t="str">
        <f aca="false">'Raw Data'!F20</f>
        <v>little</v>
      </c>
      <c r="G20" s="20" t="str">
        <f aca="false">'Raw Data'!G20</f>
        <v>moderate</v>
      </c>
      <c r="H20" s="20" t="n">
        <f aca="false">'Raw Data'!H20</f>
        <v>12579</v>
      </c>
      <c r="I20" s="20" t="n">
        <f aca="false">'Raw Data'!I20</f>
        <v>24</v>
      </c>
      <c r="J20" s="20" t="str">
        <f aca="false">'Raw Data'!J20</f>
        <v>car</v>
      </c>
      <c r="K20" s="21" t="n">
        <f aca="false">H20/I20</f>
        <v>524.125</v>
      </c>
      <c r="L20" s="21" t="n">
        <f aca="false">100-MIN(K20/Assumptions!$B$14,1)*100</f>
        <v>0</v>
      </c>
      <c r="M20" s="21" t="n">
        <f aca="false">VLOOKUP(F20,Assumptions!$A$19:$B$23,2,0)</f>
        <v>25</v>
      </c>
      <c r="N20" s="21" t="n">
        <f aca="false">VLOOKUP(G20,Assumptions!$A$27:$B$30,2,0)</f>
        <v>60</v>
      </c>
      <c r="O20" s="21" t="n">
        <f aca="false">VLOOKUP(D20,Assumptions!$A$34:$B$37,2,0)</f>
        <v>100</v>
      </c>
      <c r="P20" s="21" t="n">
        <f aca="false">VLOOKUP(E20,Assumptions!$A$41:$B$43,2,0)</f>
        <v>60</v>
      </c>
      <c r="Q20" s="22" t="n">
        <f aca="false">L20*Assumptions!$B$7+M20*Assumptions!$B$8+N20*Assumptions!$B$9+O20*Assumptions!$B$10+P20*Assumptions!$B$11</f>
        <v>39.25</v>
      </c>
      <c r="R20" s="11" t="str">
        <f aca="false">IF(Q20&lt;=33,"High Risk",IF(Q20&lt;=66,"Medium Risk","Low Risk"))</f>
        <v>Medium Risk</v>
      </c>
    </row>
    <row r="21" customFormat="false" ht="15" hidden="false" customHeight="true" outlineLevel="0" collapsed="false">
      <c r="A21" s="20" t="n">
        <f aca="false">'Raw Data'!A21</f>
        <v>20</v>
      </c>
      <c r="B21" s="20" t="n">
        <f aca="false">'Raw Data'!B21</f>
        <v>31</v>
      </c>
      <c r="C21" s="20" t="str">
        <f aca="false">'Raw Data'!C21</f>
        <v>male</v>
      </c>
      <c r="D21" s="20" t="n">
        <f aca="false">'Raw Data'!D21</f>
        <v>2</v>
      </c>
      <c r="E21" s="20" t="str">
        <f aca="false">'Raw Data'!E21</f>
        <v>own</v>
      </c>
      <c r="F21" s="20" t="str">
        <f aca="false">'Raw Data'!F21</f>
        <v>quite rich</v>
      </c>
      <c r="G21" s="20" t="str">
        <f aca="false">'Raw Data'!G21</f>
        <v>none</v>
      </c>
      <c r="H21" s="20" t="n">
        <f aca="false">'Raw Data'!H21</f>
        <v>3430</v>
      </c>
      <c r="I21" s="20" t="n">
        <f aca="false">'Raw Data'!I21</f>
        <v>24</v>
      </c>
      <c r="J21" s="20" t="str">
        <f aca="false">'Raw Data'!J21</f>
        <v>radio/TV</v>
      </c>
      <c r="K21" s="21" t="n">
        <f aca="false">H21/I21</f>
        <v>142.916666666667</v>
      </c>
      <c r="L21" s="21" t="n">
        <f aca="false">100-MIN(K21/Assumptions!$B$14,1)*100</f>
        <v>64.2708333333333</v>
      </c>
      <c r="M21" s="21" t="n">
        <f aca="false">VLOOKUP(F21,Assumptions!$A$19:$B$23,2,0)</f>
        <v>75</v>
      </c>
      <c r="N21" s="21" t="n">
        <f aca="false">VLOOKUP(G21,Assumptions!$A$27:$B$30,2,0)</f>
        <v>50</v>
      </c>
      <c r="O21" s="21" t="n">
        <f aca="false">VLOOKUP(D21,Assumptions!$A$34:$B$37,2,0)</f>
        <v>66</v>
      </c>
      <c r="P21" s="21" t="n">
        <f aca="false">VLOOKUP(E21,Assumptions!$A$41:$B$43,2,0)</f>
        <v>100</v>
      </c>
      <c r="Q21" s="22" t="n">
        <f aca="false">L21*Assumptions!$B$7+M21*Assumptions!$B$8+N21*Assumptions!$B$9+O21*Assumptions!$B$10+P21*Assumptions!$B$11</f>
        <v>67.93125</v>
      </c>
      <c r="R21" s="11" t="str">
        <f aca="false">IF(Q21&lt;=33,"High Risk",IF(Q21&lt;=66,"Medium Risk","Low Risk"))</f>
        <v>Low Risk</v>
      </c>
    </row>
    <row r="22" customFormat="false" ht="15" hidden="false" customHeight="true" outlineLevel="0" collapsed="false">
      <c r="A22" s="20" t="n">
        <f aca="false">'Raw Data'!A22</f>
        <v>21</v>
      </c>
      <c r="B22" s="20" t="n">
        <f aca="false">'Raw Data'!B22</f>
        <v>48</v>
      </c>
      <c r="C22" s="20" t="str">
        <f aca="false">'Raw Data'!C22</f>
        <v>male</v>
      </c>
      <c r="D22" s="20" t="n">
        <f aca="false">'Raw Data'!D22</f>
        <v>2</v>
      </c>
      <c r="E22" s="20" t="str">
        <f aca="false">'Raw Data'!E22</f>
        <v>own</v>
      </c>
      <c r="F22" s="20" t="str">
        <f aca="false">'Raw Data'!F22</f>
        <v>little</v>
      </c>
      <c r="G22" s="20" t="str">
        <f aca="false">'Raw Data'!G22</f>
        <v>none</v>
      </c>
      <c r="H22" s="20" t="n">
        <f aca="false">'Raw Data'!H22</f>
        <v>2134</v>
      </c>
      <c r="I22" s="20" t="n">
        <f aca="false">'Raw Data'!I22</f>
        <v>9</v>
      </c>
      <c r="J22" s="20" t="str">
        <f aca="false">'Raw Data'!J22</f>
        <v>car</v>
      </c>
      <c r="K22" s="21" t="n">
        <f aca="false">H22/I22</f>
        <v>237.111111111111</v>
      </c>
      <c r="L22" s="21" t="n">
        <f aca="false">100-MIN(K22/Assumptions!$B$14,1)*100</f>
        <v>40.7222222222222</v>
      </c>
      <c r="M22" s="21" t="n">
        <f aca="false">VLOOKUP(F22,Assumptions!$A$19:$B$23,2,0)</f>
        <v>25</v>
      </c>
      <c r="N22" s="21" t="n">
        <f aca="false">VLOOKUP(G22,Assumptions!$A$27:$B$30,2,0)</f>
        <v>50</v>
      </c>
      <c r="O22" s="21" t="n">
        <f aca="false">VLOOKUP(D22,Assumptions!$A$34:$B$37,2,0)</f>
        <v>66</v>
      </c>
      <c r="P22" s="21" t="n">
        <f aca="false">VLOOKUP(E22,Assumptions!$A$41:$B$43,2,0)</f>
        <v>100</v>
      </c>
      <c r="Q22" s="22" t="n">
        <f aca="false">L22*Assumptions!$B$7+M22*Assumptions!$B$8+N22*Assumptions!$B$9+O22*Assumptions!$B$10+P22*Assumptions!$B$11</f>
        <v>48.3666666666667</v>
      </c>
      <c r="R22" s="11" t="str">
        <f aca="false">IF(Q22&lt;=33,"High Risk",IF(Q22&lt;=66,"Medium Risk","Low Risk"))</f>
        <v>Medium Risk</v>
      </c>
    </row>
    <row r="23" customFormat="false" ht="15" hidden="false" customHeight="true" outlineLevel="0" collapsed="false">
      <c r="A23" s="20" t="n">
        <f aca="false">'Raw Data'!A23</f>
        <v>22</v>
      </c>
      <c r="B23" s="20" t="n">
        <f aca="false">'Raw Data'!B23</f>
        <v>44</v>
      </c>
      <c r="C23" s="20" t="str">
        <f aca="false">'Raw Data'!C23</f>
        <v>male</v>
      </c>
      <c r="D23" s="20" t="n">
        <f aca="false">'Raw Data'!D23</f>
        <v>2</v>
      </c>
      <c r="E23" s="20" t="str">
        <f aca="false">'Raw Data'!E23</f>
        <v>rent</v>
      </c>
      <c r="F23" s="20" t="str">
        <f aca="false">'Raw Data'!F23</f>
        <v>quite rich</v>
      </c>
      <c r="G23" s="20" t="str">
        <f aca="false">'Raw Data'!G23</f>
        <v>little</v>
      </c>
      <c r="H23" s="20" t="n">
        <f aca="false">'Raw Data'!H23</f>
        <v>2647</v>
      </c>
      <c r="I23" s="20" t="n">
        <f aca="false">'Raw Data'!I23</f>
        <v>6</v>
      </c>
      <c r="J23" s="20" t="str">
        <f aca="false">'Raw Data'!J23</f>
        <v>radio/TV</v>
      </c>
      <c r="K23" s="21" t="n">
        <f aca="false">H23/I23</f>
        <v>441.166666666667</v>
      </c>
      <c r="L23" s="21" t="n">
        <f aca="false">100-MIN(K23/Assumptions!$B$14,1)*100</f>
        <v>0</v>
      </c>
      <c r="M23" s="21" t="n">
        <f aca="false">VLOOKUP(F23,Assumptions!$A$19:$B$23,2,0)</f>
        <v>75</v>
      </c>
      <c r="N23" s="21" t="n">
        <f aca="false">VLOOKUP(G23,Assumptions!$A$27:$B$30,2,0)</f>
        <v>25</v>
      </c>
      <c r="O23" s="21" t="n">
        <f aca="false">VLOOKUP(D23,Assumptions!$A$34:$B$37,2,0)</f>
        <v>66</v>
      </c>
      <c r="P23" s="21" t="n">
        <f aca="false">VLOOKUP(E23,Assumptions!$A$41:$B$43,2,0)</f>
        <v>30</v>
      </c>
      <c r="Q23" s="22" t="n">
        <f aca="false">L23*Assumptions!$B$7+M23*Assumptions!$B$8+N23*Assumptions!$B$9+O23*Assumptions!$B$10+P23*Assumptions!$B$11</f>
        <v>36.65</v>
      </c>
      <c r="R23" s="11" t="str">
        <f aca="false">IF(Q23&lt;=33,"High Risk",IF(Q23&lt;=66,"Medium Risk","Low Risk"))</f>
        <v>Medium Risk</v>
      </c>
    </row>
    <row r="24" customFormat="false" ht="15" hidden="false" customHeight="true" outlineLevel="0" collapsed="false">
      <c r="A24" s="20" t="n">
        <f aca="false">'Raw Data'!A24</f>
        <v>23</v>
      </c>
      <c r="B24" s="20" t="n">
        <f aca="false">'Raw Data'!B24</f>
        <v>48</v>
      </c>
      <c r="C24" s="20" t="str">
        <f aca="false">'Raw Data'!C24</f>
        <v>male</v>
      </c>
      <c r="D24" s="20" t="n">
        <f aca="false">'Raw Data'!D24</f>
        <v>1</v>
      </c>
      <c r="E24" s="20" t="str">
        <f aca="false">'Raw Data'!E24</f>
        <v>rent</v>
      </c>
      <c r="F24" s="20" t="str">
        <f aca="false">'Raw Data'!F24</f>
        <v>little</v>
      </c>
      <c r="G24" s="20" t="str">
        <f aca="false">'Raw Data'!G24</f>
        <v>little</v>
      </c>
      <c r="H24" s="20" t="n">
        <f aca="false">'Raw Data'!H24</f>
        <v>2241</v>
      </c>
      <c r="I24" s="20" t="n">
        <f aca="false">'Raw Data'!I24</f>
        <v>10</v>
      </c>
      <c r="J24" s="20" t="str">
        <f aca="false">'Raw Data'!J24</f>
        <v>car</v>
      </c>
      <c r="K24" s="21" t="n">
        <f aca="false">H24/I24</f>
        <v>224.1</v>
      </c>
      <c r="L24" s="21" t="n">
        <f aca="false">100-MIN(K24/Assumptions!$B$14,1)*100</f>
        <v>43.975</v>
      </c>
      <c r="M24" s="21" t="n">
        <f aca="false">VLOOKUP(F24,Assumptions!$A$19:$B$23,2,0)</f>
        <v>25</v>
      </c>
      <c r="N24" s="21" t="n">
        <f aca="false">VLOOKUP(G24,Assumptions!$A$27:$B$30,2,0)</f>
        <v>25</v>
      </c>
      <c r="O24" s="21" t="n">
        <f aca="false">VLOOKUP(D24,Assumptions!$A$34:$B$37,2,0)</f>
        <v>33</v>
      </c>
      <c r="P24" s="21" t="n">
        <f aca="false">VLOOKUP(E24,Assumptions!$A$41:$B$43,2,0)</f>
        <v>30</v>
      </c>
      <c r="Q24" s="22" t="n">
        <f aca="false">L24*Assumptions!$B$7+M24*Assumptions!$B$8+N24*Assumptions!$B$9+O24*Assumptions!$B$10+P24*Assumptions!$B$11</f>
        <v>32.3925</v>
      </c>
      <c r="R24" s="11" t="str">
        <f aca="false">IF(Q24&lt;=33,"High Risk",IF(Q24&lt;=66,"Medium Risk","Low Risk"))</f>
        <v>High Risk</v>
      </c>
    </row>
    <row r="25" customFormat="false" ht="15" hidden="false" customHeight="true" outlineLevel="0" collapsed="false">
      <c r="A25" s="20" t="n">
        <f aca="false">'Raw Data'!A25</f>
        <v>24</v>
      </c>
      <c r="B25" s="20" t="n">
        <f aca="false">'Raw Data'!B25</f>
        <v>44</v>
      </c>
      <c r="C25" s="20" t="str">
        <f aca="false">'Raw Data'!C25</f>
        <v>male</v>
      </c>
      <c r="D25" s="20" t="n">
        <f aca="false">'Raw Data'!D25</f>
        <v>2</v>
      </c>
      <c r="E25" s="20" t="str">
        <f aca="false">'Raw Data'!E25</f>
        <v>own</v>
      </c>
      <c r="F25" s="20" t="str">
        <f aca="false">'Raw Data'!F25</f>
        <v>moderate</v>
      </c>
      <c r="G25" s="20" t="str">
        <f aca="false">'Raw Data'!G25</f>
        <v>moderate</v>
      </c>
      <c r="H25" s="20" t="n">
        <f aca="false">'Raw Data'!H25</f>
        <v>1804</v>
      </c>
      <c r="I25" s="20" t="n">
        <f aca="false">'Raw Data'!I25</f>
        <v>12</v>
      </c>
      <c r="J25" s="20" t="str">
        <f aca="false">'Raw Data'!J25</f>
        <v>car</v>
      </c>
      <c r="K25" s="21" t="n">
        <f aca="false">H25/I25</f>
        <v>150.333333333333</v>
      </c>
      <c r="L25" s="21" t="n">
        <f aca="false">100-MIN(K25/Assumptions!$B$14,1)*100</f>
        <v>62.4166666666667</v>
      </c>
      <c r="M25" s="21" t="n">
        <f aca="false">VLOOKUP(F25,Assumptions!$A$19:$B$23,2,0)</f>
        <v>50</v>
      </c>
      <c r="N25" s="21" t="n">
        <f aca="false">VLOOKUP(G25,Assumptions!$A$27:$B$30,2,0)</f>
        <v>60</v>
      </c>
      <c r="O25" s="21" t="n">
        <f aca="false">VLOOKUP(D25,Assumptions!$A$34:$B$37,2,0)</f>
        <v>66</v>
      </c>
      <c r="P25" s="21" t="n">
        <f aca="false">VLOOKUP(E25,Assumptions!$A$41:$B$43,2,0)</f>
        <v>100</v>
      </c>
      <c r="Q25" s="22" t="n">
        <f aca="false">L25*Assumptions!$B$7+M25*Assumptions!$B$8+N25*Assumptions!$B$9+O25*Assumptions!$B$10+P25*Assumptions!$B$11</f>
        <v>63.125</v>
      </c>
      <c r="R25" s="11" t="str">
        <f aca="false">IF(Q25&lt;=33,"High Risk",IF(Q25&lt;=66,"Medium Risk","Low Risk"))</f>
        <v>Medium Risk</v>
      </c>
    </row>
    <row r="26" customFormat="false" ht="15" hidden="false" customHeight="true" outlineLevel="0" collapsed="false">
      <c r="A26" s="20" t="n">
        <f aca="false">'Raw Data'!A26</f>
        <v>25</v>
      </c>
      <c r="B26" s="20" t="n">
        <f aca="false">'Raw Data'!B26</f>
        <v>26</v>
      </c>
      <c r="C26" s="20" t="str">
        <f aca="false">'Raw Data'!C26</f>
        <v>male</v>
      </c>
      <c r="D26" s="20" t="n">
        <f aca="false">'Raw Data'!D26</f>
        <v>2</v>
      </c>
      <c r="E26" s="20" t="str">
        <f aca="false">'Raw Data'!E26</f>
        <v>own</v>
      </c>
      <c r="F26" s="20" t="str">
        <f aca="false">'Raw Data'!F26</f>
        <v>none</v>
      </c>
      <c r="G26" s="20" t="str">
        <f aca="false">'Raw Data'!G26</f>
        <v>none</v>
      </c>
      <c r="H26" s="20" t="n">
        <f aca="false">'Raw Data'!H26</f>
        <v>2069</v>
      </c>
      <c r="I26" s="20" t="n">
        <f aca="false">'Raw Data'!I26</f>
        <v>10</v>
      </c>
      <c r="J26" s="20" t="str">
        <f aca="false">'Raw Data'!J26</f>
        <v>furniture/equipment</v>
      </c>
      <c r="K26" s="21" t="n">
        <f aca="false">H26/I26</f>
        <v>206.9</v>
      </c>
      <c r="L26" s="21" t="n">
        <f aca="false">100-MIN(K26/Assumptions!$B$14,1)*100</f>
        <v>48.275</v>
      </c>
      <c r="M26" s="21" t="n">
        <f aca="false">VLOOKUP(F26,Assumptions!$A$19:$B$23,2,0)</f>
        <v>40</v>
      </c>
      <c r="N26" s="21" t="n">
        <f aca="false">VLOOKUP(G26,Assumptions!$A$27:$B$30,2,0)</f>
        <v>50</v>
      </c>
      <c r="O26" s="21" t="n">
        <f aca="false">VLOOKUP(D26,Assumptions!$A$34:$B$37,2,0)</f>
        <v>66</v>
      </c>
      <c r="P26" s="21" t="n">
        <f aca="false">VLOOKUP(E26,Assumptions!$A$41:$B$43,2,0)</f>
        <v>100</v>
      </c>
      <c r="Q26" s="22" t="n">
        <f aca="false">L26*Assumptions!$B$7+M26*Assumptions!$B$8+N26*Assumptions!$B$9+O26*Assumptions!$B$10+P26*Assumptions!$B$11</f>
        <v>54.3825</v>
      </c>
      <c r="R26" s="11" t="str">
        <f aca="false">IF(Q26&lt;=33,"High Risk",IF(Q26&lt;=66,"Medium Risk","Low Risk"))</f>
        <v>Medium Risk</v>
      </c>
    </row>
    <row r="27" customFormat="false" ht="15" hidden="false" customHeight="true" outlineLevel="0" collapsed="false">
      <c r="A27" s="20" t="n">
        <f aca="false">'Raw Data'!A27</f>
        <v>26</v>
      </c>
      <c r="B27" s="20" t="n">
        <f aca="false">'Raw Data'!B27</f>
        <v>36</v>
      </c>
      <c r="C27" s="20" t="str">
        <f aca="false">'Raw Data'!C27</f>
        <v>male</v>
      </c>
      <c r="D27" s="20" t="n">
        <f aca="false">'Raw Data'!D27</f>
        <v>1</v>
      </c>
      <c r="E27" s="20" t="str">
        <f aca="false">'Raw Data'!E27</f>
        <v>own</v>
      </c>
      <c r="F27" s="20" t="str">
        <f aca="false">'Raw Data'!F27</f>
        <v>little</v>
      </c>
      <c r="G27" s="20" t="str">
        <f aca="false">'Raw Data'!G27</f>
        <v>little</v>
      </c>
      <c r="H27" s="20" t="n">
        <f aca="false">'Raw Data'!H27</f>
        <v>1374</v>
      </c>
      <c r="I27" s="20" t="n">
        <f aca="false">'Raw Data'!I27</f>
        <v>6</v>
      </c>
      <c r="J27" s="20" t="str">
        <f aca="false">'Raw Data'!J27</f>
        <v>furniture/equipment</v>
      </c>
      <c r="K27" s="21" t="n">
        <f aca="false">H27/I27</f>
        <v>229</v>
      </c>
      <c r="L27" s="21" t="n">
        <f aca="false">100-MIN(K27/Assumptions!$B$14,1)*100</f>
        <v>42.75</v>
      </c>
      <c r="M27" s="21" t="n">
        <f aca="false">VLOOKUP(F27,Assumptions!$A$19:$B$23,2,0)</f>
        <v>25</v>
      </c>
      <c r="N27" s="21" t="n">
        <f aca="false">VLOOKUP(G27,Assumptions!$A$27:$B$30,2,0)</f>
        <v>25</v>
      </c>
      <c r="O27" s="21" t="n">
        <f aca="false">VLOOKUP(D27,Assumptions!$A$34:$B$37,2,0)</f>
        <v>33</v>
      </c>
      <c r="P27" s="21" t="n">
        <f aca="false">VLOOKUP(E27,Assumptions!$A$41:$B$43,2,0)</f>
        <v>100</v>
      </c>
      <c r="Q27" s="22" t="n">
        <f aca="false">L27*Assumptions!$B$7+M27*Assumptions!$B$8+N27*Assumptions!$B$9+O27*Assumptions!$B$10+P27*Assumptions!$B$11</f>
        <v>39.025</v>
      </c>
      <c r="R27" s="11" t="str">
        <f aca="false">IF(Q27&lt;=33,"High Risk",IF(Q27&lt;=66,"Medium Risk","Low Risk"))</f>
        <v>Medium Risk</v>
      </c>
    </row>
    <row r="28" customFormat="false" ht="15" hidden="false" customHeight="true" outlineLevel="0" collapsed="false">
      <c r="A28" s="20" t="n">
        <f aca="false">'Raw Data'!A28</f>
        <v>27</v>
      </c>
      <c r="B28" s="20" t="n">
        <f aca="false">'Raw Data'!B28</f>
        <v>39</v>
      </c>
      <c r="C28" s="20" t="str">
        <f aca="false">'Raw Data'!C28</f>
        <v>male</v>
      </c>
      <c r="D28" s="20" t="n">
        <f aca="false">'Raw Data'!D28</f>
        <v>1</v>
      </c>
      <c r="E28" s="20" t="str">
        <f aca="false">'Raw Data'!E28</f>
        <v>own</v>
      </c>
      <c r="F28" s="20" t="str">
        <f aca="false">'Raw Data'!F28</f>
        <v>little</v>
      </c>
      <c r="G28" s="20" t="str">
        <f aca="false">'Raw Data'!G28</f>
        <v>none</v>
      </c>
      <c r="H28" s="20" t="n">
        <f aca="false">'Raw Data'!H28</f>
        <v>426</v>
      </c>
      <c r="I28" s="20" t="n">
        <f aca="false">'Raw Data'!I28</f>
        <v>6</v>
      </c>
      <c r="J28" s="20" t="str">
        <f aca="false">'Raw Data'!J28</f>
        <v>radio/TV</v>
      </c>
      <c r="K28" s="21" t="n">
        <f aca="false">H28/I28</f>
        <v>71</v>
      </c>
      <c r="L28" s="21" t="n">
        <f aca="false">100-MIN(K28/Assumptions!$B$14,1)*100</f>
        <v>82.25</v>
      </c>
      <c r="M28" s="21" t="n">
        <f aca="false">VLOOKUP(F28,Assumptions!$A$19:$B$23,2,0)</f>
        <v>25</v>
      </c>
      <c r="N28" s="21" t="n">
        <f aca="false">VLOOKUP(G28,Assumptions!$A$27:$B$30,2,0)</f>
        <v>50</v>
      </c>
      <c r="O28" s="21" t="n">
        <f aca="false">VLOOKUP(D28,Assumptions!$A$34:$B$37,2,0)</f>
        <v>33</v>
      </c>
      <c r="P28" s="21" t="n">
        <f aca="false">VLOOKUP(E28,Assumptions!$A$41:$B$43,2,0)</f>
        <v>100</v>
      </c>
      <c r="Q28" s="22" t="n">
        <f aca="false">L28*Assumptions!$B$7+M28*Assumptions!$B$8+N28*Assumptions!$B$9+O28*Assumptions!$B$10+P28*Assumptions!$B$11</f>
        <v>55.875</v>
      </c>
      <c r="R28" s="11" t="str">
        <f aca="false">IF(Q28&lt;=33,"High Risk",IF(Q28&lt;=66,"Medium Risk","Low Risk"))</f>
        <v>Medium Risk</v>
      </c>
    </row>
    <row r="29" customFormat="false" ht="15" hidden="false" customHeight="true" outlineLevel="0" collapsed="false">
      <c r="A29" s="20" t="n">
        <f aca="false">'Raw Data'!A29</f>
        <v>28</v>
      </c>
      <c r="B29" s="20" t="n">
        <f aca="false">'Raw Data'!B29</f>
        <v>42</v>
      </c>
      <c r="C29" s="20" t="str">
        <f aca="false">'Raw Data'!C29</f>
        <v>female</v>
      </c>
      <c r="D29" s="20" t="n">
        <f aca="false">'Raw Data'!D29</f>
        <v>2</v>
      </c>
      <c r="E29" s="20" t="str">
        <f aca="false">'Raw Data'!E29</f>
        <v>rent</v>
      </c>
      <c r="F29" s="20" t="str">
        <f aca="false">'Raw Data'!F29</f>
        <v>rich</v>
      </c>
      <c r="G29" s="20" t="str">
        <f aca="false">'Raw Data'!G29</f>
        <v>rich</v>
      </c>
      <c r="H29" s="20" t="n">
        <f aca="false">'Raw Data'!H29</f>
        <v>409</v>
      </c>
      <c r="I29" s="20" t="n">
        <f aca="false">'Raw Data'!I29</f>
        <v>12</v>
      </c>
      <c r="J29" s="20" t="str">
        <f aca="false">'Raw Data'!J29</f>
        <v>radio/TV</v>
      </c>
      <c r="K29" s="21" t="n">
        <f aca="false">H29/I29</f>
        <v>34.0833333333333</v>
      </c>
      <c r="L29" s="21" t="n">
        <f aca="false">100-MIN(K29/Assumptions!$B$14,1)*100</f>
        <v>91.4791666666667</v>
      </c>
      <c r="M29" s="21" t="n">
        <f aca="false">VLOOKUP(F29,Assumptions!$A$19:$B$23,2,0)</f>
        <v>100</v>
      </c>
      <c r="N29" s="21" t="n">
        <f aca="false">VLOOKUP(G29,Assumptions!$A$27:$B$30,2,0)</f>
        <v>100</v>
      </c>
      <c r="O29" s="21" t="n">
        <f aca="false">VLOOKUP(D29,Assumptions!$A$34:$B$37,2,0)</f>
        <v>66</v>
      </c>
      <c r="P29" s="21" t="n">
        <f aca="false">VLOOKUP(E29,Assumptions!$A$41:$B$43,2,0)</f>
        <v>30</v>
      </c>
      <c r="Q29" s="22" t="n">
        <f aca="false">L29*Assumptions!$B$7+M29*Assumptions!$B$8+N29*Assumptions!$B$9+O29*Assumptions!$B$10+P29*Assumptions!$B$11</f>
        <v>85.34375</v>
      </c>
      <c r="R29" s="11" t="str">
        <f aca="false">IF(Q29&lt;=33,"High Risk",IF(Q29&lt;=66,"Medium Risk","Low Risk"))</f>
        <v>Low Risk</v>
      </c>
    </row>
    <row r="30" customFormat="false" ht="15" hidden="false" customHeight="true" outlineLevel="0" collapsed="false">
      <c r="A30" s="20" t="n">
        <f aca="false">'Raw Data'!A30</f>
        <v>29</v>
      </c>
      <c r="B30" s="20" t="n">
        <f aca="false">'Raw Data'!B30</f>
        <v>34</v>
      </c>
      <c r="C30" s="20" t="str">
        <f aca="false">'Raw Data'!C30</f>
        <v>male</v>
      </c>
      <c r="D30" s="20" t="n">
        <f aca="false">'Raw Data'!D30</f>
        <v>2</v>
      </c>
      <c r="E30" s="20" t="str">
        <f aca="false">'Raw Data'!E30</f>
        <v>own</v>
      </c>
      <c r="F30" s="20" t="str">
        <f aca="false">'Raw Data'!F30</f>
        <v>little</v>
      </c>
      <c r="G30" s="20" t="str">
        <f aca="false">'Raw Data'!G30</f>
        <v>moderate</v>
      </c>
      <c r="H30" s="20" t="n">
        <f aca="false">'Raw Data'!H30</f>
        <v>2415</v>
      </c>
      <c r="I30" s="20" t="n">
        <f aca="false">'Raw Data'!I30</f>
        <v>7</v>
      </c>
      <c r="J30" s="20" t="str">
        <f aca="false">'Raw Data'!J30</f>
        <v>radio/TV</v>
      </c>
      <c r="K30" s="21" t="n">
        <f aca="false">H30/I30</f>
        <v>345</v>
      </c>
      <c r="L30" s="21" t="n">
        <f aca="false">100-MIN(K30/Assumptions!$B$14,1)*100</f>
        <v>13.75</v>
      </c>
      <c r="M30" s="21" t="n">
        <f aca="false">VLOOKUP(F30,Assumptions!$A$19:$B$23,2,0)</f>
        <v>25</v>
      </c>
      <c r="N30" s="21" t="n">
        <f aca="false">VLOOKUP(G30,Assumptions!$A$27:$B$30,2,0)</f>
        <v>60</v>
      </c>
      <c r="O30" s="21" t="n">
        <f aca="false">VLOOKUP(D30,Assumptions!$A$34:$B$37,2,0)</f>
        <v>66</v>
      </c>
      <c r="P30" s="21" t="n">
        <f aca="false">VLOOKUP(E30,Assumptions!$A$41:$B$43,2,0)</f>
        <v>100</v>
      </c>
      <c r="Q30" s="22" t="n">
        <f aca="false">L30*Assumptions!$B$7+M30*Assumptions!$B$8+N30*Assumptions!$B$9+O30*Assumptions!$B$10+P30*Assumptions!$B$11</f>
        <v>42.275</v>
      </c>
      <c r="R30" s="11" t="str">
        <f aca="false">IF(Q30&lt;=33,"High Risk",IF(Q30&lt;=66,"Medium Risk","Low Risk"))</f>
        <v>Medium Risk</v>
      </c>
    </row>
    <row r="31" customFormat="false" ht="15" hidden="false" customHeight="true" outlineLevel="0" collapsed="false">
      <c r="A31" s="20" t="n">
        <f aca="false">'Raw Data'!A31</f>
        <v>30</v>
      </c>
      <c r="B31" s="20" t="n">
        <f aca="false">'Raw Data'!B31</f>
        <v>63</v>
      </c>
      <c r="C31" s="20" t="str">
        <f aca="false">'Raw Data'!C31</f>
        <v>male</v>
      </c>
      <c r="D31" s="20" t="n">
        <f aca="false">'Raw Data'!D31</f>
        <v>2</v>
      </c>
      <c r="E31" s="20" t="str">
        <f aca="false">'Raw Data'!E31</f>
        <v>own</v>
      </c>
      <c r="F31" s="20" t="str">
        <f aca="false">'Raw Data'!F31</f>
        <v>little</v>
      </c>
      <c r="G31" s="20" t="str">
        <f aca="false">'Raw Data'!G31</f>
        <v>little</v>
      </c>
      <c r="H31" s="20" t="n">
        <f aca="false">'Raw Data'!H31</f>
        <v>6836</v>
      </c>
      <c r="I31" s="20" t="n">
        <f aca="false">'Raw Data'!I31</f>
        <v>60</v>
      </c>
      <c r="J31" s="20" t="str">
        <f aca="false">'Raw Data'!J31</f>
        <v>business</v>
      </c>
      <c r="K31" s="21" t="n">
        <f aca="false">H31/I31</f>
        <v>113.933333333333</v>
      </c>
      <c r="L31" s="21" t="n">
        <f aca="false">100-MIN(K31/Assumptions!$B$14,1)*100</f>
        <v>71.5166666666667</v>
      </c>
      <c r="M31" s="21" t="n">
        <f aca="false">VLOOKUP(F31,Assumptions!$A$19:$B$23,2,0)</f>
        <v>25</v>
      </c>
      <c r="N31" s="21" t="n">
        <f aca="false">VLOOKUP(G31,Assumptions!$A$27:$B$30,2,0)</f>
        <v>25</v>
      </c>
      <c r="O31" s="21" t="n">
        <f aca="false">VLOOKUP(D31,Assumptions!$A$34:$B$37,2,0)</f>
        <v>66</v>
      </c>
      <c r="P31" s="21" t="n">
        <f aca="false">VLOOKUP(E31,Assumptions!$A$41:$B$43,2,0)</f>
        <v>100</v>
      </c>
      <c r="Q31" s="22" t="n">
        <f aca="false">L31*Assumptions!$B$7+M31*Assumptions!$B$8+N31*Assumptions!$B$9+O31*Assumptions!$B$10+P31*Assumptions!$B$11</f>
        <v>52.605</v>
      </c>
      <c r="R31" s="11" t="str">
        <f aca="false">IF(Q31&lt;=33,"High Risk",IF(Q31&lt;=66,"Medium Risk","Low Risk"))</f>
        <v>Medium Risk</v>
      </c>
    </row>
    <row r="32" customFormat="false" ht="15" hidden="false" customHeight="true" outlineLevel="0" collapsed="false">
      <c r="A32" s="20" t="n">
        <f aca="false">'Raw Data'!A32</f>
        <v>31</v>
      </c>
      <c r="B32" s="20" t="n">
        <f aca="false">'Raw Data'!B32</f>
        <v>36</v>
      </c>
      <c r="C32" s="20" t="str">
        <f aca="false">'Raw Data'!C32</f>
        <v>male</v>
      </c>
      <c r="D32" s="20" t="n">
        <f aca="false">'Raw Data'!D32</f>
        <v>2</v>
      </c>
      <c r="E32" s="20" t="str">
        <f aca="false">'Raw Data'!E32</f>
        <v>own</v>
      </c>
      <c r="F32" s="20" t="str">
        <f aca="false">'Raw Data'!F32</f>
        <v>rich</v>
      </c>
      <c r="G32" s="20" t="str">
        <f aca="false">'Raw Data'!G32</f>
        <v>moderate</v>
      </c>
      <c r="H32" s="20" t="n">
        <f aca="false">'Raw Data'!H32</f>
        <v>1913</v>
      </c>
      <c r="I32" s="20" t="n">
        <f aca="false">'Raw Data'!I32</f>
        <v>18</v>
      </c>
      <c r="J32" s="20" t="str">
        <f aca="false">'Raw Data'!J32</f>
        <v>business</v>
      </c>
      <c r="K32" s="21" t="n">
        <f aca="false">H32/I32</f>
        <v>106.277777777778</v>
      </c>
      <c r="L32" s="21" t="n">
        <f aca="false">100-MIN(K32/Assumptions!$B$14,1)*100</f>
        <v>73.4305555555556</v>
      </c>
      <c r="M32" s="21" t="n">
        <f aca="false">VLOOKUP(F32,Assumptions!$A$19:$B$23,2,0)</f>
        <v>100</v>
      </c>
      <c r="N32" s="21" t="n">
        <f aca="false">VLOOKUP(G32,Assumptions!$A$27:$B$30,2,0)</f>
        <v>60</v>
      </c>
      <c r="O32" s="21" t="n">
        <f aca="false">VLOOKUP(D32,Assumptions!$A$34:$B$37,2,0)</f>
        <v>66</v>
      </c>
      <c r="P32" s="21" t="n">
        <f aca="false">VLOOKUP(E32,Assumptions!$A$41:$B$43,2,0)</f>
        <v>100</v>
      </c>
      <c r="Q32" s="22" t="n">
        <f aca="false">L32*Assumptions!$B$7+M32*Assumptions!$B$8+N32*Assumptions!$B$9+O32*Assumptions!$B$10+P32*Assumptions!$B$11</f>
        <v>78.9291666666667</v>
      </c>
      <c r="R32" s="11" t="str">
        <f aca="false">IF(Q32&lt;=33,"High Risk",IF(Q32&lt;=66,"Medium Risk","Low Risk"))</f>
        <v>Low Risk</v>
      </c>
    </row>
    <row r="33" customFormat="false" ht="15" hidden="false" customHeight="true" outlineLevel="0" collapsed="false">
      <c r="A33" s="20" t="n">
        <f aca="false">'Raw Data'!A33</f>
        <v>32</v>
      </c>
      <c r="B33" s="20" t="n">
        <f aca="false">'Raw Data'!B33</f>
        <v>27</v>
      </c>
      <c r="C33" s="20" t="str">
        <f aca="false">'Raw Data'!C33</f>
        <v>male</v>
      </c>
      <c r="D33" s="20" t="n">
        <f aca="false">'Raw Data'!D33</f>
        <v>2</v>
      </c>
      <c r="E33" s="20" t="str">
        <f aca="false">'Raw Data'!E33</f>
        <v>own</v>
      </c>
      <c r="F33" s="20" t="str">
        <f aca="false">'Raw Data'!F33</f>
        <v>little</v>
      </c>
      <c r="G33" s="20" t="str">
        <f aca="false">'Raw Data'!G33</f>
        <v>little</v>
      </c>
      <c r="H33" s="20" t="n">
        <f aca="false">'Raw Data'!H33</f>
        <v>4020</v>
      </c>
      <c r="I33" s="20" t="n">
        <f aca="false">'Raw Data'!I33</f>
        <v>24</v>
      </c>
      <c r="J33" s="20" t="str">
        <f aca="false">'Raw Data'!J33</f>
        <v>furniture/equipment</v>
      </c>
      <c r="K33" s="21" t="n">
        <f aca="false">H33/I33</f>
        <v>167.5</v>
      </c>
      <c r="L33" s="21" t="n">
        <f aca="false">100-MIN(K33/Assumptions!$B$14,1)*100</f>
        <v>58.125</v>
      </c>
      <c r="M33" s="21" t="n">
        <f aca="false">VLOOKUP(F33,Assumptions!$A$19:$B$23,2,0)</f>
        <v>25</v>
      </c>
      <c r="N33" s="21" t="n">
        <f aca="false">VLOOKUP(G33,Assumptions!$A$27:$B$30,2,0)</f>
        <v>25</v>
      </c>
      <c r="O33" s="21" t="n">
        <f aca="false">VLOOKUP(D33,Assumptions!$A$34:$B$37,2,0)</f>
        <v>66</v>
      </c>
      <c r="P33" s="21" t="n">
        <f aca="false">VLOOKUP(E33,Assumptions!$A$41:$B$43,2,0)</f>
        <v>100</v>
      </c>
      <c r="Q33" s="22" t="n">
        <f aca="false">L33*Assumptions!$B$7+M33*Assumptions!$B$8+N33*Assumptions!$B$9+O33*Assumptions!$B$10+P33*Assumptions!$B$11</f>
        <v>48.5875</v>
      </c>
      <c r="R33" s="11" t="str">
        <f aca="false">IF(Q33&lt;=33,"High Risk",IF(Q33&lt;=66,"Medium Risk","Low Risk"))</f>
        <v>Medium Risk</v>
      </c>
    </row>
    <row r="34" customFormat="false" ht="15" hidden="false" customHeight="true" outlineLevel="0" collapsed="false">
      <c r="A34" s="20" t="n">
        <f aca="false">'Raw Data'!A34</f>
        <v>33</v>
      </c>
      <c r="B34" s="20" t="n">
        <f aca="false">'Raw Data'!B34</f>
        <v>30</v>
      </c>
      <c r="C34" s="20" t="str">
        <f aca="false">'Raw Data'!C34</f>
        <v>male</v>
      </c>
      <c r="D34" s="20" t="n">
        <f aca="false">'Raw Data'!D34</f>
        <v>2</v>
      </c>
      <c r="E34" s="20" t="str">
        <f aca="false">'Raw Data'!E34</f>
        <v>own</v>
      </c>
      <c r="F34" s="20" t="str">
        <f aca="false">'Raw Data'!F34</f>
        <v>moderate</v>
      </c>
      <c r="G34" s="20" t="str">
        <f aca="false">'Raw Data'!G34</f>
        <v>moderate</v>
      </c>
      <c r="H34" s="20" t="n">
        <f aca="false">'Raw Data'!H34</f>
        <v>5866</v>
      </c>
      <c r="I34" s="20" t="n">
        <f aca="false">'Raw Data'!I34</f>
        <v>18</v>
      </c>
      <c r="J34" s="20" t="str">
        <f aca="false">'Raw Data'!J34</f>
        <v>car</v>
      </c>
      <c r="K34" s="21" t="n">
        <f aca="false">H34/I34</f>
        <v>325.888888888889</v>
      </c>
      <c r="L34" s="21" t="n">
        <f aca="false">100-MIN(K34/Assumptions!$B$14,1)*100</f>
        <v>18.5277777777778</v>
      </c>
      <c r="M34" s="21" t="n">
        <f aca="false">VLOOKUP(F34,Assumptions!$A$19:$B$23,2,0)</f>
        <v>50</v>
      </c>
      <c r="N34" s="21" t="n">
        <f aca="false">VLOOKUP(G34,Assumptions!$A$27:$B$30,2,0)</f>
        <v>60</v>
      </c>
      <c r="O34" s="21" t="n">
        <f aca="false">VLOOKUP(D34,Assumptions!$A$34:$B$37,2,0)</f>
        <v>66</v>
      </c>
      <c r="P34" s="21" t="n">
        <f aca="false">VLOOKUP(E34,Assumptions!$A$41:$B$43,2,0)</f>
        <v>100</v>
      </c>
      <c r="Q34" s="22" t="n">
        <f aca="false">L34*Assumptions!$B$7+M34*Assumptions!$B$8+N34*Assumptions!$B$9+O34*Assumptions!$B$10+P34*Assumptions!$B$11</f>
        <v>49.9583333333333</v>
      </c>
      <c r="R34" s="11" t="str">
        <f aca="false">IF(Q34&lt;=33,"High Risk",IF(Q34&lt;=66,"Medium Risk","Low Risk"))</f>
        <v>Medium Risk</v>
      </c>
    </row>
    <row r="35" customFormat="false" ht="15" hidden="false" customHeight="true" outlineLevel="0" collapsed="false">
      <c r="A35" s="20" t="n">
        <f aca="false">'Raw Data'!A35</f>
        <v>34</v>
      </c>
      <c r="B35" s="20" t="n">
        <f aca="false">'Raw Data'!B35</f>
        <v>57</v>
      </c>
      <c r="C35" s="20" t="str">
        <f aca="false">'Raw Data'!C35</f>
        <v>male</v>
      </c>
      <c r="D35" s="20" t="n">
        <f aca="false">'Raw Data'!D35</f>
        <v>1</v>
      </c>
      <c r="E35" s="20" t="str">
        <f aca="false">'Raw Data'!E35</f>
        <v>rent</v>
      </c>
      <c r="F35" s="20" t="str">
        <f aca="false">'Raw Data'!F35</f>
        <v>none</v>
      </c>
      <c r="G35" s="20" t="str">
        <f aca="false">'Raw Data'!G35</f>
        <v>none</v>
      </c>
      <c r="H35" s="20" t="n">
        <f aca="false">'Raw Data'!H35</f>
        <v>1264</v>
      </c>
      <c r="I35" s="20" t="n">
        <f aca="false">'Raw Data'!I35</f>
        <v>12</v>
      </c>
      <c r="J35" s="20" t="str">
        <f aca="false">'Raw Data'!J35</f>
        <v>business</v>
      </c>
      <c r="K35" s="21" t="n">
        <f aca="false">H35/I35</f>
        <v>105.333333333333</v>
      </c>
      <c r="L35" s="21" t="n">
        <f aca="false">100-MIN(K35/Assumptions!$B$14,1)*100</f>
        <v>73.6666666666667</v>
      </c>
      <c r="M35" s="21" t="n">
        <f aca="false">VLOOKUP(F35,Assumptions!$A$19:$B$23,2,0)</f>
        <v>40</v>
      </c>
      <c r="N35" s="21" t="n">
        <f aca="false">VLOOKUP(G35,Assumptions!$A$27:$B$30,2,0)</f>
        <v>50</v>
      </c>
      <c r="O35" s="21" t="n">
        <f aca="false">VLOOKUP(D35,Assumptions!$A$34:$B$37,2,0)</f>
        <v>33</v>
      </c>
      <c r="P35" s="21" t="n">
        <f aca="false">VLOOKUP(E35,Assumptions!$A$41:$B$43,2,0)</f>
        <v>30</v>
      </c>
      <c r="Q35" s="22" t="n">
        <f aca="false">L35*Assumptions!$B$7+M35*Assumptions!$B$8+N35*Assumptions!$B$9+O35*Assumptions!$B$10+P35*Assumptions!$B$11</f>
        <v>50.05</v>
      </c>
      <c r="R35" s="11" t="str">
        <f aca="false">IF(Q35&lt;=33,"High Risk",IF(Q35&lt;=66,"Medium Risk","Low Risk"))</f>
        <v>Medium Risk</v>
      </c>
    </row>
    <row r="36" customFormat="false" ht="15" hidden="false" customHeight="true" outlineLevel="0" collapsed="false">
      <c r="A36" s="20" t="n">
        <f aca="false">'Raw Data'!A36</f>
        <v>35</v>
      </c>
      <c r="B36" s="20" t="n">
        <f aca="false">'Raw Data'!B36</f>
        <v>33</v>
      </c>
      <c r="C36" s="20" t="str">
        <f aca="false">'Raw Data'!C36</f>
        <v>female</v>
      </c>
      <c r="D36" s="20" t="n">
        <f aca="false">'Raw Data'!D36</f>
        <v>3</v>
      </c>
      <c r="E36" s="20" t="str">
        <f aca="false">'Raw Data'!E36</f>
        <v>own</v>
      </c>
      <c r="F36" s="20" t="str">
        <f aca="false">'Raw Data'!F36</f>
        <v>little</v>
      </c>
      <c r="G36" s="20" t="str">
        <f aca="false">'Raw Data'!G36</f>
        <v>rich</v>
      </c>
      <c r="H36" s="20" t="n">
        <f aca="false">'Raw Data'!H36</f>
        <v>1474</v>
      </c>
      <c r="I36" s="20" t="n">
        <f aca="false">'Raw Data'!I36</f>
        <v>12</v>
      </c>
      <c r="J36" s="20" t="str">
        <f aca="false">'Raw Data'!J36</f>
        <v>furniture/equipment</v>
      </c>
      <c r="K36" s="21" t="n">
        <f aca="false">H36/I36</f>
        <v>122.833333333333</v>
      </c>
      <c r="L36" s="21" t="n">
        <f aca="false">100-MIN(K36/Assumptions!$B$14,1)*100</f>
        <v>69.2916666666667</v>
      </c>
      <c r="M36" s="21" t="n">
        <f aca="false">VLOOKUP(F36,Assumptions!$A$19:$B$23,2,0)</f>
        <v>25</v>
      </c>
      <c r="N36" s="21" t="n">
        <f aca="false">VLOOKUP(G36,Assumptions!$A$27:$B$30,2,0)</f>
        <v>100</v>
      </c>
      <c r="O36" s="21" t="n">
        <f aca="false">VLOOKUP(D36,Assumptions!$A$34:$B$37,2,0)</f>
        <v>100</v>
      </c>
      <c r="P36" s="21" t="n">
        <f aca="false">VLOOKUP(E36,Assumptions!$A$41:$B$43,2,0)</f>
        <v>100</v>
      </c>
      <c r="Q36" s="22" t="n">
        <f aca="false">L36*Assumptions!$B$7+M36*Assumptions!$B$8+N36*Assumptions!$B$9+O36*Assumptions!$B$10+P36*Assumptions!$B$11</f>
        <v>72.0375</v>
      </c>
      <c r="R36" s="11" t="str">
        <f aca="false">IF(Q36&lt;=33,"High Risk",IF(Q36&lt;=66,"Medium Risk","Low Risk"))</f>
        <v>Low Risk</v>
      </c>
    </row>
    <row r="37" customFormat="false" ht="15" hidden="false" customHeight="true" outlineLevel="0" collapsed="false">
      <c r="A37" s="20" t="n">
        <f aca="false">'Raw Data'!A37</f>
        <v>36</v>
      </c>
      <c r="B37" s="20" t="n">
        <f aca="false">'Raw Data'!B37</f>
        <v>25</v>
      </c>
      <c r="C37" s="20" t="str">
        <f aca="false">'Raw Data'!C37</f>
        <v>male</v>
      </c>
      <c r="D37" s="20" t="n">
        <f aca="false">'Raw Data'!D37</f>
        <v>1</v>
      </c>
      <c r="E37" s="20" t="str">
        <f aca="false">'Raw Data'!E37</f>
        <v>own</v>
      </c>
      <c r="F37" s="20" t="str">
        <f aca="false">'Raw Data'!F37</f>
        <v>little</v>
      </c>
      <c r="G37" s="20" t="str">
        <f aca="false">'Raw Data'!G37</f>
        <v>moderate</v>
      </c>
      <c r="H37" s="20" t="n">
        <f aca="false">'Raw Data'!H37</f>
        <v>4746</v>
      </c>
      <c r="I37" s="20" t="n">
        <f aca="false">'Raw Data'!I37</f>
        <v>45</v>
      </c>
      <c r="J37" s="20" t="str">
        <f aca="false">'Raw Data'!J37</f>
        <v>radio/TV</v>
      </c>
      <c r="K37" s="21" t="n">
        <f aca="false">H37/I37</f>
        <v>105.466666666667</v>
      </c>
      <c r="L37" s="21" t="n">
        <f aca="false">100-MIN(K37/Assumptions!$B$14,1)*100</f>
        <v>73.6333333333333</v>
      </c>
      <c r="M37" s="21" t="n">
        <f aca="false">VLOOKUP(F37,Assumptions!$A$19:$B$23,2,0)</f>
        <v>25</v>
      </c>
      <c r="N37" s="21" t="n">
        <f aca="false">VLOOKUP(G37,Assumptions!$A$27:$B$30,2,0)</f>
        <v>60</v>
      </c>
      <c r="O37" s="21" t="n">
        <f aca="false">VLOOKUP(D37,Assumptions!$A$34:$B$37,2,0)</f>
        <v>33</v>
      </c>
      <c r="P37" s="21" t="n">
        <f aca="false">VLOOKUP(E37,Assumptions!$A$41:$B$43,2,0)</f>
        <v>100</v>
      </c>
      <c r="Q37" s="22" t="n">
        <f aca="false">L37*Assumptions!$B$7+M37*Assumptions!$B$8+N37*Assumptions!$B$9+O37*Assumptions!$B$10+P37*Assumptions!$B$11</f>
        <v>55.29</v>
      </c>
      <c r="R37" s="11" t="str">
        <f aca="false">IF(Q37&lt;=33,"High Risk",IF(Q37&lt;=66,"Medium Risk","Low Risk"))</f>
        <v>Medium Risk</v>
      </c>
    </row>
    <row r="38" customFormat="false" ht="15" hidden="false" customHeight="true" outlineLevel="0" collapsed="false">
      <c r="A38" s="20" t="n">
        <f aca="false">'Raw Data'!A38</f>
        <v>37</v>
      </c>
      <c r="B38" s="20" t="n">
        <f aca="false">'Raw Data'!B38</f>
        <v>31</v>
      </c>
      <c r="C38" s="20" t="str">
        <f aca="false">'Raw Data'!C38</f>
        <v>male</v>
      </c>
      <c r="D38" s="20" t="n">
        <f aca="false">'Raw Data'!D38</f>
        <v>2</v>
      </c>
      <c r="E38" s="20" t="str">
        <f aca="false">'Raw Data'!E38</f>
        <v>free</v>
      </c>
      <c r="F38" s="20" t="str">
        <f aca="false">'Raw Data'!F38</f>
        <v>little</v>
      </c>
      <c r="G38" s="20" t="str">
        <f aca="false">'Raw Data'!G38</f>
        <v>none</v>
      </c>
      <c r="H38" s="20" t="n">
        <f aca="false">'Raw Data'!H38</f>
        <v>6110</v>
      </c>
      <c r="I38" s="20" t="n">
        <f aca="false">'Raw Data'!I38</f>
        <v>48</v>
      </c>
      <c r="J38" s="20" t="str">
        <f aca="false">'Raw Data'!J38</f>
        <v>education</v>
      </c>
      <c r="K38" s="21" t="n">
        <f aca="false">H38/I38</f>
        <v>127.291666666667</v>
      </c>
      <c r="L38" s="21" t="n">
        <f aca="false">100-MIN(K38/Assumptions!$B$14,1)*100</f>
        <v>68.1770833333333</v>
      </c>
      <c r="M38" s="21" t="n">
        <f aca="false">VLOOKUP(F38,Assumptions!$A$19:$B$23,2,0)</f>
        <v>25</v>
      </c>
      <c r="N38" s="21" t="n">
        <f aca="false">VLOOKUP(G38,Assumptions!$A$27:$B$30,2,0)</f>
        <v>50</v>
      </c>
      <c r="O38" s="21" t="n">
        <f aca="false">VLOOKUP(D38,Assumptions!$A$34:$B$37,2,0)</f>
        <v>66</v>
      </c>
      <c r="P38" s="21" t="n">
        <f aca="false">VLOOKUP(E38,Assumptions!$A$41:$B$43,2,0)</f>
        <v>60</v>
      </c>
      <c r="Q38" s="22" t="n">
        <f aca="false">L38*Assumptions!$B$7+M38*Assumptions!$B$8+N38*Assumptions!$B$9+O38*Assumptions!$B$10+P38*Assumptions!$B$11</f>
        <v>52.603125</v>
      </c>
      <c r="R38" s="11" t="str">
        <f aca="false">IF(Q38&lt;=33,"High Risk",IF(Q38&lt;=66,"Medium Risk","Low Risk"))</f>
        <v>Medium Risk</v>
      </c>
    </row>
    <row r="39" customFormat="false" ht="15" hidden="false" customHeight="true" outlineLevel="0" collapsed="false">
      <c r="A39" s="20" t="n">
        <f aca="false">'Raw Data'!A39</f>
        <v>38</v>
      </c>
      <c r="B39" s="20" t="n">
        <f aca="false">'Raw Data'!B39</f>
        <v>37</v>
      </c>
      <c r="C39" s="20" t="str">
        <f aca="false">'Raw Data'!C39</f>
        <v>male</v>
      </c>
      <c r="D39" s="20" t="n">
        <f aca="false">'Raw Data'!D39</f>
        <v>2</v>
      </c>
      <c r="E39" s="20" t="str">
        <f aca="false">'Raw Data'!E39</f>
        <v>own</v>
      </c>
      <c r="F39" s="20" t="str">
        <f aca="false">'Raw Data'!F39</f>
        <v>little</v>
      </c>
      <c r="G39" s="20" t="str">
        <f aca="false">'Raw Data'!G39</f>
        <v>rich</v>
      </c>
      <c r="H39" s="20" t="n">
        <f aca="false">'Raw Data'!H39</f>
        <v>2100</v>
      </c>
      <c r="I39" s="20" t="n">
        <f aca="false">'Raw Data'!I39</f>
        <v>18</v>
      </c>
      <c r="J39" s="20" t="str">
        <f aca="false">'Raw Data'!J39</f>
        <v>radio/TV</v>
      </c>
      <c r="K39" s="21" t="n">
        <f aca="false">H39/I39</f>
        <v>116.666666666667</v>
      </c>
      <c r="L39" s="21" t="n">
        <f aca="false">100-MIN(K39/Assumptions!$B$14,1)*100</f>
        <v>70.8333333333333</v>
      </c>
      <c r="M39" s="21" t="n">
        <f aca="false">VLOOKUP(F39,Assumptions!$A$19:$B$23,2,0)</f>
        <v>25</v>
      </c>
      <c r="N39" s="21" t="n">
        <f aca="false">VLOOKUP(G39,Assumptions!$A$27:$B$30,2,0)</f>
        <v>100</v>
      </c>
      <c r="O39" s="21" t="n">
        <f aca="false">VLOOKUP(D39,Assumptions!$A$34:$B$37,2,0)</f>
        <v>66</v>
      </c>
      <c r="P39" s="21" t="n">
        <f aca="false">VLOOKUP(E39,Assumptions!$A$41:$B$43,2,0)</f>
        <v>100</v>
      </c>
      <c r="Q39" s="22" t="n">
        <f aca="false">L39*Assumptions!$B$7+M39*Assumptions!$B$8+N39*Assumptions!$B$9+O39*Assumptions!$B$10+P39*Assumptions!$B$11</f>
        <v>67.4</v>
      </c>
      <c r="R39" s="11" t="str">
        <f aca="false">IF(Q39&lt;=33,"High Risk",IF(Q39&lt;=66,"Medium Risk","Low Risk"))</f>
        <v>Low Risk</v>
      </c>
    </row>
    <row r="40" customFormat="false" ht="15" hidden="false" customHeight="true" outlineLevel="0" collapsed="false">
      <c r="A40" s="20" t="n">
        <f aca="false">'Raw Data'!A40</f>
        <v>39</v>
      </c>
      <c r="B40" s="20" t="n">
        <f aca="false">'Raw Data'!B40</f>
        <v>37</v>
      </c>
      <c r="C40" s="20" t="str">
        <f aca="false">'Raw Data'!C40</f>
        <v>male</v>
      </c>
      <c r="D40" s="20" t="n">
        <f aca="false">'Raw Data'!D40</f>
        <v>2</v>
      </c>
      <c r="E40" s="20" t="str">
        <f aca="false">'Raw Data'!E40</f>
        <v>own</v>
      </c>
      <c r="F40" s="20" t="str">
        <f aca="false">'Raw Data'!F40</f>
        <v>little</v>
      </c>
      <c r="G40" s="20" t="str">
        <f aca="false">'Raw Data'!G40</f>
        <v>rich</v>
      </c>
      <c r="H40" s="20" t="n">
        <f aca="false">'Raw Data'!H40</f>
        <v>1225</v>
      </c>
      <c r="I40" s="20" t="n">
        <f aca="false">'Raw Data'!I40</f>
        <v>10</v>
      </c>
      <c r="J40" s="20" t="str">
        <f aca="false">'Raw Data'!J40</f>
        <v>domestic appliances</v>
      </c>
      <c r="K40" s="21" t="n">
        <f aca="false">H40/I40</f>
        <v>122.5</v>
      </c>
      <c r="L40" s="21" t="n">
        <f aca="false">100-MIN(K40/Assumptions!$B$14,1)*100</f>
        <v>69.375</v>
      </c>
      <c r="M40" s="21" t="n">
        <f aca="false">VLOOKUP(F40,Assumptions!$A$19:$B$23,2,0)</f>
        <v>25</v>
      </c>
      <c r="N40" s="21" t="n">
        <f aca="false">VLOOKUP(G40,Assumptions!$A$27:$B$30,2,0)</f>
        <v>100</v>
      </c>
      <c r="O40" s="21" t="n">
        <f aca="false">VLOOKUP(D40,Assumptions!$A$34:$B$37,2,0)</f>
        <v>66</v>
      </c>
      <c r="P40" s="21" t="n">
        <f aca="false">VLOOKUP(E40,Assumptions!$A$41:$B$43,2,0)</f>
        <v>100</v>
      </c>
      <c r="Q40" s="22" t="n">
        <f aca="false">L40*Assumptions!$B$7+M40*Assumptions!$B$8+N40*Assumptions!$B$9+O40*Assumptions!$B$10+P40*Assumptions!$B$11</f>
        <v>66.9625</v>
      </c>
      <c r="R40" s="11" t="str">
        <f aca="false">IF(Q40&lt;=33,"High Risk",IF(Q40&lt;=66,"Medium Risk","Low Risk"))</f>
        <v>Low Risk</v>
      </c>
    </row>
    <row r="41" customFormat="false" ht="15" hidden="false" customHeight="true" outlineLevel="0" collapsed="false">
      <c r="A41" s="20" t="n">
        <f aca="false">'Raw Data'!A41</f>
        <v>40</v>
      </c>
      <c r="B41" s="20" t="n">
        <f aca="false">'Raw Data'!B41</f>
        <v>24</v>
      </c>
      <c r="C41" s="20" t="str">
        <f aca="false">'Raw Data'!C41</f>
        <v>male</v>
      </c>
      <c r="D41" s="20" t="n">
        <f aca="false">'Raw Data'!D41</f>
        <v>2</v>
      </c>
      <c r="E41" s="20" t="str">
        <f aca="false">'Raw Data'!E41</f>
        <v>own</v>
      </c>
      <c r="F41" s="20" t="str">
        <f aca="false">'Raw Data'!F41</f>
        <v>little</v>
      </c>
      <c r="G41" s="20" t="str">
        <f aca="false">'Raw Data'!G41</f>
        <v>moderate</v>
      </c>
      <c r="H41" s="20" t="n">
        <f aca="false">'Raw Data'!H41</f>
        <v>458</v>
      </c>
      <c r="I41" s="20" t="n">
        <f aca="false">'Raw Data'!I41</f>
        <v>9</v>
      </c>
      <c r="J41" s="20" t="str">
        <f aca="false">'Raw Data'!J41</f>
        <v>radio/TV</v>
      </c>
      <c r="K41" s="21" t="n">
        <f aca="false">H41/I41</f>
        <v>50.8888888888889</v>
      </c>
      <c r="L41" s="21" t="n">
        <f aca="false">100-MIN(K41/Assumptions!$B$14,1)*100</f>
        <v>87.2777777777778</v>
      </c>
      <c r="M41" s="21" t="n">
        <f aca="false">VLOOKUP(F41,Assumptions!$A$19:$B$23,2,0)</f>
        <v>25</v>
      </c>
      <c r="N41" s="21" t="n">
        <f aca="false">VLOOKUP(G41,Assumptions!$A$27:$B$30,2,0)</f>
        <v>60</v>
      </c>
      <c r="O41" s="21" t="n">
        <f aca="false">VLOOKUP(D41,Assumptions!$A$34:$B$37,2,0)</f>
        <v>66</v>
      </c>
      <c r="P41" s="21" t="n">
        <f aca="false">VLOOKUP(E41,Assumptions!$A$41:$B$43,2,0)</f>
        <v>100</v>
      </c>
      <c r="Q41" s="22" t="n">
        <f aca="false">L41*Assumptions!$B$7+M41*Assumptions!$B$8+N41*Assumptions!$B$9+O41*Assumptions!$B$10+P41*Assumptions!$B$11</f>
        <v>64.3333333333333</v>
      </c>
      <c r="R41" s="11" t="str">
        <f aca="false">IF(Q41&lt;=33,"High Risk",IF(Q41&lt;=66,"Medium Risk","Low Risk"))</f>
        <v>Medium Risk</v>
      </c>
    </row>
    <row r="42" customFormat="false" ht="15" hidden="false" customHeight="true" outlineLevel="0" collapsed="false">
      <c r="A42" s="20" t="n">
        <f aca="false">'Raw Data'!A42</f>
        <v>41</v>
      </c>
      <c r="B42" s="20" t="n">
        <f aca="false">'Raw Data'!B42</f>
        <v>30</v>
      </c>
      <c r="C42" s="20" t="str">
        <f aca="false">'Raw Data'!C42</f>
        <v>male</v>
      </c>
      <c r="D42" s="20" t="n">
        <f aca="false">'Raw Data'!D42</f>
        <v>3</v>
      </c>
      <c r="E42" s="20" t="str">
        <f aca="false">'Raw Data'!E42</f>
        <v>own</v>
      </c>
      <c r="F42" s="20" t="str">
        <f aca="false">'Raw Data'!F42</f>
        <v>quite rich</v>
      </c>
      <c r="G42" s="20" t="str">
        <f aca="false">'Raw Data'!G42</f>
        <v>none</v>
      </c>
      <c r="H42" s="20" t="n">
        <f aca="false">'Raw Data'!H42</f>
        <v>2333</v>
      </c>
      <c r="I42" s="20" t="n">
        <f aca="false">'Raw Data'!I42</f>
        <v>30</v>
      </c>
      <c r="J42" s="20" t="str">
        <f aca="false">'Raw Data'!J42</f>
        <v>radio/TV</v>
      </c>
      <c r="K42" s="21" t="n">
        <f aca="false">H42/I42</f>
        <v>77.7666666666667</v>
      </c>
      <c r="L42" s="21" t="n">
        <f aca="false">100-MIN(K42/Assumptions!$B$14,1)*100</f>
        <v>80.5583333333333</v>
      </c>
      <c r="M42" s="21" t="n">
        <f aca="false">VLOOKUP(F42,Assumptions!$A$19:$B$23,2,0)</f>
        <v>75</v>
      </c>
      <c r="N42" s="21" t="n">
        <f aca="false">VLOOKUP(G42,Assumptions!$A$27:$B$30,2,0)</f>
        <v>50</v>
      </c>
      <c r="O42" s="21" t="n">
        <f aca="false">VLOOKUP(D42,Assumptions!$A$34:$B$37,2,0)</f>
        <v>100</v>
      </c>
      <c r="P42" s="21" t="n">
        <f aca="false">VLOOKUP(E42,Assumptions!$A$41:$B$43,2,0)</f>
        <v>100</v>
      </c>
      <c r="Q42" s="22" t="n">
        <f aca="false">L42*Assumptions!$B$7+M42*Assumptions!$B$8+N42*Assumptions!$B$9+O42*Assumptions!$B$10+P42*Assumptions!$B$11</f>
        <v>77.9175</v>
      </c>
      <c r="R42" s="11" t="str">
        <f aca="false">IF(Q42&lt;=33,"High Risk",IF(Q42&lt;=66,"Medium Risk","Low Risk"))</f>
        <v>Low Risk</v>
      </c>
    </row>
    <row r="43" customFormat="false" ht="15" hidden="false" customHeight="true" outlineLevel="0" collapsed="false">
      <c r="A43" s="20" t="n">
        <f aca="false">'Raw Data'!A43</f>
        <v>42</v>
      </c>
      <c r="B43" s="20" t="n">
        <f aca="false">'Raw Data'!B43</f>
        <v>26</v>
      </c>
      <c r="C43" s="20" t="str">
        <f aca="false">'Raw Data'!C43</f>
        <v>male</v>
      </c>
      <c r="D43" s="20" t="n">
        <f aca="false">'Raw Data'!D43</f>
        <v>2</v>
      </c>
      <c r="E43" s="20" t="str">
        <f aca="false">'Raw Data'!E43</f>
        <v>own</v>
      </c>
      <c r="F43" s="20" t="str">
        <f aca="false">'Raw Data'!F43</f>
        <v>quite rich</v>
      </c>
      <c r="G43" s="20" t="str">
        <f aca="false">'Raw Data'!G43</f>
        <v>moderate</v>
      </c>
      <c r="H43" s="20" t="n">
        <f aca="false">'Raw Data'!H43</f>
        <v>1158</v>
      </c>
      <c r="I43" s="20" t="n">
        <f aca="false">'Raw Data'!I43</f>
        <v>12</v>
      </c>
      <c r="J43" s="20" t="str">
        <f aca="false">'Raw Data'!J43</f>
        <v>radio/TV</v>
      </c>
      <c r="K43" s="21" t="n">
        <f aca="false">H43/I43</f>
        <v>96.5</v>
      </c>
      <c r="L43" s="21" t="n">
        <f aca="false">100-MIN(K43/Assumptions!$B$14,1)*100</f>
        <v>75.875</v>
      </c>
      <c r="M43" s="21" t="n">
        <f aca="false">VLOOKUP(F43,Assumptions!$A$19:$B$23,2,0)</f>
        <v>75</v>
      </c>
      <c r="N43" s="21" t="n">
        <f aca="false">VLOOKUP(G43,Assumptions!$A$27:$B$30,2,0)</f>
        <v>60</v>
      </c>
      <c r="O43" s="21" t="n">
        <f aca="false">VLOOKUP(D43,Assumptions!$A$34:$B$37,2,0)</f>
        <v>66</v>
      </c>
      <c r="P43" s="21" t="n">
        <f aca="false">VLOOKUP(E43,Assumptions!$A$41:$B$43,2,0)</f>
        <v>100</v>
      </c>
      <c r="Q43" s="22" t="n">
        <f aca="false">L43*Assumptions!$B$7+M43*Assumptions!$B$8+N43*Assumptions!$B$9+O43*Assumptions!$B$10+P43*Assumptions!$B$11</f>
        <v>73.4125</v>
      </c>
      <c r="R43" s="11" t="str">
        <f aca="false">IF(Q43&lt;=33,"High Risk",IF(Q43&lt;=66,"Medium Risk","Low Risk"))</f>
        <v>Low Risk</v>
      </c>
    </row>
    <row r="44" customFormat="false" ht="15" hidden="false" customHeight="true" outlineLevel="0" collapsed="false">
      <c r="A44" s="20" t="n">
        <f aca="false">'Raw Data'!A44</f>
        <v>43</v>
      </c>
      <c r="B44" s="20" t="n">
        <f aca="false">'Raw Data'!B44</f>
        <v>44</v>
      </c>
      <c r="C44" s="20" t="str">
        <f aca="false">'Raw Data'!C44</f>
        <v>male</v>
      </c>
      <c r="D44" s="20" t="n">
        <f aca="false">'Raw Data'!D44</f>
        <v>1</v>
      </c>
      <c r="E44" s="20" t="str">
        <f aca="false">'Raw Data'!E44</f>
        <v>own</v>
      </c>
      <c r="F44" s="20" t="str">
        <f aca="false">'Raw Data'!F44</f>
        <v>little</v>
      </c>
      <c r="G44" s="20" t="str">
        <f aca="false">'Raw Data'!G44</f>
        <v>moderate</v>
      </c>
      <c r="H44" s="20" t="n">
        <f aca="false">'Raw Data'!H44</f>
        <v>6204</v>
      </c>
      <c r="I44" s="20" t="n">
        <f aca="false">'Raw Data'!I44</f>
        <v>18</v>
      </c>
      <c r="J44" s="20" t="str">
        <f aca="false">'Raw Data'!J44</f>
        <v>repairs</v>
      </c>
      <c r="K44" s="21" t="n">
        <f aca="false">H44/I44</f>
        <v>344.666666666667</v>
      </c>
      <c r="L44" s="21" t="n">
        <f aca="false">100-MIN(K44/Assumptions!$B$14,1)*100</f>
        <v>13.8333333333333</v>
      </c>
      <c r="M44" s="21" t="n">
        <f aca="false">VLOOKUP(F44,Assumptions!$A$19:$B$23,2,0)</f>
        <v>25</v>
      </c>
      <c r="N44" s="21" t="n">
        <f aca="false">VLOOKUP(G44,Assumptions!$A$27:$B$30,2,0)</f>
        <v>60</v>
      </c>
      <c r="O44" s="21" t="n">
        <f aca="false">VLOOKUP(D44,Assumptions!$A$34:$B$37,2,0)</f>
        <v>33</v>
      </c>
      <c r="P44" s="21" t="n">
        <f aca="false">VLOOKUP(E44,Assumptions!$A$41:$B$43,2,0)</f>
        <v>100</v>
      </c>
      <c r="Q44" s="22" t="n">
        <f aca="false">L44*Assumptions!$B$7+M44*Assumptions!$B$8+N44*Assumptions!$B$9+O44*Assumptions!$B$10+P44*Assumptions!$B$11</f>
        <v>37.35</v>
      </c>
      <c r="R44" s="11" t="str">
        <f aca="false">IF(Q44&lt;=33,"High Risk",IF(Q44&lt;=66,"Medium Risk","Low Risk"))</f>
        <v>Medium Risk</v>
      </c>
    </row>
    <row r="45" customFormat="false" ht="15" hidden="false" customHeight="true" outlineLevel="0" collapsed="false">
      <c r="A45" s="20" t="n">
        <f aca="false">'Raw Data'!A45</f>
        <v>44</v>
      </c>
      <c r="B45" s="20" t="n">
        <f aca="false">'Raw Data'!B45</f>
        <v>24</v>
      </c>
      <c r="C45" s="20" t="str">
        <f aca="false">'Raw Data'!C45</f>
        <v>male</v>
      </c>
      <c r="D45" s="20" t="n">
        <f aca="false">'Raw Data'!D45</f>
        <v>2</v>
      </c>
      <c r="E45" s="20" t="str">
        <f aca="false">'Raw Data'!E45</f>
        <v>rent</v>
      </c>
      <c r="F45" s="20" t="str">
        <f aca="false">'Raw Data'!F45</f>
        <v>moderate</v>
      </c>
      <c r="G45" s="20" t="str">
        <f aca="false">'Raw Data'!G45</f>
        <v>little</v>
      </c>
      <c r="H45" s="20" t="n">
        <f aca="false">'Raw Data'!H45</f>
        <v>6187</v>
      </c>
      <c r="I45" s="20" t="n">
        <f aca="false">'Raw Data'!I45</f>
        <v>30</v>
      </c>
      <c r="J45" s="20" t="str">
        <f aca="false">'Raw Data'!J45</f>
        <v>car</v>
      </c>
      <c r="K45" s="21" t="n">
        <f aca="false">H45/I45</f>
        <v>206.233333333333</v>
      </c>
      <c r="L45" s="21" t="n">
        <f aca="false">100-MIN(K45/Assumptions!$B$14,1)*100</f>
        <v>48.4416666666667</v>
      </c>
      <c r="M45" s="21" t="n">
        <f aca="false">VLOOKUP(F45,Assumptions!$A$19:$B$23,2,0)</f>
        <v>50</v>
      </c>
      <c r="N45" s="21" t="n">
        <f aca="false">VLOOKUP(G45,Assumptions!$A$27:$B$30,2,0)</f>
        <v>25</v>
      </c>
      <c r="O45" s="21" t="n">
        <f aca="false">VLOOKUP(D45,Assumptions!$A$34:$B$37,2,0)</f>
        <v>66</v>
      </c>
      <c r="P45" s="21" t="n">
        <f aca="false">VLOOKUP(E45,Assumptions!$A$41:$B$43,2,0)</f>
        <v>30</v>
      </c>
      <c r="Q45" s="22" t="n">
        <f aca="false">L45*Assumptions!$B$7+M45*Assumptions!$B$8+N45*Assumptions!$B$9+O45*Assumptions!$B$10+P45*Assumptions!$B$11</f>
        <v>44.9325</v>
      </c>
      <c r="R45" s="11" t="str">
        <f aca="false">IF(Q45&lt;=33,"High Risk",IF(Q45&lt;=66,"Medium Risk","Low Risk"))</f>
        <v>Medium Risk</v>
      </c>
    </row>
    <row r="46" customFormat="false" ht="15" hidden="false" customHeight="true" outlineLevel="0" collapsed="false">
      <c r="A46" s="20" t="n">
        <f aca="false">'Raw Data'!A46</f>
        <v>45</v>
      </c>
      <c r="B46" s="20" t="n">
        <f aca="false">'Raw Data'!B46</f>
        <v>58</v>
      </c>
      <c r="C46" s="20" t="str">
        <f aca="false">'Raw Data'!C46</f>
        <v>female</v>
      </c>
      <c r="D46" s="20" t="n">
        <f aca="false">'Raw Data'!D46</f>
        <v>1</v>
      </c>
      <c r="E46" s="20" t="str">
        <f aca="false">'Raw Data'!E46</f>
        <v>free</v>
      </c>
      <c r="F46" s="20" t="str">
        <f aca="false">'Raw Data'!F46</f>
        <v>little</v>
      </c>
      <c r="G46" s="20" t="str">
        <f aca="false">'Raw Data'!G46</f>
        <v>little</v>
      </c>
      <c r="H46" s="20" t="n">
        <f aca="false">'Raw Data'!H46</f>
        <v>6143</v>
      </c>
      <c r="I46" s="20" t="n">
        <f aca="false">'Raw Data'!I46</f>
        <v>48</v>
      </c>
      <c r="J46" s="20" t="str">
        <f aca="false">'Raw Data'!J46</f>
        <v>car</v>
      </c>
      <c r="K46" s="21" t="n">
        <f aca="false">H46/I46</f>
        <v>127.979166666667</v>
      </c>
      <c r="L46" s="21" t="n">
        <f aca="false">100-MIN(K46/Assumptions!$B$14,1)*100</f>
        <v>68.0052083333333</v>
      </c>
      <c r="M46" s="21" t="n">
        <f aca="false">VLOOKUP(F46,Assumptions!$A$19:$B$23,2,0)</f>
        <v>25</v>
      </c>
      <c r="N46" s="21" t="n">
        <f aca="false">VLOOKUP(G46,Assumptions!$A$27:$B$30,2,0)</f>
        <v>25</v>
      </c>
      <c r="O46" s="21" t="n">
        <f aca="false">VLOOKUP(D46,Assumptions!$A$34:$B$37,2,0)</f>
        <v>33</v>
      </c>
      <c r="P46" s="21" t="n">
        <f aca="false">VLOOKUP(E46,Assumptions!$A$41:$B$43,2,0)</f>
        <v>60</v>
      </c>
      <c r="Q46" s="22" t="n">
        <f aca="false">L46*Assumptions!$B$7+M46*Assumptions!$B$8+N46*Assumptions!$B$9+O46*Assumptions!$B$10+P46*Assumptions!$B$11</f>
        <v>42.6015625</v>
      </c>
      <c r="R46" s="11" t="str">
        <f aca="false">IF(Q46&lt;=33,"High Risk",IF(Q46&lt;=66,"Medium Risk","Low Risk"))</f>
        <v>Medium Risk</v>
      </c>
    </row>
    <row r="47" customFormat="false" ht="15" hidden="false" customHeight="true" outlineLevel="0" collapsed="false">
      <c r="A47" s="20" t="n">
        <f aca="false">'Raw Data'!A47</f>
        <v>46</v>
      </c>
      <c r="B47" s="20" t="n">
        <f aca="false">'Raw Data'!B47</f>
        <v>35</v>
      </c>
      <c r="C47" s="20" t="str">
        <f aca="false">'Raw Data'!C47</f>
        <v>female</v>
      </c>
      <c r="D47" s="20" t="n">
        <f aca="false">'Raw Data'!D47</f>
        <v>3</v>
      </c>
      <c r="E47" s="20" t="str">
        <f aca="false">'Raw Data'!E47</f>
        <v>own</v>
      </c>
      <c r="F47" s="20" t="str">
        <f aca="false">'Raw Data'!F47</f>
        <v>little</v>
      </c>
      <c r="G47" s="20" t="str">
        <f aca="false">'Raw Data'!G47</f>
        <v>none</v>
      </c>
      <c r="H47" s="20" t="n">
        <f aca="false">'Raw Data'!H47</f>
        <v>1393</v>
      </c>
      <c r="I47" s="20" t="n">
        <f aca="false">'Raw Data'!I47</f>
        <v>11</v>
      </c>
      <c r="J47" s="20" t="str">
        <f aca="false">'Raw Data'!J47</f>
        <v>car</v>
      </c>
      <c r="K47" s="21" t="n">
        <f aca="false">H47/I47</f>
        <v>126.636363636364</v>
      </c>
      <c r="L47" s="21" t="n">
        <f aca="false">100-MIN(K47/Assumptions!$B$14,1)*100</f>
        <v>68.3409090909091</v>
      </c>
      <c r="M47" s="21" t="n">
        <f aca="false">VLOOKUP(F47,Assumptions!$A$19:$B$23,2,0)</f>
        <v>25</v>
      </c>
      <c r="N47" s="21" t="n">
        <f aca="false">VLOOKUP(G47,Assumptions!$A$27:$B$30,2,0)</f>
        <v>50</v>
      </c>
      <c r="O47" s="21" t="n">
        <f aca="false">VLOOKUP(D47,Assumptions!$A$34:$B$37,2,0)</f>
        <v>100</v>
      </c>
      <c r="P47" s="21" t="n">
        <f aca="false">VLOOKUP(E47,Assumptions!$A$41:$B$43,2,0)</f>
        <v>100</v>
      </c>
      <c r="Q47" s="22" t="n">
        <f aca="false">L47*Assumptions!$B$7+M47*Assumptions!$B$8+N47*Assumptions!$B$9+O47*Assumptions!$B$10+P47*Assumptions!$B$11</f>
        <v>61.7522727272727</v>
      </c>
      <c r="R47" s="11" t="str">
        <f aca="false">IF(Q47&lt;=33,"High Risk",IF(Q47&lt;=66,"Medium Risk","Low Risk"))</f>
        <v>Medium Risk</v>
      </c>
    </row>
    <row r="48" customFormat="false" ht="15" hidden="false" customHeight="true" outlineLevel="0" collapsed="false">
      <c r="A48" s="20" t="n">
        <f aca="false">'Raw Data'!A48</f>
        <v>47</v>
      </c>
      <c r="B48" s="20" t="n">
        <f aca="false">'Raw Data'!B48</f>
        <v>39</v>
      </c>
      <c r="C48" s="20" t="str">
        <f aca="false">'Raw Data'!C48</f>
        <v>male</v>
      </c>
      <c r="D48" s="20" t="n">
        <f aca="false">'Raw Data'!D48</f>
        <v>2</v>
      </c>
      <c r="E48" s="20" t="str">
        <f aca="false">'Raw Data'!E48</f>
        <v>own</v>
      </c>
      <c r="F48" s="20" t="str">
        <f aca="false">'Raw Data'!F48</f>
        <v>quite rich</v>
      </c>
      <c r="G48" s="20" t="str">
        <f aca="false">'Raw Data'!G48</f>
        <v>none</v>
      </c>
      <c r="H48" s="20" t="n">
        <f aca="false">'Raw Data'!H48</f>
        <v>2299</v>
      </c>
      <c r="I48" s="20" t="n">
        <f aca="false">'Raw Data'!I48</f>
        <v>36</v>
      </c>
      <c r="J48" s="20" t="str">
        <f aca="false">'Raw Data'!J48</f>
        <v>radio/TV</v>
      </c>
      <c r="K48" s="21" t="n">
        <f aca="false">H48/I48</f>
        <v>63.8611111111111</v>
      </c>
      <c r="L48" s="21" t="n">
        <f aca="false">100-MIN(K48/Assumptions!$B$14,1)*100</f>
        <v>84.0347222222222</v>
      </c>
      <c r="M48" s="21" t="n">
        <f aca="false">VLOOKUP(F48,Assumptions!$A$19:$B$23,2,0)</f>
        <v>75</v>
      </c>
      <c r="N48" s="21" t="n">
        <f aca="false">VLOOKUP(G48,Assumptions!$A$27:$B$30,2,0)</f>
        <v>50</v>
      </c>
      <c r="O48" s="21" t="n">
        <f aca="false">VLOOKUP(D48,Assumptions!$A$34:$B$37,2,0)</f>
        <v>66</v>
      </c>
      <c r="P48" s="21" t="n">
        <f aca="false">VLOOKUP(E48,Assumptions!$A$41:$B$43,2,0)</f>
        <v>100</v>
      </c>
      <c r="Q48" s="22" t="n">
        <f aca="false">L48*Assumptions!$B$7+M48*Assumptions!$B$8+N48*Assumptions!$B$9+O48*Assumptions!$B$10+P48*Assumptions!$B$11</f>
        <v>73.8604166666667</v>
      </c>
      <c r="R48" s="11" t="str">
        <f aca="false">IF(Q48&lt;=33,"High Risk",IF(Q48&lt;=66,"Medium Risk","Low Risk"))</f>
        <v>Low Risk</v>
      </c>
    </row>
    <row r="49" customFormat="false" ht="15" hidden="false" customHeight="true" outlineLevel="0" collapsed="false">
      <c r="A49" s="20" t="n">
        <f aca="false">'Raw Data'!A49</f>
        <v>48</v>
      </c>
      <c r="B49" s="20" t="n">
        <f aca="false">'Raw Data'!B49</f>
        <v>23</v>
      </c>
      <c r="C49" s="20" t="str">
        <f aca="false">'Raw Data'!C49</f>
        <v>female</v>
      </c>
      <c r="D49" s="20" t="n">
        <f aca="false">'Raw Data'!D49</f>
        <v>0</v>
      </c>
      <c r="E49" s="20" t="str">
        <f aca="false">'Raw Data'!E49</f>
        <v>rent</v>
      </c>
      <c r="F49" s="20" t="str">
        <f aca="false">'Raw Data'!F49</f>
        <v>quite rich</v>
      </c>
      <c r="G49" s="20" t="str">
        <f aca="false">'Raw Data'!G49</f>
        <v>little</v>
      </c>
      <c r="H49" s="20" t="n">
        <f aca="false">'Raw Data'!H49</f>
        <v>1352</v>
      </c>
      <c r="I49" s="20" t="n">
        <f aca="false">'Raw Data'!I49</f>
        <v>6</v>
      </c>
      <c r="J49" s="20" t="str">
        <f aca="false">'Raw Data'!J49</f>
        <v>car</v>
      </c>
      <c r="K49" s="21" t="n">
        <f aca="false">H49/I49</f>
        <v>225.333333333333</v>
      </c>
      <c r="L49" s="21" t="n">
        <f aca="false">100-MIN(K49/Assumptions!$B$14,1)*100</f>
        <v>43.6666666666667</v>
      </c>
      <c r="M49" s="21" t="n">
        <f aca="false">VLOOKUP(F49,Assumptions!$A$19:$B$23,2,0)</f>
        <v>75</v>
      </c>
      <c r="N49" s="21" t="n">
        <f aca="false">VLOOKUP(G49,Assumptions!$A$27:$B$30,2,0)</f>
        <v>25</v>
      </c>
      <c r="O49" s="21" t="n">
        <f aca="false">VLOOKUP(D49,Assumptions!$A$34:$B$37,2,0)</f>
        <v>0</v>
      </c>
      <c r="P49" s="21" t="n">
        <f aca="false">VLOOKUP(E49,Assumptions!$A$41:$B$43,2,0)</f>
        <v>30</v>
      </c>
      <c r="Q49" s="22" t="n">
        <f aca="false">L49*Assumptions!$B$7+M49*Assumptions!$B$8+N49*Assumptions!$B$9+O49*Assumptions!$B$10+P49*Assumptions!$B$11</f>
        <v>39.85</v>
      </c>
      <c r="R49" s="11" t="str">
        <f aca="false">IF(Q49&lt;=33,"High Risk",IF(Q49&lt;=66,"Medium Risk","Low Risk"))</f>
        <v>Medium Risk</v>
      </c>
    </row>
    <row r="50" customFormat="false" ht="15" hidden="false" customHeight="true" outlineLevel="0" collapsed="false">
      <c r="A50" s="20" t="n">
        <f aca="false">'Raw Data'!A50</f>
        <v>49</v>
      </c>
      <c r="B50" s="20" t="n">
        <f aca="false">'Raw Data'!B50</f>
        <v>39</v>
      </c>
      <c r="C50" s="20" t="str">
        <f aca="false">'Raw Data'!C50</f>
        <v>male</v>
      </c>
      <c r="D50" s="20" t="n">
        <f aca="false">'Raw Data'!D50</f>
        <v>1</v>
      </c>
      <c r="E50" s="20" t="str">
        <f aca="false">'Raw Data'!E50</f>
        <v>own</v>
      </c>
      <c r="F50" s="20" t="str">
        <f aca="false">'Raw Data'!F50</f>
        <v>little</v>
      </c>
      <c r="G50" s="20" t="str">
        <f aca="false">'Raw Data'!G50</f>
        <v>none</v>
      </c>
      <c r="H50" s="20" t="n">
        <f aca="false">'Raw Data'!H50</f>
        <v>7228</v>
      </c>
      <c r="I50" s="20" t="n">
        <f aca="false">'Raw Data'!I50</f>
        <v>11</v>
      </c>
      <c r="J50" s="20" t="str">
        <f aca="false">'Raw Data'!J50</f>
        <v>car</v>
      </c>
      <c r="K50" s="21" t="n">
        <f aca="false">H50/I50</f>
        <v>657.090909090909</v>
      </c>
      <c r="L50" s="21" t="n">
        <f aca="false">100-MIN(K50/Assumptions!$B$14,1)*100</f>
        <v>0</v>
      </c>
      <c r="M50" s="21" t="n">
        <f aca="false">VLOOKUP(F50,Assumptions!$A$19:$B$23,2,0)</f>
        <v>25</v>
      </c>
      <c r="N50" s="21" t="n">
        <f aca="false">VLOOKUP(G50,Assumptions!$A$27:$B$30,2,0)</f>
        <v>50</v>
      </c>
      <c r="O50" s="21" t="n">
        <f aca="false">VLOOKUP(D50,Assumptions!$A$34:$B$37,2,0)</f>
        <v>33</v>
      </c>
      <c r="P50" s="21" t="n">
        <f aca="false">VLOOKUP(E50,Assumptions!$A$41:$B$43,2,0)</f>
        <v>100</v>
      </c>
      <c r="Q50" s="22" t="n">
        <f aca="false">L50*Assumptions!$B$7+M50*Assumptions!$B$8+N50*Assumptions!$B$9+O50*Assumptions!$B$10+P50*Assumptions!$B$11</f>
        <v>31.2</v>
      </c>
      <c r="R50" s="11" t="str">
        <f aca="false">IF(Q50&lt;=33,"High Risk",IF(Q50&lt;=66,"Medium Risk","Low Risk"))</f>
        <v>High Risk</v>
      </c>
    </row>
    <row r="51" customFormat="false" ht="15" hidden="false" customHeight="true" outlineLevel="0" collapsed="false">
      <c r="A51" s="20" t="n">
        <f aca="false">'Raw Data'!A51</f>
        <v>50</v>
      </c>
      <c r="B51" s="20" t="n">
        <f aca="false">'Raw Data'!B51</f>
        <v>28</v>
      </c>
      <c r="C51" s="20" t="str">
        <f aca="false">'Raw Data'!C51</f>
        <v>female</v>
      </c>
      <c r="D51" s="20" t="n">
        <f aca="false">'Raw Data'!D51</f>
        <v>2</v>
      </c>
      <c r="E51" s="20" t="str">
        <f aca="false">'Raw Data'!E51</f>
        <v>own</v>
      </c>
      <c r="F51" s="20" t="str">
        <f aca="false">'Raw Data'!F51</f>
        <v>moderate</v>
      </c>
      <c r="G51" s="20" t="str">
        <f aca="false">'Raw Data'!G51</f>
        <v>none</v>
      </c>
      <c r="H51" s="20" t="n">
        <f aca="false">'Raw Data'!H51</f>
        <v>2073</v>
      </c>
      <c r="I51" s="20" t="n">
        <f aca="false">'Raw Data'!I51</f>
        <v>12</v>
      </c>
      <c r="J51" s="20" t="str">
        <f aca="false">'Raw Data'!J51</f>
        <v>radio/TV</v>
      </c>
      <c r="K51" s="21" t="n">
        <f aca="false">H51/I51</f>
        <v>172.75</v>
      </c>
      <c r="L51" s="21" t="n">
        <f aca="false">100-MIN(K51/Assumptions!$B$14,1)*100</f>
        <v>56.8125</v>
      </c>
      <c r="M51" s="21" t="n">
        <f aca="false">VLOOKUP(F51,Assumptions!$A$19:$B$23,2,0)</f>
        <v>50</v>
      </c>
      <c r="N51" s="21" t="n">
        <f aca="false">VLOOKUP(G51,Assumptions!$A$27:$B$30,2,0)</f>
        <v>50</v>
      </c>
      <c r="O51" s="21" t="n">
        <f aca="false">VLOOKUP(D51,Assumptions!$A$34:$B$37,2,0)</f>
        <v>66</v>
      </c>
      <c r="P51" s="21" t="n">
        <f aca="false">VLOOKUP(E51,Assumptions!$A$41:$B$43,2,0)</f>
        <v>100</v>
      </c>
      <c r="Q51" s="22" t="n">
        <f aca="false">L51*Assumptions!$B$7+M51*Assumptions!$B$8+N51*Assumptions!$B$9+O51*Assumptions!$B$10+P51*Assumptions!$B$11</f>
        <v>59.44375</v>
      </c>
      <c r="R51" s="11" t="str">
        <f aca="false">IF(Q51&lt;=33,"High Risk",IF(Q51&lt;=66,"Medium Risk","Low Risk"))</f>
        <v>Medium Risk</v>
      </c>
    </row>
    <row r="52" customFormat="false" ht="15" hidden="false" customHeight="true" outlineLevel="0" collapsed="false">
      <c r="A52" s="20" t="n">
        <f aca="false">'Raw Data'!A52</f>
        <v>51</v>
      </c>
      <c r="B52" s="20" t="n">
        <f aca="false">'Raw Data'!B52</f>
        <v>29</v>
      </c>
      <c r="C52" s="20" t="str">
        <f aca="false">'Raw Data'!C52</f>
        <v>male</v>
      </c>
      <c r="D52" s="20" t="n">
        <f aca="false">'Raw Data'!D52</f>
        <v>1</v>
      </c>
      <c r="E52" s="20" t="str">
        <f aca="false">'Raw Data'!E52</f>
        <v>own</v>
      </c>
      <c r="F52" s="20" t="str">
        <f aca="false">'Raw Data'!F52</f>
        <v>none</v>
      </c>
      <c r="G52" s="20" t="str">
        <f aca="false">'Raw Data'!G52</f>
        <v>moderate</v>
      </c>
      <c r="H52" s="20" t="n">
        <f aca="false">'Raw Data'!H52</f>
        <v>2333</v>
      </c>
      <c r="I52" s="20" t="n">
        <f aca="false">'Raw Data'!I52</f>
        <v>24</v>
      </c>
      <c r="J52" s="20" t="str">
        <f aca="false">'Raw Data'!J52</f>
        <v>furniture/equipment</v>
      </c>
      <c r="K52" s="21" t="n">
        <f aca="false">H52/I52</f>
        <v>97.2083333333333</v>
      </c>
      <c r="L52" s="21" t="n">
        <f aca="false">100-MIN(K52/Assumptions!$B$14,1)*100</f>
        <v>75.6979166666667</v>
      </c>
      <c r="M52" s="21" t="n">
        <f aca="false">VLOOKUP(F52,Assumptions!$A$19:$B$23,2,0)</f>
        <v>40</v>
      </c>
      <c r="N52" s="21" t="n">
        <f aca="false">VLOOKUP(G52,Assumptions!$A$27:$B$30,2,0)</f>
        <v>60</v>
      </c>
      <c r="O52" s="21" t="n">
        <f aca="false">VLOOKUP(D52,Assumptions!$A$34:$B$37,2,0)</f>
        <v>33</v>
      </c>
      <c r="P52" s="21" t="n">
        <f aca="false">VLOOKUP(E52,Assumptions!$A$41:$B$43,2,0)</f>
        <v>100</v>
      </c>
      <c r="Q52" s="22" t="n">
        <f aca="false">L52*Assumptions!$B$7+M52*Assumptions!$B$8+N52*Assumptions!$B$9+O52*Assumptions!$B$10+P52*Assumptions!$B$11</f>
        <v>59.659375</v>
      </c>
      <c r="R52" s="11" t="str">
        <f aca="false">IF(Q52&lt;=33,"High Risk",IF(Q52&lt;=66,"Medium Risk","Low Risk"))</f>
        <v>Medium Risk</v>
      </c>
    </row>
    <row r="53" customFormat="false" ht="15" hidden="false" customHeight="true" outlineLevel="0" collapsed="false">
      <c r="A53" s="20" t="n">
        <f aca="false">'Raw Data'!A53</f>
        <v>52</v>
      </c>
      <c r="B53" s="20" t="n">
        <f aca="false">'Raw Data'!B53</f>
        <v>30</v>
      </c>
      <c r="C53" s="20" t="str">
        <f aca="false">'Raw Data'!C53</f>
        <v>male</v>
      </c>
      <c r="D53" s="20" t="n">
        <f aca="false">'Raw Data'!D53</f>
        <v>3</v>
      </c>
      <c r="E53" s="20" t="str">
        <f aca="false">'Raw Data'!E53</f>
        <v>own</v>
      </c>
      <c r="F53" s="20" t="str">
        <f aca="false">'Raw Data'!F53</f>
        <v>little</v>
      </c>
      <c r="G53" s="20" t="str">
        <f aca="false">'Raw Data'!G53</f>
        <v>moderate</v>
      </c>
      <c r="H53" s="20" t="n">
        <f aca="false">'Raw Data'!H53</f>
        <v>5965</v>
      </c>
      <c r="I53" s="20" t="n">
        <f aca="false">'Raw Data'!I53</f>
        <v>27</v>
      </c>
      <c r="J53" s="20" t="str">
        <f aca="false">'Raw Data'!J53</f>
        <v>car</v>
      </c>
      <c r="K53" s="21" t="n">
        <f aca="false">H53/I53</f>
        <v>220.925925925926</v>
      </c>
      <c r="L53" s="21" t="n">
        <f aca="false">100-MIN(K53/Assumptions!$B$14,1)*100</f>
        <v>44.7685185185185</v>
      </c>
      <c r="M53" s="21" t="n">
        <f aca="false">VLOOKUP(F53,Assumptions!$A$19:$B$23,2,0)</f>
        <v>25</v>
      </c>
      <c r="N53" s="21" t="n">
        <f aca="false">VLOOKUP(G53,Assumptions!$A$27:$B$30,2,0)</f>
        <v>60</v>
      </c>
      <c r="O53" s="21" t="n">
        <f aca="false">VLOOKUP(D53,Assumptions!$A$34:$B$37,2,0)</f>
        <v>100</v>
      </c>
      <c r="P53" s="21" t="n">
        <f aca="false">VLOOKUP(E53,Assumptions!$A$41:$B$43,2,0)</f>
        <v>100</v>
      </c>
      <c r="Q53" s="22" t="n">
        <f aca="false">L53*Assumptions!$B$7+M53*Assumptions!$B$8+N53*Assumptions!$B$9+O53*Assumptions!$B$10+P53*Assumptions!$B$11</f>
        <v>56.6805555555556</v>
      </c>
      <c r="R53" s="11" t="str">
        <f aca="false">IF(Q53&lt;=33,"High Risk",IF(Q53&lt;=66,"Medium Risk","Low Risk"))</f>
        <v>Medium Risk</v>
      </c>
    </row>
    <row r="54" customFormat="false" ht="15" hidden="false" customHeight="true" outlineLevel="0" collapsed="false">
      <c r="A54" s="20" t="n">
        <f aca="false">'Raw Data'!A54</f>
        <v>53</v>
      </c>
      <c r="B54" s="20" t="n">
        <f aca="false">'Raw Data'!B54</f>
        <v>25</v>
      </c>
      <c r="C54" s="20" t="str">
        <f aca="false">'Raw Data'!C54</f>
        <v>male</v>
      </c>
      <c r="D54" s="20" t="n">
        <f aca="false">'Raw Data'!D54</f>
        <v>2</v>
      </c>
      <c r="E54" s="20" t="str">
        <f aca="false">'Raw Data'!E54</f>
        <v>own</v>
      </c>
      <c r="F54" s="20" t="str">
        <f aca="false">'Raw Data'!F54</f>
        <v>little</v>
      </c>
      <c r="G54" s="20" t="str">
        <f aca="false">'Raw Data'!G54</f>
        <v>none</v>
      </c>
      <c r="H54" s="20" t="n">
        <f aca="false">'Raw Data'!H54</f>
        <v>1262</v>
      </c>
      <c r="I54" s="20" t="n">
        <f aca="false">'Raw Data'!I54</f>
        <v>12</v>
      </c>
      <c r="J54" s="20" t="str">
        <f aca="false">'Raw Data'!J54</f>
        <v>radio/TV</v>
      </c>
      <c r="K54" s="21" t="n">
        <f aca="false">H54/I54</f>
        <v>105.166666666667</v>
      </c>
      <c r="L54" s="21" t="n">
        <f aca="false">100-MIN(K54/Assumptions!$B$14,1)*100</f>
        <v>73.7083333333333</v>
      </c>
      <c r="M54" s="21" t="n">
        <f aca="false">VLOOKUP(F54,Assumptions!$A$19:$B$23,2,0)</f>
        <v>25</v>
      </c>
      <c r="N54" s="21" t="n">
        <f aca="false">VLOOKUP(G54,Assumptions!$A$27:$B$30,2,0)</f>
        <v>50</v>
      </c>
      <c r="O54" s="21" t="n">
        <f aca="false">VLOOKUP(D54,Assumptions!$A$34:$B$37,2,0)</f>
        <v>66</v>
      </c>
      <c r="P54" s="21" t="n">
        <f aca="false">VLOOKUP(E54,Assumptions!$A$41:$B$43,2,0)</f>
        <v>100</v>
      </c>
      <c r="Q54" s="22" t="n">
        <f aca="false">L54*Assumptions!$B$7+M54*Assumptions!$B$8+N54*Assumptions!$B$9+O54*Assumptions!$B$10+P54*Assumptions!$B$11</f>
        <v>58.2625</v>
      </c>
      <c r="R54" s="11" t="str">
        <f aca="false">IF(Q54&lt;=33,"High Risk",IF(Q54&lt;=66,"Medium Risk","Low Risk"))</f>
        <v>Medium Risk</v>
      </c>
    </row>
    <row r="55" customFormat="false" ht="15" hidden="false" customHeight="true" outlineLevel="0" collapsed="false">
      <c r="A55" s="20" t="n">
        <f aca="false">'Raw Data'!A55</f>
        <v>54</v>
      </c>
      <c r="B55" s="20" t="n">
        <f aca="false">'Raw Data'!B55</f>
        <v>31</v>
      </c>
      <c r="C55" s="20" t="str">
        <f aca="false">'Raw Data'!C55</f>
        <v>male</v>
      </c>
      <c r="D55" s="20" t="n">
        <f aca="false">'Raw Data'!D55</f>
        <v>2</v>
      </c>
      <c r="E55" s="20" t="str">
        <f aca="false">'Raw Data'!E55</f>
        <v>own</v>
      </c>
      <c r="F55" s="20" t="str">
        <f aca="false">'Raw Data'!F55</f>
        <v>none</v>
      </c>
      <c r="G55" s="20" t="str">
        <f aca="false">'Raw Data'!G55</f>
        <v>none</v>
      </c>
      <c r="H55" s="20" t="n">
        <f aca="false">'Raw Data'!H55</f>
        <v>3378</v>
      </c>
      <c r="I55" s="20" t="n">
        <f aca="false">'Raw Data'!I55</f>
        <v>18</v>
      </c>
      <c r="J55" s="20" t="str">
        <f aca="false">'Raw Data'!J55</f>
        <v>car</v>
      </c>
      <c r="K55" s="21" t="n">
        <f aca="false">H55/I55</f>
        <v>187.666666666667</v>
      </c>
      <c r="L55" s="21" t="n">
        <f aca="false">100-MIN(K55/Assumptions!$B$14,1)*100</f>
        <v>53.0833333333333</v>
      </c>
      <c r="M55" s="21" t="n">
        <f aca="false">VLOOKUP(F55,Assumptions!$A$19:$B$23,2,0)</f>
        <v>40</v>
      </c>
      <c r="N55" s="21" t="n">
        <f aca="false">VLOOKUP(G55,Assumptions!$A$27:$B$30,2,0)</f>
        <v>50</v>
      </c>
      <c r="O55" s="21" t="n">
        <f aca="false">VLOOKUP(D55,Assumptions!$A$34:$B$37,2,0)</f>
        <v>66</v>
      </c>
      <c r="P55" s="21" t="n">
        <f aca="false">VLOOKUP(E55,Assumptions!$A$41:$B$43,2,0)</f>
        <v>100</v>
      </c>
      <c r="Q55" s="22" t="n">
        <f aca="false">L55*Assumptions!$B$7+M55*Assumptions!$B$8+N55*Assumptions!$B$9+O55*Assumptions!$B$10+P55*Assumptions!$B$11</f>
        <v>55.825</v>
      </c>
      <c r="R55" s="11" t="str">
        <f aca="false">IF(Q55&lt;=33,"High Risk",IF(Q55&lt;=66,"Medium Risk","Low Risk"))</f>
        <v>Medium Risk</v>
      </c>
    </row>
    <row r="56" customFormat="false" ht="15" hidden="false" customHeight="true" outlineLevel="0" collapsed="false">
      <c r="A56" s="20" t="n">
        <f aca="false">'Raw Data'!A56</f>
        <v>55</v>
      </c>
      <c r="B56" s="20" t="n">
        <f aca="false">'Raw Data'!B56</f>
        <v>57</v>
      </c>
      <c r="C56" s="20" t="str">
        <f aca="false">'Raw Data'!C56</f>
        <v>male</v>
      </c>
      <c r="D56" s="20" t="n">
        <f aca="false">'Raw Data'!D56</f>
        <v>2</v>
      </c>
      <c r="E56" s="20" t="str">
        <f aca="false">'Raw Data'!E56</f>
        <v>free</v>
      </c>
      <c r="F56" s="20" t="str">
        <f aca="false">'Raw Data'!F56</f>
        <v>little</v>
      </c>
      <c r="G56" s="20" t="str">
        <f aca="false">'Raw Data'!G56</f>
        <v>moderate</v>
      </c>
      <c r="H56" s="20" t="n">
        <f aca="false">'Raw Data'!H56</f>
        <v>2225</v>
      </c>
      <c r="I56" s="20" t="n">
        <f aca="false">'Raw Data'!I56</f>
        <v>36</v>
      </c>
      <c r="J56" s="20" t="str">
        <f aca="false">'Raw Data'!J56</f>
        <v>car</v>
      </c>
      <c r="K56" s="21" t="n">
        <f aca="false">H56/I56</f>
        <v>61.8055555555556</v>
      </c>
      <c r="L56" s="21" t="n">
        <f aca="false">100-MIN(K56/Assumptions!$B$14,1)*100</f>
        <v>84.5486111111111</v>
      </c>
      <c r="M56" s="21" t="n">
        <f aca="false">VLOOKUP(F56,Assumptions!$A$19:$B$23,2,0)</f>
        <v>25</v>
      </c>
      <c r="N56" s="21" t="n">
        <f aca="false">VLOOKUP(G56,Assumptions!$A$27:$B$30,2,0)</f>
        <v>60</v>
      </c>
      <c r="O56" s="21" t="n">
        <f aca="false">VLOOKUP(D56,Assumptions!$A$34:$B$37,2,0)</f>
        <v>66</v>
      </c>
      <c r="P56" s="21" t="n">
        <f aca="false">VLOOKUP(E56,Assumptions!$A$41:$B$43,2,0)</f>
        <v>60</v>
      </c>
      <c r="Q56" s="22" t="n">
        <f aca="false">L56*Assumptions!$B$7+M56*Assumptions!$B$8+N56*Assumptions!$B$9+O56*Assumptions!$B$10+P56*Assumptions!$B$11</f>
        <v>59.5145833333333</v>
      </c>
      <c r="R56" s="11" t="str">
        <f aca="false">IF(Q56&lt;=33,"High Risk",IF(Q56&lt;=66,"Medium Risk","Low Risk"))</f>
        <v>Medium Risk</v>
      </c>
    </row>
    <row r="57" customFormat="false" ht="15" hidden="false" customHeight="true" outlineLevel="0" collapsed="false">
      <c r="A57" s="20" t="n">
        <f aca="false">'Raw Data'!A57</f>
        <v>56</v>
      </c>
      <c r="B57" s="20" t="n">
        <f aca="false">'Raw Data'!B57</f>
        <v>26</v>
      </c>
      <c r="C57" s="20" t="str">
        <f aca="false">'Raw Data'!C57</f>
        <v>male</v>
      </c>
      <c r="D57" s="20" t="n">
        <f aca="false">'Raw Data'!D57</f>
        <v>1</v>
      </c>
      <c r="E57" s="20" t="str">
        <f aca="false">'Raw Data'!E57</f>
        <v>own</v>
      </c>
      <c r="F57" s="20" t="str">
        <f aca="false">'Raw Data'!F57</f>
        <v>none</v>
      </c>
      <c r="G57" s="20" t="str">
        <f aca="false">'Raw Data'!G57</f>
        <v>none</v>
      </c>
      <c r="H57" s="20" t="n">
        <f aca="false">'Raw Data'!H57</f>
        <v>783</v>
      </c>
      <c r="I57" s="20" t="n">
        <f aca="false">'Raw Data'!I57</f>
        <v>6</v>
      </c>
      <c r="J57" s="20" t="str">
        <f aca="false">'Raw Data'!J57</f>
        <v>car</v>
      </c>
      <c r="K57" s="21" t="n">
        <f aca="false">H57/I57</f>
        <v>130.5</v>
      </c>
      <c r="L57" s="21" t="n">
        <f aca="false">100-MIN(K57/Assumptions!$B$14,1)*100</f>
        <v>67.375</v>
      </c>
      <c r="M57" s="21" t="n">
        <f aca="false">VLOOKUP(F57,Assumptions!$A$19:$B$23,2,0)</f>
        <v>40</v>
      </c>
      <c r="N57" s="21" t="n">
        <f aca="false">VLOOKUP(G57,Assumptions!$A$27:$B$30,2,0)</f>
        <v>50</v>
      </c>
      <c r="O57" s="21" t="n">
        <f aca="false">VLOOKUP(D57,Assumptions!$A$34:$B$37,2,0)</f>
        <v>33</v>
      </c>
      <c r="P57" s="21" t="n">
        <f aca="false">VLOOKUP(E57,Assumptions!$A$41:$B$43,2,0)</f>
        <v>100</v>
      </c>
      <c r="Q57" s="22" t="n">
        <f aca="false">L57*Assumptions!$B$7+M57*Assumptions!$B$8+N57*Assumptions!$B$9+O57*Assumptions!$B$10+P57*Assumptions!$B$11</f>
        <v>55.1625</v>
      </c>
      <c r="R57" s="11" t="str">
        <f aca="false">IF(Q57&lt;=33,"High Risk",IF(Q57&lt;=66,"Medium Risk","Low Risk"))</f>
        <v>Medium Risk</v>
      </c>
    </row>
    <row r="58" customFormat="false" ht="15" hidden="false" customHeight="true" outlineLevel="0" collapsed="false">
      <c r="A58" s="20" t="n">
        <f aca="false">'Raw Data'!A58</f>
        <v>57</v>
      </c>
      <c r="B58" s="20" t="n">
        <f aca="false">'Raw Data'!B58</f>
        <v>52</v>
      </c>
      <c r="C58" s="20" t="str">
        <f aca="false">'Raw Data'!C58</f>
        <v>male</v>
      </c>
      <c r="D58" s="20" t="n">
        <f aca="false">'Raw Data'!D58</f>
        <v>3</v>
      </c>
      <c r="E58" s="20" t="str">
        <f aca="false">'Raw Data'!E58</f>
        <v>own</v>
      </c>
      <c r="F58" s="20" t="str">
        <f aca="false">'Raw Data'!F58</f>
        <v>none</v>
      </c>
      <c r="G58" s="20" t="str">
        <f aca="false">'Raw Data'!G58</f>
        <v>moderate</v>
      </c>
      <c r="H58" s="20" t="n">
        <f aca="false">'Raw Data'!H58</f>
        <v>6468</v>
      </c>
      <c r="I58" s="20" t="n">
        <f aca="false">'Raw Data'!I58</f>
        <v>12</v>
      </c>
      <c r="J58" s="20" t="str">
        <f aca="false">'Raw Data'!J58</f>
        <v>radio/TV</v>
      </c>
      <c r="K58" s="21" t="n">
        <f aca="false">H58/I58</f>
        <v>539</v>
      </c>
      <c r="L58" s="21" t="n">
        <f aca="false">100-MIN(K58/Assumptions!$B$14,1)*100</f>
        <v>0</v>
      </c>
      <c r="M58" s="21" t="n">
        <f aca="false">VLOOKUP(F58,Assumptions!$A$19:$B$23,2,0)</f>
        <v>40</v>
      </c>
      <c r="N58" s="21" t="n">
        <f aca="false">VLOOKUP(G58,Assumptions!$A$27:$B$30,2,0)</f>
        <v>60</v>
      </c>
      <c r="O58" s="21" t="n">
        <f aca="false">VLOOKUP(D58,Assumptions!$A$34:$B$37,2,0)</f>
        <v>100</v>
      </c>
      <c r="P58" s="21" t="n">
        <f aca="false">VLOOKUP(E58,Assumptions!$A$41:$B$43,2,0)</f>
        <v>100</v>
      </c>
      <c r="Q58" s="22" t="n">
        <f aca="false">L58*Assumptions!$B$7+M58*Assumptions!$B$8+N58*Assumptions!$B$9+O58*Assumptions!$B$10+P58*Assumptions!$B$11</f>
        <v>47</v>
      </c>
      <c r="R58" s="11" t="str">
        <f aca="false">IF(Q58&lt;=33,"High Risk",IF(Q58&lt;=66,"Medium Risk","Low Risk"))</f>
        <v>Medium Risk</v>
      </c>
    </row>
    <row r="59" customFormat="false" ht="15" hidden="false" customHeight="true" outlineLevel="0" collapsed="false">
      <c r="A59" s="20" t="n">
        <f aca="false">'Raw Data'!A59</f>
        <v>58</v>
      </c>
      <c r="B59" s="20" t="n">
        <f aca="false">'Raw Data'!B59</f>
        <v>31</v>
      </c>
      <c r="C59" s="20" t="str">
        <f aca="false">'Raw Data'!C59</f>
        <v>female</v>
      </c>
      <c r="D59" s="20" t="n">
        <f aca="false">'Raw Data'!D59</f>
        <v>2</v>
      </c>
      <c r="E59" s="20" t="str">
        <f aca="false">'Raw Data'!E59</f>
        <v>own</v>
      </c>
      <c r="F59" s="20" t="str">
        <f aca="false">'Raw Data'!F59</f>
        <v>little</v>
      </c>
      <c r="G59" s="20" t="str">
        <f aca="false">'Raw Data'!G59</f>
        <v>none</v>
      </c>
      <c r="H59" s="20" t="n">
        <f aca="false">'Raw Data'!H59</f>
        <v>9566</v>
      </c>
      <c r="I59" s="20" t="n">
        <f aca="false">'Raw Data'!I59</f>
        <v>36</v>
      </c>
      <c r="J59" s="20" t="str">
        <f aca="false">'Raw Data'!J59</f>
        <v>radio/TV</v>
      </c>
      <c r="K59" s="21" t="n">
        <f aca="false">H59/I59</f>
        <v>265.722222222222</v>
      </c>
      <c r="L59" s="21" t="n">
        <f aca="false">100-MIN(K59/Assumptions!$B$14,1)*100</f>
        <v>33.5694444444444</v>
      </c>
      <c r="M59" s="21" t="n">
        <f aca="false">VLOOKUP(F59,Assumptions!$A$19:$B$23,2,0)</f>
        <v>25</v>
      </c>
      <c r="N59" s="21" t="n">
        <f aca="false">VLOOKUP(G59,Assumptions!$A$27:$B$30,2,0)</f>
        <v>50</v>
      </c>
      <c r="O59" s="21" t="n">
        <f aca="false">VLOOKUP(D59,Assumptions!$A$34:$B$37,2,0)</f>
        <v>66</v>
      </c>
      <c r="P59" s="21" t="n">
        <f aca="false">VLOOKUP(E59,Assumptions!$A$41:$B$43,2,0)</f>
        <v>100</v>
      </c>
      <c r="Q59" s="22" t="n">
        <f aca="false">L59*Assumptions!$B$7+M59*Assumptions!$B$8+N59*Assumptions!$B$9+O59*Assumptions!$B$10+P59*Assumptions!$B$11</f>
        <v>46.2208333333333</v>
      </c>
      <c r="R59" s="11" t="str">
        <f aca="false">IF(Q59&lt;=33,"High Risk",IF(Q59&lt;=66,"Medium Risk","Low Risk"))</f>
        <v>Medium Risk</v>
      </c>
    </row>
    <row r="60" customFormat="false" ht="15" hidden="false" customHeight="true" outlineLevel="0" collapsed="false">
      <c r="A60" s="20" t="n">
        <f aca="false">'Raw Data'!A60</f>
        <v>59</v>
      </c>
      <c r="B60" s="20" t="n">
        <f aca="false">'Raw Data'!B60</f>
        <v>23</v>
      </c>
      <c r="C60" s="20" t="str">
        <f aca="false">'Raw Data'!C60</f>
        <v>female</v>
      </c>
      <c r="D60" s="20" t="n">
        <f aca="false">'Raw Data'!D60</f>
        <v>3</v>
      </c>
      <c r="E60" s="20" t="str">
        <f aca="false">'Raw Data'!E60</f>
        <v>own</v>
      </c>
      <c r="F60" s="20" t="str">
        <f aca="false">'Raw Data'!F60</f>
        <v>little</v>
      </c>
      <c r="G60" s="20" t="str">
        <f aca="false">'Raw Data'!G60</f>
        <v>rich</v>
      </c>
      <c r="H60" s="20" t="n">
        <f aca="false">'Raw Data'!H60</f>
        <v>1961</v>
      </c>
      <c r="I60" s="20" t="n">
        <f aca="false">'Raw Data'!I60</f>
        <v>18</v>
      </c>
      <c r="J60" s="20" t="str">
        <f aca="false">'Raw Data'!J60</f>
        <v>car</v>
      </c>
      <c r="K60" s="21" t="n">
        <f aca="false">H60/I60</f>
        <v>108.944444444444</v>
      </c>
      <c r="L60" s="21" t="n">
        <f aca="false">100-MIN(K60/Assumptions!$B$14,1)*100</f>
        <v>72.7638888888889</v>
      </c>
      <c r="M60" s="21" t="n">
        <f aca="false">VLOOKUP(F60,Assumptions!$A$19:$B$23,2,0)</f>
        <v>25</v>
      </c>
      <c r="N60" s="21" t="n">
        <f aca="false">VLOOKUP(G60,Assumptions!$A$27:$B$30,2,0)</f>
        <v>100</v>
      </c>
      <c r="O60" s="21" t="n">
        <f aca="false">VLOOKUP(D60,Assumptions!$A$34:$B$37,2,0)</f>
        <v>100</v>
      </c>
      <c r="P60" s="21" t="n">
        <f aca="false">VLOOKUP(E60,Assumptions!$A$41:$B$43,2,0)</f>
        <v>100</v>
      </c>
      <c r="Q60" s="22" t="n">
        <f aca="false">L60*Assumptions!$B$7+M60*Assumptions!$B$8+N60*Assumptions!$B$9+O60*Assumptions!$B$10+P60*Assumptions!$B$11</f>
        <v>73.0791666666667</v>
      </c>
      <c r="R60" s="11" t="str">
        <f aca="false">IF(Q60&lt;=33,"High Risk",IF(Q60&lt;=66,"Medium Risk","Low Risk"))</f>
        <v>Low Risk</v>
      </c>
    </row>
    <row r="61" customFormat="false" ht="15" hidden="false" customHeight="true" outlineLevel="0" collapsed="false">
      <c r="A61" s="20" t="n">
        <f aca="false">'Raw Data'!A61</f>
        <v>60</v>
      </c>
      <c r="B61" s="20" t="n">
        <f aca="false">'Raw Data'!B61</f>
        <v>23</v>
      </c>
      <c r="C61" s="20" t="str">
        <f aca="false">'Raw Data'!C61</f>
        <v>female</v>
      </c>
      <c r="D61" s="20" t="n">
        <f aca="false">'Raw Data'!D61</f>
        <v>1</v>
      </c>
      <c r="E61" s="20" t="str">
        <f aca="false">'Raw Data'!E61</f>
        <v>rent</v>
      </c>
      <c r="F61" s="20" t="str">
        <f aca="false">'Raw Data'!F61</f>
        <v>little</v>
      </c>
      <c r="G61" s="20" t="str">
        <f aca="false">'Raw Data'!G61</f>
        <v>little</v>
      </c>
      <c r="H61" s="20" t="n">
        <f aca="false">'Raw Data'!H61</f>
        <v>6229</v>
      </c>
      <c r="I61" s="20" t="n">
        <f aca="false">'Raw Data'!I61</f>
        <v>36</v>
      </c>
      <c r="J61" s="20" t="str">
        <f aca="false">'Raw Data'!J61</f>
        <v>furniture/equipment</v>
      </c>
      <c r="K61" s="21" t="n">
        <f aca="false">H61/I61</f>
        <v>173.027777777778</v>
      </c>
      <c r="L61" s="21" t="n">
        <f aca="false">100-MIN(K61/Assumptions!$B$14,1)*100</f>
        <v>56.7430555555556</v>
      </c>
      <c r="M61" s="21" t="n">
        <f aca="false">VLOOKUP(F61,Assumptions!$A$19:$B$23,2,0)</f>
        <v>25</v>
      </c>
      <c r="N61" s="21" t="n">
        <f aca="false">VLOOKUP(G61,Assumptions!$A$27:$B$30,2,0)</f>
        <v>25</v>
      </c>
      <c r="O61" s="21" t="n">
        <f aca="false">VLOOKUP(D61,Assumptions!$A$34:$B$37,2,0)</f>
        <v>33</v>
      </c>
      <c r="P61" s="21" t="n">
        <f aca="false">VLOOKUP(E61,Assumptions!$A$41:$B$43,2,0)</f>
        <v>30</v>
      </c>
      <c r="Q61" s="22" t="n">
        <f aca="false">L61*Assumptions!$B$7+M61*Assumptions!$B$8+N61*Assumptions!$B$9+O61*Assumptions!$B$10+P61*Assumptions!$B$11</f>
        <v>36.2229166666667</v>
      </c>
      <c r="R61" s="11" t="str">
        <f aca="false">IF(Q61&lt;=33,"High Risk",IF(Q61&lt;=66,"Medium Risk","Low Risk"))</f>
        <v>Medium Risk</v>
      </c>
    </row>
    <row r="62" customFormat="false" ht="15" hidden="false" customHeight="true" outlineLevel="0" collapsed="false">
      <c r="A62" s="20" t="n">
        <f aca="false">'Raw Data'!A62</f>
        <v>61</v>
      </c>
      <c r="B62" s="20" t="n">
        <f aca="false">'Raw Data'!B62</f>
        <v>27</v>
      </c>
      <c r="C62" s="20" t="str">
        <f aca="false">'Raw Data'!C62</f>
        <v>male</v>
      </c>
      <c r="D62" s="20" t="n">
        <f aca="false">'Raw Data'!D62</f>
        <v>2</v>
      </c>
      <c r="E62" s="20" t="str">
        <f aca="false">'Raw Data'!E62</f>
        <v>own</v>
      </c>
      <c r="F62" s="20" t="str">
        <f aca="false">'Raw Data'!F62</f>
        <v>little</v>
      </c>
      <c r="G62" s="20" t="str">
        <f aca="false">'Raw Data'!G62</f>
        <v>moderate</v>
      </c>
      <c r="H62" s="20" t="n">
        <f aca="false">'Raw Data'!H62</f>
        <v>1391</v>
      </c>
      <c r="I62" s="20" t="n">
        <f aca="false">'Raw Data'!I62</f>
        <v>9</v>
      </c>
      <c r="J62" s="20" t="str">
        <f aca="false">'Raw Data'!J62</f>
        <v>business</v>
      </c>
      <c r="K62" s="21" t="n">
        <f aca="false">H62/I62</f>
        <v>154.555555555556</v>
      </c>
      <c r="L62" s="21" t="n">
        <f aca="false">100-MIN(K62/Assumptions!$B$14,1)*100</f>
        <v>61.3611111111111</v>
      </c>
      <c r="M62" s="21" t="n">
        <f aca="false">VLOOKUP(F62,Assumptions!$A$19:$B$23,2,0)</f>
        <v>25</v>
      </c>
      <c r="N62" s="21" t="n">
        <f aca="false">VLOOKUP(G62,Assumptions!$A$27:$B$30,2,0)</f>
        <v>60</v>
      </c>
      <c r="O62" s="21" t="n">
        <f aca="false">VLOOKUP(D62,Assumptions!$A$34:$B$37,2,0)</f>
        <v>66</v>
      </c>
      <c r="P62" s="21" t="n">
        <f aca="false">VLOOKUP(E62,Assumptions!$A$41:$B$43,2,0)</f>
        <v>100</v>
      </c>
      <c r="Q62" s="22" t="n">
        <f aca="false">L62*Assumptions!$B$7+M62*Assumptions!$B$8+N62*Assumptions!$B$9+O62*Assumptions!$B$10+P62*Assumptions!$B$11</f>
        <v>56.5583333333333</v>
      </c>
      <c r="R62" s="11" t="str">
        <f aca="false">IF(Q62&lt;=33,"High Risk",IF(Q62&lt;=66,"Medium Risk","Low Risk"))</f>
        <v>Medium Risk</v>
      </c>
    </row>
    <row r="63" customFormat="false" ht="15" hidden="false" customHeight="true" outlineLevel="0" collapsed="false">
      <c r="A63" s="20" t="n">
        <f aca="false">'Raw Data'!A63</f>
        <v>62</v>
      </c>
      <c r="B63" s="20" t="n">
        <f aca="false">'Raw Data'!B63</f>
        <v>50</v>
      </c>
      <c r="C63" s="20" t="str">
        <f aca="false">'Raw Data'!C63</f>
        <v>male</v>
      </c>
      <c r="D63" s="20" t="n">
        <f aca="false">'Raw Data'!D63</f>
        <v>2</v>
      </c>
      <c r="E63" s="20" t="str">
        <f aca="false">'Raw Data'!E63</f>
        <v>own</v>
      </c>
      <c r="F63" s="20" t="str">
        <f aca="false">'Raw Data'!F63</f>
        <v>none</v>
      </c>
      <c r="G63" s="20" t="str">
        <f aca="false">'Raw Data'!G63</f>
        <v>moderate</v>
      </c>
      <c r="H63" s="20" t="n">
        <f aca="false">'Raw Data'!H63</f>
        <v>1537</v>
      </c>
      <c r="I63" s="20" t="n">
        <f aca="false">'Raw Data'!I63</f>
        <v>15</v>
      </c>
      <c r="J63" s="20" t="str">
        <f aca="false">'Raw Data'!J63</f>
        <v>radio/TV</v>
      </c>
      <c r="K63" s="21" t="n">
        <f aca="false">H63/I63</f>
        <v>102.466666666667</v>
      </c>
      <c r="L63" s="21" t="n">
        <f aca="false">100-MIN(K63/Assumptions!$B$14,1)*100</f>
        <v>74.3833333333333</v>
      </c>
      <c r="M63" s="21" t="n">
        <f aca="false">VLOOKUP(F63,Assumptions!$A$19:$B$23,2,0)</f>
        <v>40</v>
      </c>
      <c r="N63" s="21" t="n">
        <f aca="false">VLOOKUP(G63,Assumptions!$A$27:$B$30,2,0)</f>
        <v>60</v>
      </c>
      <c r="O63" s="21" t="n">
        <f aca="false">VLOOKUP(D63,Assumptions!$A$34:$B$37,2,0)</f>
        <v>66</v>
      </c>
      <c r="P63" s="21" t="n">
        <f aca="false">VLOOKUP(E63,Assumptions!$A$41:$B$43,2,0)</f>
        <v>100</v>
      </c>
      <c r="Q63" s="22" t="n">
        <f aca="false">L63*Assumptions!$B$7+M63*Assumptions!$B$8+N63*Assumptions!$B$9+O63*Assumptions!$B$10+P63*Assumptions!$B$11</f>
        <v>64.215</v>
      </c>
      <c r="R63" s="11" t="str">
        <f aca="false">IF(Q63&lt;=33,"High Risk",IF(Q63&lt;=66,"Medium Risk","Low Risk"))</f>
        <v>Medium Risk</v>
      </c>
    </row>
    <row r="64" customFormat="false" ht="15" hidden="false" customHeight="true" outlineLevel="0" collapsed="false">
      <c r="A64" s="20" t="n">
        <f aca="false">'Raw Data'!A64</f>
        <v>63</v>
      </c>
      <c r="B64" s="20" t="n">
        <f aca="false">'Raw Data'!B64</f>
        <v>61</v>
      </c>
      <c r="C64" s="20" t="str">
        <f aca="false">'Raw Data'!C64</f>
        <v>male</v>
      </c>
      <c r="D64" s="20" t="n">
        <f aca="false">'Raw Data'!D64</f>
        <v>3</v>
      </c>
      <c r="E64" s="20" t="str">
        <f aca="false">'Raw Data'!E64</f>
        <v>free</v>
      </c>
      <c r="F64" s="20" t="str">
        <f aca="false">'Raw Data'!F64</f>
        <v>little</v>
      </c>
      <c r="G64" s="20" t="str">
        <f aca="false">'Raw Data'!G64</f>
        <v>moderate</v>
      </c>
      <c r="H64" s="20" t="n">
        <f aca="false">'Raw Data'!H64</f>
        <v>1953</v>
      </c>
      <c r="I64" s="20" t="n">
        <f aca="false">'Raw Data'!I64</f>
        <v>36</v>
      </c>
      <c r="J64" s="20" t="str">
        <f aca="false">'Raw Data'!J64</f>
        <v>business</v>
      </c>
      <c r="K64" s="21" t="n">
        <f aca="false">H64/I64</f>
        <v>54.25</v>
      </c>
      <c r="L64" s="21" t="n">
        <f aca="false">100-MIN(K64/Assumptions!$B$14,1)*100</f>
        <v>86.4375</v>
      </c>
      <c r="M64" s="21" t="n">
        <f aca="false">VLOOKUP(F64,Assumptions!$A$19:$B$23,2,0)</f>
        <v>25</v>
      </c>
      <c r="N64" s="21" t="n">
        <f aca="false">VLOOKUP(G64,Assumptions!$A$27:$B$30,2,0)</f>
        <v>60</v>
      </c>
      <c r="O64" s="21" t="n">
        <f aca="false">VLOOKUP(D64,Assumptions!$A$34:$B$37,2,0)</f>
        <v>100</v>
      </c>
      <c r="P64" s="21" t="n">
        <f aca="false">VLOOKUP(E64,Assumptions!$A$41:$B$43,2,0)</f>
        <v>60</v>
      </c>
      <c r="Q64" s="22" t="n">
        <f aca="false">L64*Assumptions!$B$7+M64*Assumptions!$B$8+N64*Assumptions!$B$9+O64*Assumptions!$B$10+P64*Assumptions!$B$11</f>
        <v>65.18125</v>
      </c>
      <c r="R64" s="11" t="str">
        <f aca="false">IF(Q64&lt;=33,"High Risk",IF(Q64&lt;=66,"Medium Risk","Low Risk"))</f>
        <v>Medium Risk</v>
      </c>
    </row>
    <row r="65" customFormat="false" ht="15" hidden="false" customHeight="true" outlineLevel="0" collapsed="false">
      <c r="A65" s="20" t="n">
        <f aca="false">'Raw Data'!A65</f>
        <v>64</v>
      </c>
      <c r="B65" s="20" t="n">
        <f aca="false">'Raw Data'!B65</f>
        <v>25</v>
      </c>
      <c r="C65" s="20" t="str">
        <f aca="false">'Raw Data'!C65</f>
        <v>male</v>
      </c>
      <c r="D65" s="20" t="n">
        <f aca="false">'Raw Data'!D65</f>
        <v>2</v>
      </c>
      <c r="E65" s="20" t="str">
        <f aca="false">'Raw Data'!E65</f>
        <v>own</v>
      </c>
      <c r="F65" s="20" t="str">
        <f aca="false">'Raw Data'!F65</f>
        <v>little</v>
      </c>
      <c r="G65" s="20" t="str">
        <f aca="false">'Raw Data'!G65</f>
        <v>moderate</v>
      </c>
      <c r="H65" s="20" t="n">
        <f aca="false">'Raw Data'!H65</f>
        <v>14421</v>
      </c>
      <c r="I65" s="20" t="n">
        <f aca="false">'Raw Data'!I65</f>
        <v>48</v>
      </c>
      <c r="J65" s="20" t="str">
        <f aca="false">'Raw Data'!J65</f>
        <v>business</v>
      </c>
      <c r="K65" s="21" t="n">
        <f aca="false">H65/I65</f>
        <v>300.4375</v>
      </c>
      <c r="L65" s="21" t="n">
        <f aca="false">100-MIN(K65/Assumptions!$B$14,1)*100</f>
        <v>24.890625</v>
      </c>
      <c r="M65" s="21" t="n">
        <f aca="false">VLOOKUP(F65,Assumptions!$A$19:$B$23,2,0)</f>
        <v>25</v>
      </c>
      <c r="N65" s="21" t="n">
        <f aca="false">VLOOKUP(G65,Assumptions!$A$27:$B$30,2,0)</f>
        <v>60</v>
      </c>
      <c r="O65" s="21" t="n">
        <f aca="false">VLOOKUP(D65,Assumptions!$A$34:$B$37,2,0)</f>
        <v>66</v>
      </c>
      <c r="P65" s="21" t="n">
        <f aca="false">VLOOKUP(E65,Assumptions!$A$41:$B$43,2,0)</f>
        <v>100</v>
      </c>
      <c r="Q65" s="22" t="n">
        <f aca="false">L65*Assumptions!$B$7+M65*Assumptions!$B$8+N65*Assumptions!$B$9+O65*Assumptions!$B$10+P65*Assumptions!$B$11</f>
        <v>45.6171875</v>
      </c>
      <c r="R65" s="11" t="str">
        <f aca="false">IF(Q65&lt;=33,"High Risk",IF(Q65&lt;=66,"Medium Risk","Low Risk"))</f>
        <v>Medium Risk</v>
      </c>
    </row>
    <row r="66" customFormat="false" ht="15" hidden="false" customHeight="true" outlineLevel="0" collapsed="false">
      <c r="A66" s="20" t="n">
        <f aca="false">'Raw Data'!A66</f>
        <v>65</v>
      </c>
      <c r="B66" s="20" t="n">
        <f aca="false">'Raw Data'!B66</f>
        <v>26</v>
      </c>
      <c r="C66" s="20" t="str">
        <f aca="false">'Raw Data'!C66</f>
        <v>female</v>
      </c>
      <c r="D66" s="20" t="n">
        <f aca="false">'Raw Data'!D66</f>
        <v>2</v>
      </c>
      <c r="E66" s="20" t="str">
        <f aca="false">'Raw Data'!E66</f>
        <v>own</v>
      </c>
      <c r="F66" s="20" t="str">
        <f aca="false">'Raw Data'!F66</f>
        <v>little</v>
      </c>
      <c r="G66" s="20" t="str">
        <f aca="false">'Raw Data'!G66</f>
        <v>none</v>
      </c>
      <c r="H66" s="20" t="n">
        <f aca="false">'Raw Data'!H66</f>
        <v>3181</v>
      </c>
      <c r="I66" s="20" t="n">
        <f aca="false">'Raw Data'!I66</f>
        <v>24</v>
      </c>
      <c r="J66" s="20" t="str">
        <f aca="false">'Raw Data'!J66</f>
        <v>radio/TV</v>
      </c>
      <c r="K66" s="21" t="n">
        <f aca="false">H66/I66</f>
        <v>132.541666666667</v>
      </c>
      <c r="L66" s="21" t="n">
        <f aca="false">100-MIN(K66/Assumptions!$B$14,1)*100</f>
        <v>66.8645833333333</v>
      </c>
      <c r="M66" s="21" t="n">
        <f aca="false">VLOOKUP(F66,Assumptions!$A$19:$B$23,2,0)</f>
        <v>25</v>
      </c>
      <c r="N66" s="21" t="n">
        <f aca="false">VLOOKUP(G66,Assumptions!$A$27:$B$30,2,0)</f>
        <v>50</v>
      </c>
      <c r="O66" s="21" t="n">
        <f aca="false">VLOOKUP(D66,Assumptions!$A$34:$B$37,2,0)</f>
        <v>66</v>
      </c>
      <c r="P66" s="21" t="n">
        <f aca="false">VLOOKUP(E66,Assumptions!$A$41:$B$43,2,0)</f>
        <v>100</v>
      </c>
      <c r="Q66" s="22" t="n">
        <f aca="false">L66*Assumptions!$B$7+M66*Assumptions!$B$8+N66*Assumptions!$B$9+O66*Assumptions!$B$10+P66*Assumptions!$B$11</f>
        <v>56.209375</v>
      </c>
      <c r="R66" s="11" t="str">
        <f aca="false">IF(Q66&lt;=33,"High Risk",IF(Q66&lt;=66,"Medium Risk","Low Risk"))</f>
        <v>Medium Risk</v>
      </c>
    </row>
    <row r="67" customFormat="false" ht="15" hidden="false" customHeight="true" outlineLevel="0" collapsed="false">
      <c r="A67" s="20" t="n">
        <f aca="false">'Raw Data'!A67</f>
        <v>66</v>
      </c>
      <c r="B67" s="20" t="n">
        <f aca="false">'Raw Data'!B67</f>
        <v>48</v>
      </c>
      <c r="C67" s="20" t="str">
        <f aca="false">'Raw Data'!C67</f>
        <v>male</v>
      </c>
      <c r="D67" s="20" t="n">
        <f aca="false">'Raw Data'!D67</f>
        <v>2</v>
      </c>
      <c r="E67" s="20" t="str">
        <f aca="false">'Raw Data'!E67</f>
        <v>own</v>
      </c>
      <c r="F67" s="20" t="str">
        <f aca="false">'Raw Data'!F67</f>
        <v>none</v>
      </c>
      <c r="G67" s="20" t="str">
        <f aca="false">'Raw Data'!G67</f>
        <v>none</v>
      </c>
      <c r="H67" s="20" t="n">
        <f aca="false">'Raw Data'!H67</f>
        <v>5190</v>
      </c>
      <c r="I67" s="20" t="n">
        <f aca="false">'Raw Data'!I67</f>
        <v>27</v>
      </c>
      <c r="J67" s="20" t="str">
        <f aca="false">'Raw Data'!J67</f>
        <v>repairs</v>
      </c>
      <c r="K67" s="21" t="n">
        <f aca="false">H67/I67</f>
        <v>192.222222222222</v>
      </c>
      <c r="L67" s="21" t="n">
        <f aca="false">100-MIN(K67/Assumptions!$B$14,1)*100</f>
        <v>51.9444444444444</v>
      </c>
      <c r="M67" s="21" t="n">
        <f aca="false">VLOOKUP(F67,Assumptions!$A$19:$B$23,2,0)</f>
        <v>40</v>
      </c>
      <c r="N67" s="21" t="n">
        <f aca="false">VLOOKUP(G67,Assumptions!$A$27:$B$30,2,0)</f>
        <v>50</v>
      </c>
      <c r="O67" s="21" t="n">
        <f aca="false">VLOOKUP(D67,Assumptions!$A$34:$B$37,2,0)</f>
        <v>66</v>
      </c>
      <c r="P67" s="21" t="n">
        <f aca="false">VLOOKUP(E67,Assumptions!$A$41:$B$43,2,0)</f>
        <v>100</v>
      </c>
      <c r="Q67" s="22" t="n">
        <f aca="false">L67*Assumptions!$B$7+M67*Assumptions!$B$8+N67*Assumptions!$B$9+O67*Assumptions!$B$10+P67*Assumptions!$B$11</f>
        <v>55.4833333333333</v>
      </c>
      <c r="R67" s="11" t="str">
        <f aca="false">IF(Q67&lt;=33,"High Risk",IF(Q67&lt;=66,"Medium Risk","Low Risk"))</f>
        <v>Medium Risk</v>
      </c>
    </row>
    <row r="68" customFormat="false" ht="15" hidden="false" customHeight="true" outlineLevel="0" collapsed="false">
      <c r="A68" s="20" t="n">
        <f aca="false">'Raw Data'!A68</f>
        <v>67</v>
      </c>
      <c r="B68" s="20" t="n">
        <f aca="false">'Raw Data'!B68</f>
        <v>29</v>
      </c>
      <c r="C68" s="20" t="str">
        <f aca="false">'Raw Data'!C68</f>
        <v>female</v>
      </c>
      <c r="D68" s="20" t="n">
        <f aca="false">'Raw Data'!D68</f>
        <v>2</v>
      </c>
      <c r="E68" s="20" t="str">
        <f aca="false">'Raw Data'!E68</f>
        <v>own</v>
      </c>
      <c r="F68" s="20" t="str">
        <f aca="false">'Raw Data'!F68</f>
        <v>little</v>
      </c>
      <c r="G68" s="20" t="str">
        <f aca="false">'Raw Data'!G68</f>
        <v>none</v>
      </c>
      <c r="H68" s="20" t="n">
        <f aca="false">'Raw Data'!H68</f>
        <v>2171</v>
      </c>
      <c r="I68" s="20" t="n">
        <f aca="false">'Raw Data'!I68</f>
        <v>12</v>
      </c>
      <c r="J68" s="20" t="str">
        <f aca="false">'Raw Data'!J68</f>
        <v>radio/TV</v>
      </c>
      <c r="K68" s="21" t="n">
        <f aca="false">H68/I68</f>
        <v>180.916666666667</v>
      </c>
      <c r="L68" s="21" t="n">
        <f aca="false">100-MIN(K68/Assumptions!$B$14,1)*100</f>
        <v>54.7708333333333</v>
      </c>
      <c r="M68" s="21" t="n">
        <f aca="false">VLOOKUP(F68,Assumptions!$A$19:$B$23,2,0)</f>
        <v>25</v>
      </c>
      <c r="N68" s="21" t="n">
        <f aca="false">VLOOKUP(G68,Assumptions!$A$27:$B$30,2,0)</f>
        <v>50</v>
      </c>
      <c r="O68" s="21" t="n">
        <f aca="false">VLOOKUP(D68,Assumptions!$A$34:$B$37,2,0)</f>
        <v>66</v>
      </c>
      <c r="P68" s="21" t="n">
        <f aca="false">VLOOKUP(E68,Assumptions!$A$41:$B$43,2,0)</f>
        <v>100</v>
      </c>
      <c r="Q68" s="22" t="n">
        <f aca="false">L68*Assumptions!$B$7+M68*Assumptions!$B$8+N68*Assumptions!$B$9+O68*Assumptions!$B$10+P68*Assumptions!$B$11</f>
        <v>52.58125</v>
      </c>
      <c r="R68" s="11" t="str">
        <f aca="false">IF(Q68&lt;=33,"High Risk",IF(Q68&lt;=66,"Medium Risk","Low Risk"))</f>
        <v>Medium Risk</v>
      </c>
    </row>
    <row r="69" customFormat="false" ht="15" hidden="false" customHeight="true" outlineLevel="0" collapsed="false">
      <c r="A69" s="20" t="n">
        <f aca="false">'Raw Data'!A69</f>
        <v>68</v>
      </c>
      <c r="B69" s="20" t="n">
        <f aca="false">'Raw Data'!B69</f>
        <v>22</v>
      </c>
      <c r="C69" s="20" t="str">
        <f aca="false">'Raw Data'!C69</f>
        <v>male</v>
      </c>
      <c r="D69" s="20" t="n">
        <f aca="false">'Raw Data'!D69</f>
        <v>2</v>
      </c>
      <c r="E69" s="20" t="str">
        <f aca="false">'Raw Data'!E69</f>
        <v>own</v>
      </c>
      <c r="F69" s="20" t="str">
        <f aca="false">'Raw Data'!F69</f>
        <v>rich</v>
      </c>
      <c r="G69" s="20" t="str">
        <f aca="false">'Raw Data'!G69</f>
        <v>moderate</v>
      </c>
      <c r="H69" s="20" t="n">
        <f aca="false">'Raw Data'!H69</f>
        <v>1007</v>
      </c>
      <c r="I69" s="20" t="n">
        <f aca="false">'Raw Data'!I69</f>
        <v>12</v>
      </c>
      <c r="J69" s="20" t="str">
        <f aca="false">'Raw Data'!J69</f>
        <v>car</v>
      </c>
      <c r="K69" s="21" t="n">
        <f aca="false">H69/I69</f>
        <v>83.9166666666667</v>
      </c>
      <c r="L69" s="21" t="n">
        <f aca="false">100-MIN(K69/Assumptions!$B$14,1)*100</f>
        <v>79.0208333333333</v>
      </c>
      <c r="M69" s="21" t="n">
        <f aca="false">VLOOKUP(F69,Assumptions!$A$19:$B$23,2,0)</f>
        <v>100</v>
      </c>
      <c r="N69" s="21" t="n">
        <f aca="false">VLOOKUP(G69,Assumptions!$A$27:$B$30,2,0)</f>
        <v>60</v>
      </c>
      <c r="O69" s="21" t="n">
        <f aca="false">VLOOKUP(D69,Assumptions!$A$34:$B$37,2,0)</f>
        <v>66</v>
      </c>
      <c r="P69" s="21" t="n">
        <f aca="false">VLOOKUP(E69,Assumptions!$A$41:$B$43,2,0)</f>
        <v>100</v>
      </c>
      <c r="Q69" s="22" t="n">
        <f aca="false">L69*Assumptions!$B$7+M69*Assumptions!$B$8+N69*Assumptions!$B$9+O69*Assumptions!$B$10+P69*Assumptions!$B$11</f>
        <v>80.60625</v>
      </c>
      <c r="R69" s="11" t="str">
        <f aca="false">IF(Q69&lt;=33,"High Risk",IF(Q69&lt;=66,"Medium Risk","Low Risk"))</f>
        <v>Low Risk</v>
      </c>
    </row>
    <row r="70" customFormat="false" ht="15" hidden="false" customHeight="true" outlineLevel="0" collapsed="false">
      <c r="A70" s="20" t="n">
        <f aca="false">'Raw Data'!A70</f>
        <v>69</v>
      </c>
      <c r="B70" s="20" t="n">
        <f aca="false">'Raw Data'!B70</f>
        <v>37</v>
      </c>
      <c r="C70" s="20" t="str">
        <f aca="false">'Raw Data'!C70</f>
        <v>male</v>
      </c>
      <c r="D70" s="20" t="n">
        <f aca="false">'Raw Data'!D70</f>
        <v>2</v>
      </c>
      <c r="E70" s="20" t="str">
        <f aca="false">'Raw Data'!E70</f>
        <v>free</v>
      </c>
      <c r="F70" s="20" t="str">
        <f aca="false">'Raw Data'!F70</f>
        <v>little</v>
      </c>
      <c r="G70" s="20" t="str">
        <f aca="false">'Raw Data'!G70</f>
        <v>none</v>
      </c>
      <c r="H70" s="20" t="n">
        <f aca="false">'Raw Data'!H70</f>
        <v>1819</v>
      </c>
      <c r="I70" s="20" t="n">
        <f aca="false">'Raw Data'!I70</f>
        <v>36</v>
      </c>
      <c r="J70" s="20" t="str">
        <f aca="false">'Raw Data'!J70</f>
        <v>education</v>
      </c>
      <c r="K70" s="21" t="n">
        <f aca="false">H70/I70</f>
        <v>50.5277777777778</v>
      </c>
      <c r="L70" s="21" t="n">
        <f aca="false">100-MIN(K70/Assumptions!$B$14,1)*100</f>
        <v>87.3680555555556</v>
      </c>
      <c r="M70" s="21" t="n">
        <f aca="false">VLOOKUP(F70,Assumptions!$A$19:$B$23,2,0)</f>
        <v>25</v>
      </c>
      <c r="N70" s="21" t="n">
        <f aca="false">VLOOKUP(G70,Assumptions!$A$27:$B$30,2,0)</f>
        <v>50</v>
      </c>
      <c r="O70" s="21" t="n">
        <f aca="false">VLOOKUP(D70,Assumptions!$A$34:$B$37,2,0)</f>
        <v>66</v>
      </c>
      <c r="P70" s="21" t="n">
        <f aca="false">VLOOKUP(E70,Assumptions!$A$41:$B$43,2,0)</f>
        <v>60</v>
      </c>
      <c r="Q70" s="22" t="n">
        <f aca="false">L70*Assumptions!$B$7+M70*Assumptions!$B$8+N70*Assumptions!$B$9+O70*Assumptions!$B$10+P70*Assumptions!$B$11</f>
        <v>58.3604166666667</v>
      </c>
      <c r="R70" s="11" t="str">
        <f aca="false">IF(Q70&lt;=33,"High Risk",IF(Q70&lt;=66,"Medium Risk","Low Risk"))</f>
        <v>Medium Risk</v>
      </c>
    </row>
    <row r="71" customFormat="false" ht="15" hidden="false" customHeight="true" outlineLevel="0" collapsed="false">
      <c r="A71" s="20" t="n">
        <f aca="false">'Raw Data'!A71</f>
        <v>70</v>
      </c>
      <c r="B71" s="20" t="n">
        <f aca="false">'Raw Data'!B71</f>
        <v>25</v>
      </c>
      <c r="C71" s="20" t="str">
        <f aca="false">'Raw Data'!C71</f>
        <v>female</v>
      </c>
      <c r="D71" s="20" t="n">
        <f aca="false">'Raw Data'!D71</f>
        <v>2</v>
      </c>
      <c r="E71" s="20" t="str">
        <f aca="false">'Raw Data'!E71</f>
        <v>own</v>
      </c>
      <c r="F71" s="20" t="str">
        <f aca="false">'Raw Data'!F71</f>
        <v>none</v>
      </c>
      <c r="G71" s="20" t="str">
        <f aca="false">'Raw Data'!G71</f>
        <v>none</v>
      </c>
      <c r="H71" s="20" t="n">
        <f aca="false">'Raw Data'!H71</f>
        <v>2394</v>
      </c>
      <c r="I71" s="20" t="n">
        <f aca="false">'Raw Data'!I71</f>
        <v>36</v>
      </c>
      <c r="J71" s="20" t="str">
        <f aca="false">'Raw Data'!J71</f>
        <v>radio/TV</v>
      </c>
      <c r="K71" s="21" t="n">
        <f aca="false">H71/I71</f>
        <v>66.5</v>
      </c>
      <c r="L71" s="21" t="n">
        <f aca="false">100-MIN(K71/Assumptions!$B$14,1)*100</f>
        <v>83.375</v>
      </c>
      <c r="M71" s="21" t="n">
        <f aca="false">VLOOKUP(F71,Assumptions!$A$19:$B$23,2,0)</f>
        <v>40</v>
      </c>
      <c r="N71" s="21" t="n">
        <f aca="false">VLOOKUP(G71,Assumptions!$A$27:$B$30,2,0)</f>
        <v>50</v>
      </c>
      <c r="O71" s="21" t="n">
        <f aca="false">VLOOKUP(D71,Assumptions!$A$34:$B$37,2,0)</f>
        <v>66</v>
      </c>
      <c r="P71" s="21" t="n">
        <f aca="false">VLOOKUP(E71,Assumptions!$A$41:$B$43,2,0)</f>
        <v>100</v>
      </c>
      <c r="Q71" s="22" t="n">
        <f aca="false">L71*Assumptions!$B$7+M71*Assumptions!$B$8+N71*Assumptions!$B$9+O71*Assumptions!$B$10+P71*Assumptions!$B$11</f>
        <v>64.9125</v>
      </c>
      <c r="R71" s="11" t="str">
        <f aca="false">IF(Q71&lt;=33,"High Risk",IF(Q71&lt;=66,"Medium Risk","Low Risk"))</f>
        <v>Medium Risk</v>
      </c>
    </row>
    <row r="72" customFormat="false" ht="15" hidden="false" customHeight="true" outlineLevel="0" collapsed="false">
      <c r="A72" s="20" t="n">
        <f aca="false">'Raw Data'!A72</f>
        <v>71</v>
      </c>
      <c r="B72" s="20" t="n">
        <f aca="false">'Raw Data'!B72</f>
        <v>30</v>
      </c>
      <c r="C72" s="20" t="str">
        <f aca="false">'Raw Data'!C72</f>
        <v>female</v>
      </c>
      <c r="D72" s="20" t="n">
        <f aca="false">'Raw Data'!D72</f>
        <v>2</v>
      </c>
      <c r="E72" s="20" t="str">
        <f aca="false">'Raw Data'!E72</f>
        <v>own</v>
      </c>
      <c r="F72" s="20" t="str">
        <f aca="false">'Raw Data'!F72</f>
        <v>little</v>
      </c>
      <c r="G72" s="20" t="str">
        <f aca="false">'Raw Data'!G72</f>
        <v>none</v>
      </c>
      <c r="H72" s="20" t="n">
        <f aca="false">'Raw Data'!H72</f>
        <v>8133</v>
      </c>
      <c r="I72" s="20" t="n">
        <f aca="false">'Raw Data'!I72</f>
        <v>36</v>
      </c>
      <c r="J72" s="20" t="str">
        <f aca="false">'Raw Data'!J72</f>
        <v>car</v>
      </c>
      <c r="K72" s="21" t="n">
        <f aca="false">H72/I72</f>
        <v>225.916666666667</v>
      </c>
      <c r="L72" s="21" t="n">
        <f aca="false">100-MIN(K72/Assumptions!$B$14,1)*100</f>
        <v>43.5208333333333</v>
      </c>
      <c r="M72" s="21" t="n">
        <f aca="false">VLOOKUP(F72,Assumptions!$A$19:$B$23,2,0)</f>
        <v>25</v>
      </c>
      <c r="N72" s="21" t="n">
        <f aca="false">VLOOKUP(G72,Assumptions!$A$27:$B$30,2,0)</f>
        <v>50</v>
      </c>
      <c r="O72" s="21" t="n">
        <f aca="false">VLOOKUP(D72,Assumptions!$A$34:$B$37,2,0)</f>
        <v>66</v>
      </c>
      <c r="P72" s="21" t="n">
        <f aca="false">VLOOKUP(E72,Assumptions!$A$41:$B$43,2,0)</f>
        <v>100</v>
      </c>
      <c r="Q72" s="22" t="n">
        <f aca="false">L72*Assumptions!$B$7+M72*Assumptions!$B$8+N72*Assumptions!$B$9+O72*Assumptions!$B$10+P72*Assumptions!$B$11</f>
        <v>49.20625</v>
      </c>
      <c r="R72" s="11" t="str">
        <f aca="false">IF(Q72&lt;=33,"High Risk",IF(Q72&lt;=66,"Medium Risk","Low Risk"))</f>
        <v>Medium Risk</v>
      </c>
    </row>
    <row r="73" customFormat="false" ht="15" hidden="false" customHeight="true" outlineLevel="0" collapsed="false">
      <c r="A73" s="20" t="n">
        <f aca="false">'Raw Data'!A73</f>
        <v>72</v>
      </c>
      <c r="B73" s="20" t="n">
        <f aca="false">'Raw Data'!B73</f>
        <v>46</v>
      </c>
      <c r="C73" s="20" t="str">
        <f aca="false">'Raw Data'!C73</f>
        <v>male</v>
      </c>
      <c r="D73" s="20" t="n">
        <f aca="false">'Raw Data'!D73</f>
        <v>1</v>
      </c>
      <c r="E73" s="20" t="str">
        <f aca="false">'Raw Data'!E73</f>
        <v>rent</v>
      </c>
      <c r="F73" s="20" t="str">
        <f aca="false">'Raw Data'!F73</f>
        <v>none</v>
      </c>
      <c r="G73" s="20" t="str">
        <f aca="false">'Raw Data'!G73</f>
        <v>none</v>
      </c>
      <c r="H73" s="20" t="n">
        <f aca="false">'Raw Data'!H73</f>
        <v>730</v>
      </c>
      <c r="I73" s="20" t="n">
        <f aca="false">'Raw Data'!I73</f>
        <v>7</v>
      </c>
      <c r="J73" s="20" t="str">
        <f aca="false">'Raw Data'!J73</f>
        <v>radio/TV</v>
      </c>
      <c r="K73" s="21" t="n">
        <f aca="false">H73/I73</f>
        <v>104.285714285714</v>
      </c>
      <c r="L73" s="21" t="n">
        <f aca="false">100-MIN(K73/Assumptions!$B$14,1)*100</f>
        <v>73.9285714285714</v>
      </c>
      <c r="M73" s="21" t="n">
        <f aca="false">VLOOKUP(F73,Assumptions!$A$19:$B$23,2,0)</f>
        <v>40</v>
      </c>
      <c r="N73" s="21" t="n">
        <f aca="false">VLOOKUP(G73,Assumptions!$A$27:$B$30,2,0)</f>
        <v>50</v>
      </c>
      <c r="O73" s="21" t="n">
        <f aca="false">VLOOKUP(D73,Assumptions!$A$34:$B$37,2,0)</f>
        <v>33</v>
      </c>
      <c r="P73" s="21" t="n">
        <f aca="false">VLOOKUP(E73,Assumptions!$A$41:$B$43,2,0)</f>
        <v>30</v>
      </c>
      <c r="Q73" s="22" t="n">
        <f aca="false">L73*Assumptions!$B$7+M73*Assumptions!$B$8+N73*Assumptions!$B$9+O73*Assumptions!$B$10+P73*Assumptions!$B$11</f>
        <v>50.1285714285714</v>
      </c>
      <c r="R73" s="11" t="str">
        <f aca="false">IF(Q73&lt;=33,"High Risk",IF(Q73&lt;=66,"Medium Risk","Low Risk"))</f>
        <v>Medium Risk</v>
      </c>
    </row>
    <row r="74" customFormat="false" ht="15" hidden="false" customHeight="true" outlineLevel="0" collapsed="false">
      <c r="A74" s="20" t="n">
        <f aca="false">'Raw Data'!A74</f>
        <v>73</v>
      </c>
      <c r="B74" s="20" t="n">
        <f aca="false">'Raw Data'!B74</f>
        <v>51</v>
      </c>
      <c r="C74" s="20" t="str">
        <f aca="false">'Raw Data'!C74</f>
        <v>male</v>
      </c>
      <c r="D74" s="20" t="n">
        <f aca="false">'Raw Data'!D74</f>
        <v>3</v>
      </c>
      <c r="E74" s="20" t="str">
        <f aca="false">'Raw Data'!E74</f>
        <v>free</v>
      </c>
      <c r="F74" s="20" t="str">
        <f aca="false">'Raw Data'!F74</f>
        <v>little</v>
      </c>
      <c r="G74" s="20" t="str">
        <f aca="false">'Raw Data'!G74</f>
        <v>little</v>
      </c>
      <c r="H74" s="20" t="n">
        <f aca="false">'Raw Data'!H74</f>
        <v>1164</v>
      </c>
      <c r="I74" s="20" t="n">
        <f aca="false">'Raw Data'!I74</f>
        <v>8</v>
      </c>
      <c r="J74" s="20" t="str">
        <f aca="false">'Raw Data'!J74</f>
        <v>vacation/others</v>
      </c>
      <c r="K74" s="21" t="n">
        <f aca="false">H74/I74</f>
        <v>145.5</v>
      </c>
      <c r="L74" s="21" t="n">
        <f aca="false">100-MIN(K74/Assumptions!$B$14,1)*100</f>
        <v>63.625</v>
      </c>
      <c r="M74" s="21" t="n">
        <f aca="false">VLOOKUP(F74,Assumptions!$A$19:$B$23,2,0)</f>
        <v>25</v>
      </c>
      <c r="N74" s="21" t="n">
        <f aca="false">VLOOKUP(G74,Assumptions!$A$27:$B$30,2,0)</f>
        <v>25</v>
      </c>
      <c r="O74" s="21" t="n">
        <f aca="false">VLOOKUP(D74,Assumptions!$A$34:$B$37,2,0)</f>
        <v>100</v>
      </c>
      <c r="P74" s="21" t="n">
        <f aca="false">VLOOKUP(E74,Assumptions!$A$41:$B$43,2,0)</f>
        <v>60</v>
      </c>
      <c r="Q74" s="22" t="n">
        <f aca="false">L74*Assumptions!$B$7+M74*Assumptions!$B$8+N74*Assumptions!$B$9+O74*Assumptions!$B$10+P74*Assumptions!$B$11</f>
        <v>51.3375</v>
      </c>
      <c r="R74" s="11" t="str">
        <f aca="false">IF(Q74&lt;=33,"High Risk",IF(Q74&lt;=66,"Medium Risk","Low Risk"))</f>
        <v>Medium Risk</v>
      </c>
    </row>
    <row r="75" customFormat="false" ht="15" hidden="false" customHeight="true" outlineLevel="0" collapsed="false">
      <c r="A75" s="20" t="n">
        <f aca="false">'Raw Data'!A75</f>
        <v>74</v>
      </c>
      <c r="B75" s="20" t="n">
        <f aca="false">'Raw Data'!B75</f>
        <v>41</v>
      </c>
      <c r="C75" s="20" t="str">
        <f aca="false">'Raw Data'!C75</f>
        <v>female</v>
      </c>
      <c r="D75" s="20" t="n">
        <f aca="false">'Raw Data'!D75</f>
        <v>1</v>
      </c>
      <c r="E75" s="20" t="str">
        <f aca="false">'Raw Data'!E75</f>
        <v>own</v>
      </c>
      <c r="F75" s="20" t="str">
        <f aca="false">'Raw Data'!F75</f>
        <v>little</v>
      </c>
      <c r="G75" s="20" t="str">
        <f aca="false">'Raw Data'!G75</f>
        <v>moderate</v>
      </c>
      <c r="H75" s="20" t="n">
        <f aca="false">'Raw Data'!H75</f>
        <v>5954</v>
      </c>
      <c r="I75" s="20" t="n">
        <f aca="false">'Raw Data'!I75</f>
        <v>42</v>
      </c>
      <c r="J75" s="20" t="str">
        <f aca="false">'Raw Data'!J75</f>
        <v>business</v>
      </c>
      <c r="K75" s="21" t="n">
        <f aca="false">H75/I75</f>
        <v>141.761904761905</v>
      </c>
      <c r="L75" s="21" t="n">
        <f aca="false">100-MIN(K75/Assumptions!$B$14,1)*100</f>
        <v>64.5595238095238</v>
      </c>
      <c r="M75" s="21" t="n">
        <f aca="false">VLOOKUP(F75,Assumptions!$A$19:$B$23,2,0)</f>
        <v>25</v>
      </c>
      <c r="N75" s="21" t="n">
        <f aca="false">VLOOKUP(G75,Assumptions!$A$27:$B$30,2,0)</f>
        <v>60</v>
      </c>
      <c r="O75" s="21" t="n">
        <f aca="false">VLOOKUP(D75,Assumptions!$A$34:$B$37,2,0)</f>
        <v>33</v>
      </c>
      <c r="P75" s="21" t="n">
        <f aca="false">VLOOKUP(E75,Assumptions!$A$41:$B$43,2,0)</f>
        <v>100</v>
      </c>
      <c r="Q75" s="22" t="n">
        <f aca="false">L75*Assumptions!$B$7+M75*Assumptions!$B$8+N75*Assumptions!$B$9+O75*Assumptions!$B$10+P75*Assumptions!$B$11</f>
        <v>52.5678571428572</v>
      </c>
      <c r="R75" s="11" t="str">
        <f aca="false">IF(Q75&lt;=33,"High Risk",IF(Q75&lt;=66,"Medium Risk","Low Risk"))</f>
        <v>Medium Risk</v>
      </c>
    </row>
    <row r="76" customFormat="false" ht="15" hidden="false" customHeight="true" outlineLevel="0" collapsed="false">
      <c r="A76" s="20" t="n">
        <f aca="false">'Raw Data'!A76</f>
        <v>75</v>
      </c>
      <c r="B76" s="20" t="n">
        <f aca="false">'Raw Data'!B76</f>
        <v>40</v>
      </c>
      <c r="C76" s="20" t="str">
        <f aca="false">'Raw Data'!C76</f>
        <v>male</v>
      </c>
      <c r="D76" s="20" t="n">
        <f aca="false">'Raw Data'!D76</f>
        <v>3</v>
      </c>
      <c r="E76" s="20" t="str">
        <f aca="false">'Raw Data'!E76</f>
        <v>own</v>
      </c>
      <c r="F76" s="20" t="str">
        <f aca="false">'Raw Data'!F76</f>
        <v>none</v>
      </c>
      <c r="G76" s="20" t="str">
        <f aca="false">'Raw Data'!G76</f>
        <v>little</v>
      </c>
      <c r="H76" s="20" t="n">
        <f aca="false">'Raw Data'!H76</f>
        <v>1977</v>
      </c>
      <c r="I76" s="20" t="n">
        <f aca="false">'Raw Data'!I76</f>
        <v>36</v>
      </c>
      <c r="J76" s="20" t="str">
        <f aca="false">'Raw Data'!J76</f>
        <v>education</v>
      </c>
      <c r="K76" s="21" t="n">
        <f aca="false">H76/I76</f>
        <v>54.9166666666667</v>
      </c>
      <c r="L76" s="21" t="n">
        <f aca="false">100-MIN(K76/Assumptions!$B$14,1)*100</f>
        <v>86.2708333333333</v>
      </c>
      <c r="M76" s="21" t="n">
        <f aca="false">VLOOKUP(F76,Assumptions!$A$19:$B$23,2,0)</f>
        <v>40</v>
      </c>
      <c r="N76" s="21" t="n">
        <f aca="false">VLOOKUP(G76,Assumptions!$A$27:$B$30,2,0)</f>
        <v>25</v>
      </c>
      <c r="O76" s="21" t="n">
        <f aca="false">VLOOKUP(D76,Assumptions!$A$34:$B$37,2,0)</f>
        <v>100</v>
      </c>
      <c r="P76" s="21" t="n">
        <f aca="false">VLOOKUP(E76,Assumptions!$A$41:$B$43,2,0)</f>
        <v>100</v>
      </c>
      <c r="Q76" s="22" t="n">
        <f aca="false">L76*Assumptions!$B$7+M76*Assumptions!$B$8+N76*Assumptions!$B$9+O76*Assumptions!$B$10+P76*Assumptions!$B$11</f>
        <v>65.88125</v>
      </c>
      <c r="R76" s="11" t="str">
        <f aca="false">IF(Q76&lt;=33,"High Risk",IF(Q76&lt;=66,"Medium Risk","Low Risk"))</f>
        <v>Medium Risk</v>
      </c>
    </row>
    <row r="77" customFormat="false" ht="15" hidden="false" customHeight="true" outlineLevel="0" collapsed="false">
      <c r="A77" s="20" t="n">
        <f aca="false">'Raw Data'!A77</f>
        <v>76</v>
      </c>
      <c r="B77" s="20" t="n">
        <f aca="false">'Raw Data'!B77</f>
        <v>66</v>
      </c>
      <c r="C77" s="20" t="str">
        <f aca="false">'Raw Data'!C77</f>
        <v>male</v>
      </c>
      <c r="D77" s="20" t="n">
        <f aca="false">'Raw Data'!D77</f>
        <v>3</v>
      </c>
      <c r="E77" s="20" t="str">
        <f aca="false">'Raw Data'!E77</f>
        <v>free</v>
      </c>
      <c r="F77" s="20" t="str">
        <f aca="false">'Raw Data'!F77</f>
        <v>little</v>
      </c>
      <c r="G77" s="20" t="str">
        <f aca="false">'Raw Data'!G77</f>
        <v>little</v>
      </c>
      <c r="H77" s="20" t="n">
        <f aca="false">'Raw Data'!H77</f>
        <v>1526</v>
      </c>
      <c r="I77" s="20" t="n">
        <f aca="false">'Raw Data'!I77</f>
        <v>12</v>
      </c>
      <c r="J77" s="20" t="str">
        <f aca="false">'Raw Data'!J77</f>
        <v>car</v>
      </c>
      <c r="K77" s="21" t="n">
        <f aca="false">H77/I77</f>
        <v>127.166666666667</v>
      </c>
      <c r="L77" s="21" t="n">
        <f aca="false">100-MIN(K77/Assumptions!$B$14,1)*100</f>
        <v>68.2083333333333</v>
      </c>
      <c r="M77" s="21" t="n">
        <f aca="false">VLOOKUP(F77,Assumptions!$A$19:$B$23,2,0)</f>
        <v>25</v>
      </c>
      <c r="N77" s="21" t="n">
        <f aca="false">VLOOKUP(G77,Assumptions!$A$27:$B$30,2,0)</f>
        <v>25</v>
      </c>
      <c r="O77" s="21" t="n">
        <f aca="false">VLOOKUP(D77,Assumptions!$A$34:$B$37,2,0)</f>
        <v>100</v>
      </c>
      <c r="P77" s="21" t="n">
        <f aca="false">VLOOKUP(E77,Assumptions!$A$41:$B$43,2,0)</f>
        <v>60</v>
      </c>
      <c r="Q77" s="22" t="n">
        <f aca="false">L77*Assumptions!$B$7+M77*Assumptions!$B$8+N77*Assumptions!$B$9+O77*Assumptions!$B$10+P77*Assumptions!$B$11</f>
        <v>52.7125</v>
      </c>
      <c r="R77" s="11" t="str">
        <f aca="false">IF(Q77&lt;=33,"High Risk",IF(Q77&lt;=66,"Medium Risk","Low Risk"))</f>
        <v>Medium Risk</v>
      </c>
    </row>
    <row r="78" customFormat="false" ht="15" hidden="false" customHeight="true" outlineLevel="0" collapsed="false">
      <c r="A78" s="20" t="n">
        <f aca="false">'Raw Data'!A78</f>
        <v>77</v>
      </c>
      <c r="B78" s="20" t="n">
        <f aca="false">'Raw Data'!B78</f>
        <v>34</v>
      </c>
      <c r="C78" s="20" t="str">
        <f aca="false">'Raw Data'!C78</f>
        <v>male</v>
      </c>
      <c r="D78" s="20" t="n">
        <f aca="false">'Raw Data'!D78</f>
        <v>2</v>
      </c>
      <c r="E78" s="20" t="str">
        <f aca="false">'Raw Data'!E78</f>
        <v>own</v>
      </c>
      <c r="F78" s="20" t="str">
        <f aca="false">'Raw Data'!F78</f>
        <v>little</v>
      </c>
      <c r="G78" s="20" t="str">
        <f aca="false">'Raw Data'!G78</f>
        <v>little</v>
      </c>
      <c r="H78" s="20" t="n">
        <f aca="false">'Raw Data'!H78</f>
        <v>3965</v>
      </c>
      <c r="I78" s="20" t="n">
        <f aca="false">'Raw Data'!I78</f>
        <v>42</v>
      </c>
      <c r="J78" s="20" t="str">
        <f aca="false">'Raw Data'!J78</f>
        <v>radio/TV</v>
      </c>
      <c r="K78" s="21" t="n">
        <f aca="false">H78/I78</f>
        <v>94.4047619047619</v>
      </c>
      <c r="L78" s="21" t="n">
        <f aca="false">100-MIN(K78/Assumptions!$B$14,1)*100</f>
        <v>76.3988095238095</v>
      </c>
      <c r="M78" s="21" t="n">
        <f aca="false">VLOOKUP(F78,Assumptions!$A$19:$B$23,2,0)</f>
        <v>25</v>
      </c>
      <c r="N78" s="21" t="n">
        <f aca="false">VLOOKUP(G78,Assumptions!$A$27:$B$30,2,0)</f>
        <v>25</v>
      </c>
      <c r="O78" s="21" t="n">
        <f aca="false">VLOOKUP(D78,Assumptions!$A$34:$B$37,2,0)</f>
        <v>66</v>
      </c>
      <c r="P78" s="21" t="n">
        <f aca="false">VLOOKUP(E78,Assumptions!$A$41:$B$43,2,0)</f>
        <v>100</v>
      </c>
      <c r="Q78" s="22" t="n">
        <f aca="false">L78*Assumptions!$B$7+M78*Assumptions!$B$8+N78*Assumptions!$B$9+O78*Assumptions!$B$10+P78*Assumptions!$B$11</f>
        <v>54.0696428571429</v>
      </c>
      <c r="R78" s="11" t="str">
        <f aca="false">IF(Q78&lt;=33,"High Risk",IF(Q78&lt;=66,"Medium Risk","Low Risk"))</f>
        <v>Medium Risk</v>
      </c>
    </row>
    <row r="79" customFormat="false" ht="15" hidden="false" customHeight="true" outlineLevel="0" collapsed="false">
      <c r="A79" s="20" t="n">
        <f aca="false">'Raw Data'!A79</f>
        <v>78</v>
      </c>
      <c r="B79" s="20" t="n">
        <f aca="false">'Raw Data'!B79</f>
        <v>51</v>
      </c>
      <c r="C79" s="20" t="str">
        <f aca="false">'Raw Data'!C79</f>
        <v>male</v>
      </c>
      <c r="D79" s="20" t="n">
        <f aca="false">'Raw Data'!D79</f>
        <v>2</v>
      </c>
      <c r="E79" s="20" t="str">
        <f aca="false">'Raw Data'!E79</f>
        <v>own</v>
      </c>
      <c r="F79" s="20" t="str">
        <f aca="false">'Raw Data'!F79</f>
        <v>little</v>
      </c>
      <c r="G79" s="20" t="str">
        <f aca="false">'Raw Data'!G79</f>
        <v>moderate</v>
      </c>
      <c r="H79" s="20" t="n">
        <f aca="false">'Raw Data'!H79</f>
        <v>4771</v>
      </c>
      <c r="I79" s="20" t="n">
        <f aca="false">'Raw Data'!I79</f>
        <v>11</v>
      </c>
      <c r="J79" s="20" t="str">
        <f aca="false">'Raw Data'!J79</f>
        <v>radio/TV</v>
      </c>
      <c r="K79" s="21" t="n">
        <f aca="false">H79/I79</f>
        <v>433.727272727273</v>
      </c>
      <c r="L79" s="21" t="n">
        <f aca="false">100-MIN(K79/Assumptions!$B$14,1)*100</f>
        <v>0</v>
      </c>
      <c r="M79" s="21" t="n">
        <f aca="false">VLOOKUP(F79,Assumptions!$A$19:$B$23,2,0)</f>
        <v>25</v>
      </c>
      <c r="N79" s="21" t="n">
        <f aca="false">VLOOKUP(G79,Assumptions!$A$27:$B$30,2,0)</f>
        <v>60</v>
      </c>
      <c r="O79" s="21" t="n">
        <f aca="false">VLOOKUP(D79,Assumptions!$A$34:$B$37,2,0)</f>
        <v>66</v>
      </c>
      <c r="P79" s="21" t="n">
        <f aca="false">VLOOKUP(E79,Assumptions!$A$41:$B$43,2,0)</f>
        <v>100</v>
      </c>
      <c r="Q79" s="22" t="n">
        <f aca="false">L79*Assumptions!$B$7+M79*Assumptions!$B$8+N79*Assumptions!$B$9+O79*Assumptions!$B$10+P79*Assumptions!$B$11</f>
        <v>38.15</v>
      </c>
      <c r="R79" s="11" t="str">
        <f aca="false">IF(Q79&lt;=33,"High Risk",IF(Q79&lt;=66,"Medium Risk","Low Risk"))</f>
        <v>Medium Risk</v>
      </c>
    </row>
    <row r="80" customFormat="false" ht="15" hidden="false" customHeight="true" outlineLevel="0" collapsed="false">
      <c r="A80" s="20" t="n">
        <f aca="false">'Raw Data'!A80</f>
        <v>79</v>
      </c>
      <c r="B80" s="20" t="n">
        <f aca="false">'Raw Data'!B80</f>
        <v>39</v>
      </c>
      <c r="C80" s="20" t="str">
        <f aca="false">'Raw Data'!C80</f>
        <v>male</v>
      </c>
      <c r="D80" s="20" t="n">
        <f aca="false">'Raw Data'!D80</f>
        <v>1</v>
      </c>
      <c r="E80" s="20" t="str">
        <f aca="false">'Raw Data'!E80</f>
        <v>own</v>
      </c>
      <c r="F80" s="20" t="str">
        <f aca="false">'Raw Data'!F80</f>
        <v>none</v>
      </c>
      <c r="G80" s="20" t="str">
        <f aca="false">'Raw Data'!G80</f>
        <v>none</v>
      </c>
      <c r="H80" s="20" t="n">
        <f aca="false">'Raw Data'!H80</f>
        <v>9436</v>
      </c>
      <c r="I80" s="20" t="n">
        <f aca="false">'Raw Data'!I80</f>
        <v>54</v>
      </c>
      <c r="J80" s="20" t="str">
        <f aca="false">'Raw Data'!J80</f>
        <v>car</v>
      </c>
      <c r="K80" s="21" t="n">
        <f aca="false">H80/I80</f>
        <v>174.740740740741</v>
      </c>
      <c r="L80" s="21" t="n">
        <f aca="false">100-MIN(K80/Assumptions!$B$14,1)*100</f>
        <v>56.3148148148148</v>
      </c>
      <c r="M80" s="21" t="n">
        <f aca="false">VLOOKUP(F80,Assumptions!$A$19:$B$23,2,0)</f>
        <v>40</v>
      </c>
      <c r="N80" s="21" t="n">
        <f aca="false">VLOOKUP(G80,Assumptions!$A$27:$B$30,2,0)</f>
        <v>50</v>
      </c>
      <c r="O80" s="21" t="n">
        <f aca="false">VLOOKUP(D80,Assumptions!$A$34:$B$37,2,0)</f>
        <v>33</v>
      </c>
      <c r="P80" s="21" t="n">
        <f aca="false">VLOOKUP(E80,Assumptions!$A$41:$B$43,2,0)</f>
        <v>100</v>
      </c>
      <c r="Q80" s="22" t="n">
        <f aca="false">L80*Assumptions!$B$7+M80*Assumptions!$B$8+N80*Assumptions!$B$9+O80*Assumptions!$B$10+P80*Assumptions!$B$11</f>
        <v>51.8444444444445</v>
      </c>
      <c r="R80" s="11" t="str">
        <f aca="false">IF(Q80&lt;=33,"High Risk",IF(Q80&lt;=66,"Medium Risk","Low Risk"))</f>
        <v>Medium Risk</v>
      </c>
    </row>
    <row r="81" customFormat="false" ht="15" hidden="false" customHeight="true" outlineLevel="0" collapsed="false">
      <c r="A81" s="20" t="n">
        <f aca="false">'Raw Data'!A81</f>
        <v>80</v>
      </c>
      <c r="B81" s="20" t="n">
        <f aca="false">'Raw Data'!B81</f>
        <v>22</v>
      </c>
      <c r="C81" s="20" t="str">
        <f aca="false">'Raw Data'!C81</f>
        <v>male</v>
      </c>
      <c r="D81" s="20" t="n">
        <f aca="false">'Raw Data'!D81</f>
        <v>2</v>
      </c>
      <c r="E81" s="20" t="str">
        <f aca="false">'Raw Data'!E81</f>
        <v>own</v>
      </c>
      <c r="F81" s="20" t="str">
        <f aca="false">'Raw Data'!F81</f>
        <v>little</v>
      </c>
      <c r="G81" s="20" t="str">
        <f aca="false">'Raw Data'!G81</f>
        <v>moderate</v>
      </c>
      <c r="H81" s="20" t="n">
        <f aca="false">'Raw Data'!H81</f>
        <v>3832</v>
      </c>
      <c r="I81" s="20" t="n">
        <f aca="false">'Raw Data'!I81</f>
        <v>30</v>
      </c>
      <c r="J81" s="20" t="str">
        <f aca="false">'Raw Data'!J81</f>
        <v>furniture/equipment</v>
      </c>
      <c r="K81" s="21" t="n">
        <f aca="false">H81/I81</f>
        <v>127.733333333333</v>
      </c>
      <c r="L81" s="21" t="n">
        <f aca="false">100-MIN(K81/Assumptions!$B$14,1)*100</f>
        <v>68.0666666666667</v>
      </c>
      <c r="M81" s="21" t="n">
        <f aca="false">VLOOKUP(F81,Assumptions!$A$19:$B$23,2,0)</f>
        <v>25</v>
      </c>
      <c r="N81" s="21" t="n">
        <f aca="false">VLOOKUP(G81,Assumptions!$A$27:$B$30,2,0)</f>
        <v>60</v>
      </c>
      <c r="O81" s="21" t="n">
        <f aca="false">VLOOKUP(D81,Assumptions!$A$34:$B$37,2,0)</f>
        <v>66</v>
      </c>
      <c r="P81" s="21" t="n">
        <f aca="false">VLOOKUP(E81,Assumptions!$A$41:$B$43,2,0)</f>
        <v>100</v>
      </c>
      <c r="Q81" s="22" t="n">
        <f aca="false">L81*Assumptions!$B$7+M81*Assumptions!$B$8+N81*Assumptions!$B$9+O81*Assumptions!$B$10+P81*Assumptions!$B$11</f>
        <v>58.57</v>
      </c>
      <c r="R81" s="11" t="str">
        <f aca="false">IF(Q81&lt;=33,"High Risk",IF(Q81&lt;=66,"Medium Risk","Low Risk"))</f>
        <v>Medium Risk</v>
      </c>
    </row>
    <row r="82" customFormat="false" ht="15" hidden="false" customHeight="true" outlineLevel="0" collapsed="false">
      <c r="A82" s="20" t="n">
        <f aca="false">'Raw Data'!A82</f>
        <v>81</v>
      </c>
      <c r="B82" s="20" t="n">
        <f aca="false">'Raw Data'!B82</f>
        <v>44</v>
      </c>
      <c r="C82" s="20" t="str">
        <f aca="false">'Raw Data'!C82</f>
        <v>female</v>
      </c>
      <c r="D82" s="20" t="n">
        <f aca="false">'Raw Data'!D82</f>
        <v>2</v>
      </c>
      <c r="E82" s="20" t="str">
        <f aca="false">'Raw Data'!E82</f>
        <v>own</v>
      </c>
      <c r="F82" s="20" t="str">
        <f aca="false">'Raw Data'!F82</f>
        <v>none</v>
      </c>
      <c r="G82" s="20" t="str">
        <f aca="false">'Raw Data'!G82</f>
        <v>none</v>
      </c>
      <c r="H82" s="20" t="n">
        <f aca="false">'Raw Data'!H82</f>
        <v>5943</v>
      </c>
      <c r="I82" s="20" t="n">
        <f aca="false">'Raw Data'!I82</f>
        <v>24</v>
      </c>
      <c r="J82" s="20" t="str">
        <f aca="false">'Raw Data'!J82</f>
        <v>radio/TV</v>
      </c>
      <c r="K82" s="21" t="n">
        <f aca="false">H82/I82</f>
        <v>247.625</v>
      </c>
      <c r="L82" s="21" t="n">
        <f aca="false">100-MIN(K82/Assumptions!$B$14,1)*100</f>
        <v>38.09375</v>
      </c>
      <c r="M82" s="21" t="n">
        <f aca="false">VLOOKUP(F82,Assumptions!$A$19:$B$23,2,0)</f>
        <v>40</v>
      </c>
      <c r="N82" s="21" t="n">
        <f aca="false">VLOOKUP(G82,Assumptions!$A$27:$B$30,2,0)</f>
        <v>50</v>
      </c>
      <c r="O82" s="21" t="n">
        <f aca="false">VLOOKUP(D82,Assumptions!$A$34:$B$37,2,0)</f>
        <v>66</v>
      </c>
      <c r="P82" s="21" t="n">
        <f aca="false">VLOOKUP(E82,Assumptions!$A$41:$B$43,2,0)</f>
        <v>100</v>
      </c>
      <c r="Q82" s="22" t="n">
        <f aca="false">L82*Assumptions!$B$7+M82*Assumptions!$B$8+N82*Assumptions!$B$9+O82*Assumptions!$B$10+P82*Assumptions!$B$11</f>
        <v>51.328125</v>
      </c>
      <c r="R82" s="11" t="str">
        <f aca="false">IF(Q82&lt;=33,"High Risk",IF(Q82&lt;=66,"Medium Risk","Low Risk"))</f>
        <v>Medium Risk</v>
      </c>
    </row>
    <row r="83" customFormat="false" ht="15" hidden="false" customHeight="true" outlineLevel="0" collapsed="false">
      <c r="A83" s="20" t="n">
        <f aca="false">'Raw Data'!A83</f>
        <v>82</v>
      </c>
      <c r="B83" s="20" t="n">
        <f aca="false">'Raw Data'!B83</f>
        <v>47</v>
      </c>
      <c r="C83" s="20" t="str">
        <f aca="false">'Raw Data'!C83</f>
        <v>male</v>
      </c>
      <c r="D83" s="20" t="n">
        <f aca="false">'Raw Data'!D83</f>
        <v>2</v>
      </c>
      <c r="E83" s="20" t="str">
        <f aca="false">'Raw Data'!E83</f>
        <v>own</v>
      </c>
      <c r="F83" s="20" t="str">
        <f aca="false">'Raw Data'!F83</f>
        <v>quite rich</v>
      </c>
      <c r="G83" s="20" t="str">
        <f aca="false">'Raw Data'!G83</f>
        <v>none</v>
      </c>
      <c r="H83" s="20" t="n">
        <f aca="false">'Raw Data'!H83</f>
        <v>1213</v>
      </c>
      <c r="I83" s="20" t="n">
        <f aca="false">'Raw Data'!I83</f>
        <v>15</v>
      </c>
      <c r="J83" s="20" t="str">
        <f aca="false">'Raw Data'!J83</f>
        <v>radio/TV</v>
      </c>
      <c r="K83" s="21" t="n">
        <f aca="false">H83/I83</f>
        <v>80.8666666666667</v>
      </c>
      <c r="L83" s="21" t="n">
        <f aca="false">100-MIN(K83/Assumptions!$B$14,1)*100</f>
        <v>79.7833333333333</v>
      </c>
      <c r="M83" s="21" t="n">
        <f aca="false">VLOOKUP(F83,Assumptions!$A$19:$B$23,2,0)</f>
        <v>75</v>
      </c>
      <c r="N83" s="21" t="n">
        <f aca="false">VLOOKUP(G83,Assumptions!$A$27:$B$30,2,0)</f>
        <v>50</v>
      </c>
      <c r="O83" s="21" t="n">
        <f aca="false">VLOOKUP(D83,Assumptions!$A$34:$B$37,2,0)</f>
        <v>66</v>
      </c>
      <c r="P83" s="21" t="n">
        <f aca="false">VLOOKUP(E83,Assumptions!$A$41:$B$43,2,0)</f>
        <v>100</v>
      </c>
      <c r="Q83" s="22" t="n">
        <f aca="false">L83*Assumptions!$B$7+M83*Assumptions!$B$8+N83*Assumptions!$B$9+O83*Assumptions!$B$10+P83*Assumptions!$B$11</f>
        <v>72.585</v>
      </c>
      <c r="R83" s="11" t="str">
        <f aca="false">IF(Q83&lt;=33,"High Risk",IF(Q83&lt;=66,"Medium Risk","Low Risk"))</f>
        <v>Low Risk</v>
      </c>
    </row>
    <row r="84" customFormat="false" ht="15" hidden="false" customHeight="true" outlineLevel="0" collapsed="false">
      <c r="A84" s="20" t="n">
        <f aca="false">'Raw Data'!A84</f>
        <v>83</v>
      </c>
      <c r="B84" s="20" t="n">
        <f aca="false">'Raw Data'!B84</f>
        <v>24</v>
      </c>
      <c r="C84" s="20" t="str">
        <f aca="false">'Raw Data'!C84</f>
        <v>female</v>
      </c>
      <c r="D84" s="20" t="n">
        <f aca="false">'Raw Data'!D84</f>
        <v>1</v>
      </c>
      <c r="E84" s="20" t="str">
        <f aca="false">'Raw Data'!E84</f>
        <v>rent</v>
      </c>
      <c r="F84" s="20" t="str">
        <f aca="false">'Raw Data'!F84</f>
        <v>moderate</v>
      </c>
      <c r="G84" s="20" t="str">
        <f aca="false">'Raw Data'!G84</f>
        <v>none</v>
      </c>
      <c r="H84" s="20" t="n">
        <f aca="false">'Raw Data'!H84</f>
        <v>1568</v>
      </c>
      <c r="I84" s="20" t="n">
        <f aca="false">'Raw Data'!I84</f>
        <v>18</v>
      </c>
      <c r="J84" s="20" t="str">
        <f aca="false">'Raw Data'!J84</f>
        <v>business</v>
      </c>
      <c r="K84" s="21" t="n">
        <f aca="false">H84/I84</f>
        <v>87.1111111111111</v>
      </c>
      <c r="L84" s="21" t="n">
        <f aca="false">100-MIN(K84/Assumptions!$B$14,1)*100</f>
        <v>78.2222222222222</v>
      </c>
      <c r="M84" s="21" t="n">
        <f aca="false">VLOOKUP(F84,Assumptions!$A$19:$B$23,2,0)</f>
        <v>50</v>
      </c>
      <c r="N84" s="21" t="n">
        <f aca="false">VLOOKUP(G84,Assumptions!$A$27:$B$30,2,0)</f>
        <v>50</v>
      </c>
      <c r="O84" s="21" t="n">
        <f aca="false">VLOOKUP(D84,Assumptions!$A$34:$B$37,2,0)</f>
        <v>33</v>
      </c>
      <c r="P84" s="21" t="n">
        <f aca="false">VLOOKUP(E84,Assumptions!$A$41:$B$43,2,0)</f>
        <v>30</v>
      </c>
      <c r="Q84" s="22" t="n">
        <f aca="false">L84*Assumptions!$B$7+M84*Assumptions!$B$8+N84*Assumptions!$B$9+O84*Assumptions!$B$10+P84*Assumptions!$B$11</f>
        <v>53.9166666666667</v>
      </c>
      <c r="R84" s="11" t="str">
        <f aca="false">IF(Q84&lt;=33,"High Risk",IF(Q84&lt;=66,"Medium Risk","Low Risk"))</f>
        <v>Medium Risk</v>
      </c>
    </row>
    <row r="85" customFormat="false" ht="15" hidden="false" customHeight="true" outlineLevel="0" collapsed="false">
      <c r="A85" s="20" t="n">
        <f aca="false">'Raw Data'!A85</f>
        <v>84</v>
      </c>
      <c r="B85" s="20" t="n">
        <f aca="false">'Raw Data'!B85</f>
        <v>58</v>
      </c>
      <c r="C85" s="20" t="str">
        <f aca="false">'Raw Data'!C85</f>
        <v>female</v>
      </c>
      <c r="D85" s="20" t="n">
        <f aca="false">'Raw Data'!D85</f>
        <v>1</v>
      </c>
      <c r="E85" s="20" t="str">
        <f aca="false">'Raw Data'!E85</f>
        <v>own</v>
      </c>
      <c r="F85" s="20" t="str">
        <f aca="false">'Raw Data'!F85</f>
        <v>little</v>
      </c>
      <c r="G85" s="20" t="str">
        <f aca="false">'Raw Data'!G85</f>
        <v>little</v>
      </c>
      <c r="H85" s="20" t="n">
        <f aca="false">'Raw Data'!H85</f>
        <v>1755</v>
      </c>
      <c r="I85" s="20" t="n">
        <f aca="false">'Raw Data'!I85</f>
        <v>24</v>
      </c>
      <c r="J85" s="20" t="str">
        <f aca="false">'Raw Data'!J85</f>
        <v>vacation/others</v>
      </c>
      <c r="K85" s="21" t="n">
        <f aca="false">H85/I85</f>
        <v>73.125</v>
      </c>
      <c r="L85" s="21" t="n">
        <f aca="false">100-MIN(K85/Assumptions!$B$14,1)*100</f>
        <v>81.71875</v>
      </c>
      <c r="M85" s="21" t="n">
        <f aca="false">VLOOKUP(F85,Assumptions!$A$19:$B$23,2,0)</f>
        <v>25</v>
      </c>
      <c r="N85" s="21" t="n">
        <f aca="false">VLOOKUP(G85,Assumptions!$A$27:$B$30,2,0)</f>
        <v>25</v>
      </c>
      <c r="O85" s="21" t="n">
        <f aca="false">VLOOKUP(D85,Assumptions!$A$34:$B$37,2,0)</f>
        <v>33</v>
      </c>
      <c r="P85" s="21" t="n">
        <f aca="false">VLOOKUP(E85,Assumptions!$A$41:$B$43,2,0)</f>
        <v>100</v>
      </c>
      <c r="Q85" s="22" t="n">
        <f aca="false">L85*Assumptions!$B$7+M85*Assumptions!$B$8+N85*Assumptions!$B$9+O85*Assumptions!$B$10+P85*Assumptions!$B$11</f>
        <v>50.715625</v>
      </c>
      <c r="R85" s="11" t="str">
        <f aca="false">IF(Q85&lt;=33,"High Risk",IF(Q85&lt;=66,"Medium Risk","Low Risk"))</f>
        <v>Medium Risk</v>
      </c>
    </row>
    <row r="86" customFormat="false" ht="15" hidden="false" customHeight="true" outlineLevel="0" collapsed="false">
      <c r="A86" s="20" t="n">
        <f aca="false">'Raw Data'!A86</f>
        <v>85</v>
      </c>
      <c r="B86" s="20" t="n">
        <f aca="false">'Raw Data'!B86</f>
        <v>52</v>
      </c>
      <c r="C86" s="20" t="str">
        <f aca="false">'Raw Data'!C86</f>
        <v>male</v>
      </c>
      <c r="D86" s="20" t="n">
        <f aca="false">'Raw Data'!D86</f>
        <v>1</v>
      </c>
      <c r="E86" s="20" t="str">
        <f aca="false">'Raw Data'!E86</f>
        <v>own</v>
      </c>
      <c r="F86" s="20" t="str">
        <f aca="false">'Raw Data'!F86</f>
        <v>little</v>
      </c>
      <c r="G86" s="20" t="str">
        <f aca="false">'Raw Data'!G86</f>
        <v>little</v>
      </c>
      <c r="H86" s="20" t="n">
        <f aca="false">'Raw Data'!H86</f>
        <v>2315</v>
      </c>
      <c r="I86" s="20" t="n">
        <f aca="false">'Raw Data'!I86</f>
        <v>10</v>
      </c>
      <c r="J86" s="20" t="str">
        <f aca="false">'Raw Data'!J86</f>
        <v>radio/TV</v>
      </c>
      <c r="K86" s="21" t="n">
        <f aca="false">H86/I86</f>
        <v>231.5</v>
      </c>
      <c r="L86" s="21" t="n">
        <f aca="false">100-MIN(K86/Assumptions!$B$14,1)*100</f>
        <v>42.125</v>
      </c>
      <c r="M86" s="21" t="n">
        <f aca="false">VLOOKUP(F86,Assumptions!$A$19:$B$23,2,0)</f>
        <v>25</v>
      </c>
      <c r="N86" s="21" t="n">
        <f aca="false">VLOOKUP(G86,Assumptions!$A$27:$B$30,2,0)</f>
        <v>25</v>
      </c>
      <c r="O86" s="21" t="n">
        <f aca="false">VLOOKUP(D86,Assumptions!$A$34:$B$37,2,0)</f>
        <v>33</v>
      </c>
      <c r="P86" s="21" t="n">
        <f aca="false">VLOOKUP(E86,Assumptions!$A$41:$B$43,2,0)</f>
        <v>100</v>
      </c>
      <c r="Q86" s="22" t="n">
        <f aca="false">L86*Assumptions!$B$7+M86*Assumptions!$B$8+N86*Assumptions!$B$9+O86*Assumptions!$B$10+P86*Assumptions!$B$11</f>
        <v>38.8375</v>
      </c>
      <c r="R86" s="11" t="str">
        <f aca="false">IF(Q86&lt;=33,"High Risk",IF(Q86&lt;=66,"Medium Risk","Low Risk"))</f>
        <v>Medium Risk</v>
      </c>
    </row>
    <row r="87" customFormat="false" ht="15" hidden="false" customHeight="true" outlineLevel="0" collapsed="false">
      <c r="A87" s="20" t="n">
        <f aca="false">'Raw Data'!A87</f>
        <v>86</v>
      </c>
      <c r="B87" s="20" t="n">
        <f aca="false">'Raw Data'!B87</f>
        <v>29</v>
      </c>
      <c r="C87" s="20" t="str">
        <f aca="false">'Raw Data'!C87</f>
        <v>female</v>
      </c>
      <c r="D87" s="20" t="n">
        <f aca="false">'Raw Data'!D87</f>
        <v>3</v>
      </c>
      <c r="E87" s="20" t="str">
        <f aca="false">'Raw Data'!E87</f>
        <v>own</v>
      </c>
      <c r="F87" s="20" t="str">
        <f aca="false">'Raw Data'!F87</f>
        <v>little</v>
      </c>
      <c r="G87" s="20" t="str">
        <f aca="false">'Raw Data'!G87</f>
        <v>none</v>
      </c>
      <c r="H87" s="20" t="n">
        <f aca="false">'Raw Data'!H87</f>
        <v>1412</v>
      </c>
      <c r="I87" s="20" t="n">
        <f aca="false">'Raw Data'!I87</f>
        <v>12</v>
      </c>
      <c r="J87" s="20" t="str">
        <f aca="false">'Raw Data'!J87</f>
        <v>business</v>
      </c>
      <c r="K87" s="21" t="n">
        <f aca="false">H87/I87</f>
        <v>117.666666666667</v>
      </c>
      <c r="L87" s="21" t="n">
        <f aca="false">100-MIN(K87/Assumptions!$B$14,1)*100</f>
        <v>70.5833333333333</v>
      </c>
      <c r="M87" s="21" t="n">
        <f aca="false">VLOOKUP(F87,Assumptions!$A$19:$B$23,2,0)</f>
        <v>25</v>
      </c>
      <c r="N87" s="21" t="n">
        <f aca="false">VLOOKUP(G87,Assumptions!$A$27:$B$30,2,0)</f>
        <v>50</v>
      </c>
      <c r="O87" s="21" t="n">
        <f aca="false">VLOOKUP(D87,Assumptions!$A$34:$B$37,2,0)</f>
        <v>100</v>
      </c>
      <c r="P87" s="21" t="n">
        <f aca="false">VLOOKUP(E87,Assumptions!$A$41:$B$43,2,0)</f>
        <v>100</v>
      </c>
      <c r="Q87" s="22" t="n">
        <f aca="false">L87*Assumptions!$B$7+M87*Assumptions!$B$8+N87*Assumptions!$B$9+O87*Assumptions!$B$10+P87*Assumptions!$B$11</f>
        <v>62.425</v>
      </c>
      <c r="R87" s="11" t="str">
        <f aca="false">IF(Q87&lt;=33,"High Risk",IF(Q87&lt;=66,"Medium Risk","Low Risk"))</f>
        <v>Medium Risk</v>
      </c>
    </row>
    <row r="88" customFormat="false" ht="15" hidden="false" customHeight="true" outlineLevel="0" collapsed="false">
      <c r="A88" s="20" t="n">
        <f aca="false">'Raw Data'!A88</f>
        <v>87</v>
      </c>
      <c r="B88" s="20" t="n">
        <f aca="false">'Raw Data'!B88</f>
        <v>27</v>
      </c>
      <c r="C88" s="20" t="str">
        <f aca="false">'Raw Data'!C88</f>
        <v>female</v>
      </c>
      <c r="D88" s="20" t="n">
        <f aca="false">'Raw Data'!D88</f>
        <v>2</v>
      </c>
      <c r="E88" s="20" t="str">
        <f aca="false">'Raw Data'!E88</f>
        <v>own</v>
      </c>
      <c r="F88" s="20" t="str">
        <f aca="false">'Raw Data'!F88</f>
        <v>little</v>
      </c>
      <c r="G88" s="20" t="str">
        <f aca="false">'Raw Data'!G88</f>
        <v>moderate</v>
      </c>
      <c r="H88" s="20" t="n">
        <f aca="false">'Raw Data'!H88</f>
        <v>1295</v>
      </c>
      <c r="I88" s="20" t="n">
        <f aca="false">'Raw Data'!I88</f>
        <v>18</v>
      </c>
      <c r="J88" s="20" t="str">
        <f aca="false">'Raw Data'!J88</f>
        <v>furniture/equipment</v>
      </c>
      <c r="K88" s="21" t="n">
        <f aca="false">H88/I88</f>
        <v>71.9444444444444</v>
      </c>
      <c r="L88" s="21" t="n">
        <f aca="false">100-MIN(K88/Assumptions!$B$14,1)*100</f>
        <v>82.0138888888889</v>
      </c>
      <c r="M88" s="21" t="n">
        <f aca="false">VLOOKUP(F88,Assumptions!$A$19:$B$23,2,0)</f>
        <v>25</v>
      </c>
      <c r="N88" s="21" t="n">
        <f aca="false">VLOOKUP(G88,Assumptions!$A$27:$B$30,2,0)</f>
        <v>60</v>
      </c>
      <c r="O88" s="21" t="n">
        <f aca="false">VLOOKUP(D88,Assumptions!$A$34:$B$37,2,0)</f>
        <v>66</v>
      </c>
      <c r="P88" s="21" t="n">
        <f aca="false">VLOOKUP(E88,Assumptions!$A$41:$B$43,2,0)</f>
        <v>100</v>
      </c>
      <c r="Q88" s="22" t="n">
        <f aca="false">L88*Assumptions!$B$7+M88*Assumptions!$B$8+N88*Assumptions!$B$9+O88*Assumptions!$B$10+P88*Assumptions!$B$11</f>
        <v>62.7541666666667</v>
      </c>
      <c r="R88" s="11" t="str">
        <f aca="false">IF(Q88&lt;=33,"High Risk",IF(Q88&lt;=66,"Medium Risk","Low Risk"))</f>
        <v>Medium Risk</v>
      </c>
    </row>
    <row r="89" customFormat="false" ht="15" hidden="false" customHeight="true" outlineLevel="0" collapsed="false">
      <c r="A89" s="20" t="n">
        <f aca="false">'Raw Data'!A89</f>
        <v>88</v>
      </c>
      <c r="B89" s="20" t="n">
        <f aca="false">'Raw Data'!B89</f>
        <v>47</v>
      </c>
      <c r="C89" s="20" t="str">
        <f aca="false">'Raw Data'!C89</f>
        <v>male</v>
      </c>
      <c r="D89" s="20" t="n">
        <f aca="false">'Raw Data'!D89</f>
        <v>2</v>
      </c>
      <c r="E89" s="20" t="str">
        <f aca="false">'Raw Data'!E89</f>
        <v>free</v>
      </c>
      <c r="F89" s="20" t="str">
        <f aca="false">'Raw Data'!F89</f>
        <v>moderate</v>
      </c>
      <c r="G89" s="20" t="str">
        <f aca="false">'Raw Data'!G89</f>
        <v>moderate</v>
      </c>
      <c r="H89" s="20" t="n">
        <f aca="false">'Raw Data'!H89</f>
        <v>12612</v>
      </c>
      <c r="I89" s="20" t="n">
        <f aca="false">'Raw Data'!I89</f>
        <v>36</v>
      </c>
      <c r="J89" s="20" t="str">
        <f aca="false">'Raw Data'!J89</f>
        <v>education</v>
      </c>
      <c r="K89" s="21" t="n">
        <f aca="false">H89/I89</f>
        <v>350.333333333333</v>
      </c>
      <c r="L89" s="21" t="n">
        <f aca="false">100-MIN(K89/Assumptions!$B$14,1)*100</f>
        <v>12.4166666666667</v>
      </c>
      <c r="M89" s="21" t="n">
        <f aca="false">VLOOKUP(F89,Assumptions!$A$19:$B$23,2,0)</f>
        <v>50</v>
      </c>
      <c r="N89" s="21" t="n">
        <f aca="false">VLOOKUP(G89,Assumptions!$A$27:$B$30,2,0)</f>
        <v>60</v>
      </c>
      <c r="O89" s="21" t="n">
        <f aca="false">VLOOKUP(D89,Assumptions!$A$34:$B$37,2,0)</f>
        <v>66</v>
      </c>
      <c r="P89" s="21" t="n">
        <f aca="false">VLOOKUP(E89,Assumptions!$A$41:$B$43,2,0)</f>
        <v>60</v>
      </c>
      <c r="Q89" s="22" t="n">
        <f aca="false">L89*Assumptions!$B$7+M89*Assumptions!$B$8+N89*Assumptions!$B$9+O89*Assumptions!$B$10+P89*Assumptions!$B$11</f>
        <v>44.125</v>
      </c>
      <c r="R89" s="11" t="str">
        <f aca="false">IF(Q89&lt;=33,"High Risk",IF(Q89&lt;=66,"Medium Risk","Low Risk"))</f>
        <v>Medium Risk</v>
      </c>
    </row>
    <row r="90" customFormat="false" ht="15" hidden="false" customHeight="true" outlineLevel="0" collapsed="false">
      <c r="A90" s="20" t="n">
        <f aca="false">'Raw Data'!A90</f>
        <v>89</v>
      </c>
      <c r="B90" s="20" t="n">
        <f aca="false">'Raw Data'!B90</f>
        <v>30</v>
      </c>
      <c r="C90" s="20" t="str">
        <f aca="false">'Raw Data'!C90</f>
        <v>male</v>
      </c>
      <c r="D90" s="20" t="n">
        <f aca="false">'Raw Data'!D90</f>
        <v>3</v>
      </c>
      <c r="E90" s="20" t="str">
        <f aca="false">'Raw Data'!E90</f>
        <v>own</v>
      </c>
      <c r="F90" s="20" t="str">
        <f aca="false">'Raw Data'!F90</f>
        <v>moderate</v>
      </c>
      <c r="G90" s="20" t="str">
        <f aca="false">'Raw Data'!G90</f>
        <v>little</v>
      </c>
      <c r="H90" s="20" t="n">
        <f aca="false">'Raw Data'!H90</f>
        <v>2249</v>
      </c>
      <c r="I90" s="20" t="n">
        <f aca="false">'Raw Data'!I90</f>
        <v>18</v>
      </c>
      <c r="J90" s="20" t="str">
        <f aca="false">'Raw Data'!J90</f>
        <v>car</v>
      </c>
      <c r="K90" s="21" t="n">
        <f aca="false">H90/I90</f>
        <v>124.944444444444</v>
      </c>
      <c r="L90" s="21" t="n">
        <f aca="false">100-MIN(K90/Assumptions!$B$14,1)*100</f>
        <v>68.7638888888889</v>
      </c>
      <c r="M90" s="21" t="n">
        <f aca="false">VLOOKUP(F90,Assumptions!$A$19:$B$23,2,0)</f>
        <v>50</v>
      </c>
      <c r="N90" s="21" t="n">
        <f aca="false">VLOOKUP(G90,Assumptions!$A$27:$B$30,2,0)</f>
        <v>25</v>
      </c>
      <c r="O90" s="21" t="n">
        <f aca="false">VLOOKUP(D90,Assumptions!$A$34:$B$37,2,0)</f>
        <v>100</v>
      </c>
      <c r="P90" s="21" t="n">
        <f aca="false">VLOOKUP(E90,Assumptions!$A$41:$B$43,2,0)</f>
        <v>100</v>
      </c>
      <c r="Q90" s="22" t="n">
        <f aca="false">L90*Assumptions!$B$7+M90*Assumptions!$B$8+N90*Assumptions!$B$9+O90*Assumptions!$B$10+P90*Assumptions!$B$11</f>
        <v>63.1291666666667</v>
      </c>
      <c r="R90" s="11" t="str">
        <f aca="false">IF(Q90&lt;=33,"High Risk",IF(Q90&lt;=66,"Medium Risk","Low Risk"))</f>
        <v>Medium Risk</v>
      </c>
    </row>
    <row r="91" customFormat="false" ht="15" hidden="false" customHeight="true" outlineLevel="0" collapsed="false">
      <c r="A91" s="20" t="n">
        <f aca="false">'Raw Data'!A91</f>
        <v>90</v>
      </c>
      <c r="B91" s="20" t="n">
        <f aca="false">'Raw Data'!B91</f>
        <v>28</v>
      </c>
      <c r="C91" s="20" t="str">
        <f aca="false">'Raw Data'!C91</f>
        <v>male</v>
      </c>
      <c r="D91" s="20" t="n">
        <f aca="false">'Raw Data'!D91</f>
        <v>2</v>
      </c>
      <c r="E91" s="20" t="str">
        <f aca="false">'Raw Data'!E91</f>
        <v>own</v>
      </c>
      <c r="F91" s="20" t="str">
        <f aca="false">'Raw Data'!F91</f>
        <v>little</v>
      </c>
      <c r="G91" s="20" t="str">
        <f aca="false">'Raw Data'!G91</f>
        <v>little</v>
      </c>
      <c r="H91" s="20" t="n">
        <f aca="false">'Raw Data'!H91</f>
        <v>1108</v>
      </c>
      <c r="I91" s="20" t="n">
        <f aca="false">'Raw Data'!I91</f>
        <v>12</v>
      </c>
      <c r="J91" s="20" t="str">
        <f aca="false">'Raw Data'!J91</f>
        <v>repairs</v>
      </c>
      <c r="K91" s="21" t="n">
        <f aca="false">H91/I91</f>
        <v>92.3333333333333</v>
      </c>
      <c r="L91" s="21" t="n">
        <f aca="false">100-MIN(K91/Assumptions!$B$14,1)*100</f>
        <v>76.9166666666667</v>
      </c>
      <c r="M91" s="21" t="n">
        <f aca="false">VLOOKUP(F91,Assumptions!$A$19:$B$23,2,0)</f>
        <v>25</v>
      </c>
      <c r="N91" s="21" t="n">
        <f aca="false">VLOOKUP(G91,Assumptions!$A$27:$B$30,2,0)</f>
        <v>25</v>
      </c>
      <c r="O91" s="21" t="n">
        <f aca="false">VLOOKUP(D91,Assumptions!$A$34:$B$37,2,0)</f>
        <v>66</v>
      </c>
      <c r="P91" s="21" t="n">
        <f aca="false">VLOOKUP(E91,Assumptions!$A$41:$B$43,2,0)</f>
        <v>100</v>
      </c>
      <c r="Q91" s="22" t="n">
        <f aca="false">L91*Assumptions!$B$7+M91*Assumptions!$B$8+N91*Assumptions!$B$9+O91*Assumptions!$B$10+P91*Assumptions!$B$11</f>
        <v>54.225</v>
      </c>
      <c r="R91" s="11" t="str">
        <f aca="false">IF(Q91&lt;=33,"High Risk",IF(Q91&lt;=66,"Medium Risk","Low Risk"))</f>
        <v>Medium Risk</v>
      </c>
    </row>
    <row r="92" customFormat="false" ht="15" hidden="false" customHeight="true" outlineLevel="0" collapsed="false">
      <c r="A92" s="20" t="n">
        <f aca="false">'Raw Data'!A92</f>
        <v>91</v>
      </c>
      <c r="B92" s="20" t="n">
        <f aca="false">'Raw Data'!B92</f>
        <v>56</v>
      </c>
      <c r="C92" s="20" t="str">
        <f aca="false">'Raw Data'!C92</f>
        <v>male</v>
      </c>
      <c r="D92" s="20" t="n">
        <f aca="false">'Raw Data'!D92</f>
        <v>2</v>
      </c>
      <c r="E92" s="20" t="str">
        <f aca="false">'Raw Data'!E92</f>
        <v>own</v>
      </c>
      <c r="F92" s="20" t="str">
        <f aca="false">'Raw Data'!F92</f>
        <v>little</v>
      </c>
      <c r="G92" s="20" t="str">
        <f aca="false">'Raw Data'!G92</f>
        <v>none</v>
      </c>
      <c r="H92" s="20" t="n">
        <f aca="false">'Raw Data'!H92</f>
        <v>618</v>
      </c>
      <c r="I92" s="20" t="n">
        <f aca="false">'Raw Data'!I92</f>
        <v>12</v>
      </c>
      <c r="J92" s="20" t="str">
        <f aca="false">'Raw Data'!J92</f>
        <v>radio/TV</v>
      </c>
      <c r="K92" s="21" t="n">
        <f aca="false">H92/I92</f>
        <v>51.5</v>
      </c>
      <c r="L92" s="21" t="n">
        <f aca="false">100-MIN(K92/Assumptions!$B$14,1)*100</f>
        <v>87.125</v>
      </c>
      <c r="M92" s="21" t="n">
        <f aca="false">VLOOKUP(F92,Assumptions!$A$19:$B$23,2,0)</f>
        <v>25</v>
      </c>
      <c r="N92" s="21" t="n">
        <f aca="false">VLOOKUP(G92,Assumptions!$A$27:$B$30,2,0)</f>
        <v>50</v>
      </c>
      <c r="O92" s="21" t="n">
        <f aca="false">VLOOKUP(D92,Assumptions!$A$34:$B$37,2,0)</f>
        <v>66</v>
      </c>
      <c r="P92" s="21" t="n">
        <f aca="false">VLOOKUP(E92,Assumptions!$A$41:$B$43,2,0)</f>
        <v>100</v>
      </c>
      <c r="Q92" s="22" t="n">
        <f aca="false">L92*Assumptions!$B$7+M92*Assumptions!$B$8+N92*Assumptions!$B$9+O92*Assumptions!$B$10+P92*Assumptions!$B$11</f>
        <v>62.2875</v>
      </c>
      <c r="R92" s="11" t="str">
        <f aca="false">IF(Q92&lt;=33,"High Risk",IF(Q92&lt;=66,"Medium Risk","Low Risk"))</f>
        <v>Medium Risk</v>
      </c>
    </row>
    <row r="93" customFormat="false" ht="15" hidden="false" customHeight="true" outlineLevel="0" collapsed="false">
      <c r="A93" s="20" t="n">
        <f aca="false">'Raw Data'!A93</f>
        <v>92</v>
      </c>
      <c r="B93" s="20" t="n">
        <f aca="false">'Raw Data'!B93</f>
        <v>54</v>
      </c>
      <c r="C93" s="20" t="str">
        <f aca="false">'Raw Data'!C93</f>
        <v>male</v>
      </c>
      <c r="D93" s="20" t="n">
        <f aca="false">'Raw Data'!D93</f>
        <v>2</v>
      </c>
      <c r="E93" s="20" t="str">
        <f aca="false">'Raw Data'!E93</f>
        <v>own</v>
      </c>
      <c r="F93" s="20" t="str">
        <f aca="false">'Raw Data'!F93</f>
        <v>little</v>
      </c>
      <c r="G93" s="20" t="str">
        <f aca="false">'Raw Data'!G93</f>
        <v>little</v>
      </c>
      <c r="H93" s="20" t="n">
        <f aca="false">'Raw Data'!H93</f>
        <v>1409</v>
      </c>
      <c r="I93" s="20" t="n">
        <f aca="false">'Raw Data'!I93</f>
        <v>12</v>
      </c>
      <c r="J93" s="20" t="str">
        <f aca="false">'Raw Data'!J93</f>
        <v>car</v>
      </c>
      <c r="K93" s="21" t="n">
        <f aca="false">H93/I93</f>
        <v>117.416666666667</v>
      </c>
      <c r="L93" s="21" t="n">
        <f aca="false">100-MIN(K93/Assumptions!$B$14,1)*100</f>
        <v>70.6458333333333</v>
      </c>
      <c r="M93" s="21" t="n">
        <f aca="false">VLOOKUP(F93,Assumptions!$A$19:$B$23,2,0)</f>
        <v>25</v>
      </c>
      <c r="N93" s="21" t="n">
        <f aca="false">VLOOKUP(G93,Assumptions!$A$27:$B$30,2,0)</f>
        <v>25</v>
      </c>
      <c r="O93" s="21" t="n">
        <f aca="false">VLOOKUP(D93,Assumptions!$A$34:$B$37,2,0)</f>
        <v>66</v>
      </c>
      <c r="P93" s="21" t="n">
        <f aca="false">VLOOKUP(E93,Assumptions!$A$41:$B$43,2,0)</f>
        <v>100</v>
      </c>
      <c r="Q93" s="22" t="n">
        <f aca="false">L93*Assumptions!$B$7+M93*Assumptions!$B$8+N93*Assumptions!$B$9+O93*Assumptions!$B$10+P93*Assumptions!$B$11</f>
        <v>52.34375</v>
      </c>
      <c r="R93" s="11" t="str">
        <f aca="false">IF(Q93&lt;=33,"High Risk",IF(Q93&lt;=66,"Medium Risk","Low Risk"))</f>
        <v>Medium Risk</v>
      </c>
    </row>
    <row r="94" customFormat="false" ht="15" hidden="false" customHeight="true" outlineLevel="0" collapsed="false">
      <c r="A94" s="20" t="n">
        <f aca="false">'Raw Data'!A94</f>
        <v>93</v>
      </c>
      <c r="B94" s="20" t="n">
        <f aca="false">'Raw Data'!B94</f>
        <v>33</v>
      </c>
      <c r="C94" s="20" t="str">
        <f aca="false">'Raw Data'!C94</f>
        <v>female</v>
      </c>
      <c r="D94" s="20" t="n">
        <f aca="false">'Raw Data'!D94</f>
        <v>1</v>
      </c>
      <c r="E94" s="20" t="str">
        <f aca="false">'Raw Data'!E94</f>
        <v>own</v>
      </c>
      <c r="F94" s="20" t="str">
        <f aca="false">'Raw Data'!F94</f>
        <v>none</v>
      </c>
      <c r="G94" s="20" t="str">
        <f aca="false">'Raw Data'!G94</f>
        <v>none</v>
      </c>
      <c r="H94" s="20" t="n">
        <f aca="false">'Raw Data'!H94</f>
        <v>797</v>
      </c>
      <c r="I94" s="20" t="n">
        <f aca="false">'Raw Data'!I94</f>
        <v>12</v>
      </c>
      <c r="J94" s="20" t="str">
        <f aca="false">'Raw Data'!J94</f>
        <v>radio/TV</v>
      </c>
      <c r="K94" s="21" t="n">
        <f aca="false">H94/I94</f>
        <v>66.4166666666667</v>
      </c>
      <c r="L94" s="21" t="n">
        <f aca="false">100-MIN(K94/Assumptions!$B$14,1)*100</f>
        <v>83.3958333333333</v>
      </c>
      <c r="M94" s="21" t="n">
        <f aca="false">VLOOKUP(F94,Assumptions!$A$19:$B$23,2,0)</f>
        <v>40</v>
      </c>
      <c r="N94" s="21" t="n">
        <f aca="false">VLOOKUP(G94,Assumptions!$A$27:$B$30,2,0)</f>
        <v>50</v>
      </c>
      <c r="O94" s="21" t="n">
        <f aca="false">VLOOKUP(D94,Assumptions!$A$34:$B$37,2,0)</f>
        <v>33</v>
      </c>
      <c r="P94" s="21" t="n">
        <f aca="false">VLOOKUP(E94,Assumptions!$A$41:$B$43,2,0)</f>
        <v>100</v>
      </c>
      <c r="Q94" s="22" t="n">
        <f aca="false">L94*Assumptions!$B$7+M94*Assumptions!$B$8+N94*Assumptions!$B$9+O94*Assumptions!$B$10+P94*Assumptions!$B$11</f>
        <v>59.96875</v>
      </c>
      <c r="R94" s="11" t="str">
        <f aca="false">IF(Q94&lt;=33,"High Risk",IF(Q94&lt;=66,"Medium Risk","Low Risk"))</f>
        <v>Medium Risk</v>
      </c>
    </row>
    <row r="95" customFormat="false" ht="15" hidden="false" customHeight="true" outlineLevel="0" collapsed="false">
      <c r="A95" s="20" t="n">
        <f aca="false">'Raw Data'!A95</f>
        <v>94</v>
      </c>
      <c r="B95" s="20" t="n">
        <f aca="false">'Raw Data'!B95</f>
        <v>20</v>
      </c>
      <c r="C95" s="20" t="str">
        <f aca="false">'Raw Data'!C95</f>
        <v>male</v>
      </c>
      <c r="D95" s="20" t="n">
        <f aca="false">'Raw Data'!D95</f>
        <v>2</v>
      </c>
      <c r="E95" s="20" t="str">
        <f aca="false">'Raw Data'!E95</f>
        <v>rent</v>
      </c>
      <c r="F95" s="20" t="str">
        <f aca="false">'Raw Data'!F95</f>
        <v>none</v>
      </c>
      <c r="G95" s="20" t="str">
        <f aca="false">'Raw Data'!G95</f>
        <v>rich</v>
      </c>
      <c r="H95" s="20" t="n">
        <f aca="false">'Raw Data'!H95</f>
        <v>3617</v>
      </c>
      <c r="I95" s="20" t="n">
        <f aca="false">'Raw Data'!I95</f>
        <v>24</v>
      </c>
      <c r="J95" s="20" t="str">
        <f aca="false">'Raw Data'!J95</f>
        <v>furniture/equipment</v>
      </c>
      <c r="K95" s="21" t="n">
        <f aca="false">H95/I95</f>
        <v>150.708333333333</v>
      </c>
      <c r="L95" s="21" t="n">
        <f aca="false">100-MIN(K95/Assumptions!$B$14,1)*100</f>
        <v>62.3229166666667</v>
      </c>
      <c r="M95" s="21" t="n">
        <f aca="false">VLOOKUP(F95,Assumptions!$A$19:$B$23,2,0)</f>
        <v>40</v>
      </c>
      <c r="N95" s="21" t="n">
        <f aca="false">VLOOKUP(G95,Assumptions!$A$27:$B$30,2,0)</f>
        <v>100</v>
      </c>
      <c r="O95" s="21" t="n">
        <f aca="false">VLOOKUP(D95,Assumptions!$A$34:$B$37,2,0)</f>
        <v>66</v>
      </c>
      <c r="P95" s="21" t="n">
        <f aca="false">VLOOKUP(E95,Assumptions!$A$41:$B$43,2,0)</f>
        <v>30</v>
      </c>
      <c r="Q95" s="22" t="n">
        <f aca="false">L95*Assumptions!$B$7+M95*Assumptions!$B$8+N95*Assumptions!$B$9+O95*Assumptions!$B$10+P95*Assumptions!$B$11</f>
        <v>61.596875</v>
      </c>
      <c r="R95" s="11" t="str">
        <f aca="false">IF(Q95&lt;=33,"High Risk",IF(Q95&lt;=66,"Medium Risk","Low Risk"))</f>
        <v>Medium Risk</v>
      </c>
    </row>
    <row r="96" customFormat="false" ht="15" hidden="false" customHeight="true" outlineLevel="0" collapsed="false">
      <c r="A96" s="20" t="n">
        <f aca="false">'Raw Data'!A96</f>
        <v>95</v>
      </c>
      <c r="B96" s="20" t="n">
        <f aca="false">'Raw Data'!B96</f>
        <v>54</v>
      </c>
      <c r="C96" s="20" t="str">
        <f aca="false">'Raw Data'!C96</f>
        <v>male</v>
      </c>
      <c r="D96" s="20" t="n">
        <f aca="false">'Raw Data'!D96</f>
        <v>2</v>
      </c>
      <c r="E96" s="20" t="str">
        <f aca="false">'Raw Data'!E96</f>
        <v>own</v>
      </c>
      <c r="F96" s="20" t="str">
        <f aca="false">'Raw Data'!F96</f>
        <v>rich</v>
      </c>
      <c r="G96" s="20" t="str">
        <f aca="false">'Raw Data'!G96</f>
        <v>moderate</v>
      </c>
      <c r="H96" s="20" t="n">
        <f aca="false">'Raw Data'!H96</f>
        <v>1318</v>
      </c>
      <c r="I96" s="20" t="n">
        <f aca="false">'Raw Data'!I96</f>
        <v>12</v>
      </c>
      <c r="J96" s="20" t="str">
        <f aca="false">'Raw Data'!J96</f>
        <v>car</v>
      </c>
      <c r="K96" s="21" t="n">
        <f aca="false">H96/I96</f>
        <v>109.833333333333</v>
      </c>
      <c r="L96" s="21" t="n">
        <f aca="false">100-MIN(K96/Assumptions!$B$14,1)*100</f>
        <v>72.5416666666667</v>
      </c>
      <c r="M96" s="21" t="n">
        <f aca="false">VLOOKUP(F96,Assumptions!$A$19:$B$23,2,0)</f>
        <v>100</v>
      </c>
      <c r="N96" s="21" t="n">
        <f aca="false">VLOOKUP(G96,Assumptions!$A$27:$B$30,2,0)</f>
        <v>60</v>
      </c>
      <c r="O96" s="21" t="n">
        <f aca="false">VLOOKUP(D96,Assumptions!$A$34:$B$37,2,0)</f>
        <v>66</v>
      </c>
      <c r="P96" s="21" t="n">
        <f aca="false">VLOOKUP(E96,Assumptions!$A$41:$B$43,2,0)</f>
        <v>100</v>
      </c>
      <c r="Q96" s="22" t="n">
        <f aca="false">L96*Assumptions!$B$7+M96*Assumptions!$B$8+N96*Assumptions!$B$9+O96*Assumptions!$B$10+P96*Assumptions!$B$11</f>
        <v>78.6625</v>
      </c>
      <c r="R96" s="11" t="str">
        <f aca="false">IF(Q96&lt;=33,"High Risk",IF(Q96&lt;=66,"Medium Risk","Low Risk"))</f>
        <v>Low Risk</v>
      </c>
    </row>
    <row r="97" customFormat="false" ht="15" hidden="false" customHeight="true" outlineLevel="0" collapsed="false">
      <c r="A97" s="20" t="n">
        <f aca="false">'Raw Data'!A97</f>
        <v>96</v>
      </c>
      <c r="B97" s="20" t="n">
        <f aca="false">'Raw Data'!B97</f>
        <v>58</v>
      </c>
      <c r="C97" s="20" t="str">
        <f aca="false">'Raw Data'!C97</f>
        <v>male</v>
      </c>
      <c r="D97" s="20" t="n">
        <f aca="false">'Raw Data'!D97</f>
        <v>2</v>
      </c>
      <c r="E97" s="20" t="str">
        <f aca="false">'Raw Data'!E97</f>
        <v>rent</v>
      </c>
      <c r="F97" s="20" t="str">
        <f aca="false">'Raw Data'!F97</f>
        <v>little</v>
      </c>
      <c r="G97" s="20" t="str">
        <f aca="false">'Raw Data'!G97</f>
        <v>moderate</v>
      </c>
      <c r="H97" s="20" t="n">
        <f aca="false">'Raw Data'!H97</f>
        <v>15945</v>
      </c>
      <c r="I97" s="20" t="n">
        <f aca="false">'Raw Data'!I97</f>
        <v>54</v>
      </c>
      <c r="J97" s="20" t="str">
        <f aca="false">'Raw Data'!J97</f>
        <v>business</v>
      </c>
      <c r="K97" s="21" t="n">
        <f aca="false">H97/I97</f>
        <v>295.277777777778</v>
      </c>
      <c r="L97" s="21" t="n">
        <f aca="false">100-MIN(K97/Assumptions!$B$14,1)*100</f>
        <v>26.1805555555556</v>
      </c>
      <c r="M97" s="21" t="n">
        <f aca="false">VLOOKUP(F97,Assumptions!$A$19:$B$23,2,0)</f>
        <v>25</v>
      </c>
      <c r="N97" s="21" t="n">
        <f aca="false">VLOOKUP(G97,Assumptions!$A$27:$B$30,2,0)</f>
        <v>60</v>
      </c>
      <c r="O97" s="21" t="n">
        <f aca="false">VLOOKUP(D97,Assumptions!$A$34:$B$37,2,0)</f>
        <v>66</v>
      </c>
      <c r="P97" s="21" t="n">
        <f aca="false">VLOOKUP(E97,Assumptions!$A$41:$B$43,2,0)</f>
        <v>30</v>
      </c>
      <c r="Q97" s="22" t="n">
        <f aca="false">L97*Assumptions!$B$7+M97*Assumptions!$B$8+N97*Assumptions!$B$9+O97*Assumptions!$B$10+P97*Assumptions!$B$11</f>
        <v>39.0041666666667</v>
      </c>
      <c r="R97" s="11" t="str">
        <f aca="false">IF(Q97&lt;=33,"High Risk",IF(Q97&lt;=66,"Medium Risk","Low Risk"))</f>
        <v>Medium Risk</v>
      </c>
    </row>
    <row r="98" customFormat="false" ht="15" hidden="false" customHeight="true" outlineLevel="0" collapsed="false">
      <c r="A98" s="20" t="n">
        <f aca="false">'Raw Data'!A98</f>
        <v>97</v>
      </c>
      <c r="B98" s="20" t="n">
        <f aca="false">'Raw Data'!B98</f>
        <v>61</v>
      </c>
      <c r="C98" s="20" t="str">
        <f aca="false">'Raw Data'!C98</f>
        <v>female</v>
      </c>
      <c r="D98" s="20" t="n">
        <f aca="false">'Raw Data'!D98</f>
        <v>2</v>
      </c>
      <c r="E98" s="20" t="str">
        <f aca="false">'Raw Data'!E98</f>
        <v>own</v>
      </c>
      <c r="F98" s="20" t="str">
        <f aca="false">'Raw Data'!F98</f>
        <v>none</v>
      </c>
      <c r="G98" s="20" t="str">
        <f aca="false">'Raw Data'!G98</f>
        <v>none</v>
      </c>
      <c r="H98" s="20" t="n">
        <f aca="false">'Raw Data'!H98</f>
        <v>2012</v>
      </c>
      <c r="I98" s="20" t="n">
        <f aca="false">'Raw Data'!I98</f>
        <v>12</v>
      </c>
      <c r="J98" s="20" t="str">
        <f aca="false">'Raw Data'!J98</f>
        <v>education</v>
      </c>
      <c r="K98" s="21" t="n">
        <f aca="false">H98/I98</f>
        <v>167.666666666667</v>
      </c>
      <c r="L98" s="21" t="n">
        <f aca="false">100-MIN(K98/Assumptions!$B$14,1)*100</f>
        <v>58.0833333333333</v>
      </c>
      <c r="M98" s="21" t="n">
        <f aca="false">VLOOKUP(F98,Assumptions!$A$19:$B$23,2,0)</f>
        <v>40</v>
      </c>
      <c r="N98" s="21" t="n">
        <f aca="false">VLOOKUP(G98,Assumptions!$A$27:$B$30,2,0)</f>
        <v>50</v>
      </c>
      <c r="O98" s="21" t="n">
        <f aca="false">VLOOKUP(D98,Assumptions!$A$34:$B$37,2,0)</f>
        <v>66</v>
      </c>
      <c r="P98" s="21" t="n">
        <f aca="false">VLOOKUP(E98,Assumptions!$A$41:$B$43,2,0)</f>
        <v>100</v>
      </c>
      <c r="Q98" s="22" t="n">
        <f aca="false">L98*Assumptions!$B$7+M98*Assumptions!$B$8+N98*Assumptions!$B$9+O98*Assumptions!$B$10+P98*Assumptions!$B$11</f>
        <v>57.325</v>
      </c>
      <c r="R98" s="11" t="str">
        <f aca="false">IF(Q98&lt;=33,"High Risk",IF(Q98&lt;=66,"Medium Risk","Low Risk"))</f>
        <v>Medium Risk</v>
      </c>
    </row>
    <row r="99" customFormat="false" ht="15" hidden="false" customHeight="true" outlineLevel="0" collapsed="false">
      <c r="A99" s="20" t="n">
        <f aca="false">'Raw Data'!A99</f>
        <v>98</v>
      </c>
      <c r="B99" s="20" t="n">
        <f aca="false">'Raw Data'!B99</f>
        <v>34</v>
      </c>
      <c r="C99" s="20" t="str">
        <f aca="false">'Raw Data'!C99</f>
        <v>male</v>
      </c>
      <c r="D99" s="20" t="n">
        <f aca="false">'Raw Data'!D99</f>
        <v>2</v>
      </c>
      <c r="E99" s="20" t="str">
        <f aca="false">'Raw Data'!E99</f>
        <v>own</v>
      </c>
      <c r="F99" s="20" t="str">
        <f aca="false">'Raw Data'!F99</f>
        <v>moderate</v>
      </c>
      <c r="G99" s="20" t="str">
        <f aca="false">'Raw Data'!G99</f>
        <v>moderate</v>
      </c>
      <c r="H99" s="20" t="n">
        <f aca="false">'Raw Data'!H99</f>
        <v>2622</v>
      </c>
      <c r="I99" s="20" t="n">
        <f aca="false">'Raw Data'!I99</f>
        <v>18</v>
      </c>
      <c r="J99" s="20" t="str">
        <f aca="false">'Raw Data'!J99</f>
        <v>business</v>
      </c>
      <c r="K99" s="21" t="n">
        <f aca="false">H99/I99</f>
        <v>145.666666666667</v>
      </c>
      <c r="L99" s="21" t="n">
        <f aca="false">100-MIN(K99/Assumptions!$B$14,1)*100</f>
        <v>63.5833333333333</v>
      </c>
      <c r="M99" s="21" t="n">
        <f aca="false">VLOOKUP(F99,Assumptions!$A$19:$B$23,2,0)</f>
        <v>50</v>
      </c>
      <c r="N99" s="21" t="n">
        <f aca="false">VLOOKUP(G99,Assumptions!$A$27:$B$30,2,0)</f>
        <v>60</v>
      </c>
      <c r="O99" s="21" t="n">
        <f aca="false">VLOOKUP(D99,Assumptions!$A$34:$B$37,2,0)</f>
        <v>66</v>
      </c>
      <c r="P99" s="21" t="n">
        <f aca="false">VLOOKUP(E99,Assumptions!$A$41:$B$43,2,0)</f>
        <v>100</v>
      </c>
      <c r="Q99" s="22" t="n">
        <f aca="false">L99*Assumptions!$B$7+M99*Assumptions!$B$8+N99*Assumptions!$B$9+O99*Assumptions!$B$10+P99*Assumptions!$B$11</f>
        <v>63.475</v>
      </c>
      <c r="R99" s="11" t="str">
        <f aca="false">IF(Q99&lt;=33,"High Risk",IF(Q99&lt;=66,"Medium Risk","Low Risk"))</f>
        <v>Medium Risk</v>
      </c>
    </row>
    <row r="100" customFormat="false" ht="15" hidden="false" customHeight="true" outlineLevel="0" collapsed="false">
      <c r="A100" s="20" t="n">
        <f aca="false">'Raw Data'!A100</f>
        <v>99</v>
      </c>
      <c r="B100" s="20" t="n">
        <f aca="false">'Raw Data'!B100</f>
        <v>36</v>
      </c>
      <c r="C100" s="20" t="str">
        <f aca="false">'Raw Data'!C100</f>
        <v>male</v>
      </c>
      <c r="D100" s="20" t="n">
        <f aca="false">'Raw Data'!D100</f>
        <v>2</v>
      </c>
      <c r="E100" s="20" t="str">
        <f aca="false">'Raw Data'!E100</f>
        <v>own</v>
      </c>
      <c r="F100" s="20" t="str">
        <f aca="false">'Raw Data'!F100</f>
        <v>little</v>
      </c>
      <c r="G100" s="20" t="str">
        <f aca="false">'Raw Data'!G100</f>
        <v>moderate</v>
      </c>
      <c r="H100" s="20" t="n">
        <f aca="false">'Raw Data'!H100</f>
        <v>2337</v>
      </c>
      <c r="I100" s="20" t="n">
        <f aca="false">'Raw Data'!I100</f>
        <v>36</v>
      </c>
      <c r="J100" s="20" t="str">
        <f aca="false">'Raw Data'!J100</f>
        <v>radio/TV</v>
      </c>
      <c r="K100" s="21" t="n">
        <f aca="false">H100/I100</f>
        <v>64.9166666666667</v>
      </c>
      <c r="L100" s="21" t="n">
        <f aca="false">100-MIN(K100/Assumptions!$B$14,1)*100</f>
        <v>83.7708333333333</v>
      </c>
      <c r="M100" s="21" t="n">
        <f aca="false">VLOOKUP(F100,Assumptions!$A$19:$B$23,2,0)</f>
        <v>25</v>
      </c>
      <c r="N100" s="21" t="n">
        <f aca="false">VLOOKUP(G100,Assumptions!$A$27:$B$30,2,0)</f>
        <v>60</v>
      </c>
      <c r="O100" s="21" t="n">
        <f aca="false">VLOOKUP(D100,Assumptions!$A$34:$B$37,2,0)</f>
        <v>66</v>
      </c>
      <c r="P100" s="21" t="n">
        <f aca="false">VLOOKUP(E100,Assumptions!$A$41:$B$43,2,0)</f>
        <v>100</v>
      </c>
      <c r="Q100" s="22" t="n">
        <f aca="false">L100*Assumptions!$B$7+M100*Assumptions!$B$8+N100*Assumptions!$B$9+O100*Assumptions!$B$10+P100*Assumptions!$B$11</f>
        <v>63.28125</v>
      </c>
      <c r="R100" s="11" t="str">
        <f aca="false">IF(Q100&lt;=33,"High Risk",IF(Q100&lt;=66,"Medium Risk","Low Risk"))</f>
        <v>Medium Risk</v>
      </c>
    </row>
    <row r="101" customFormat="false" ht="15" hidden="false" customHeight="true" outlineLevel="0" collapsed="false">
      <c r="A101" s="20" t="n">
        <f aca="false">'Raw Data'!A101</f>
        <v>100</v>
      </c>
      <c r="B101" s="20" t="n">
        <f aca="false">'Raw Data'!B101</f>
        <v>36</v>
      </c>
      <c r="C101" s="20" t="str">
        <f aca="false">'Raw Data'!C101</f>
        <v>male</v>
      </c>
      <c r="D101" s="20" t="n">
        <f aca="false">'Raw Data'!D101</f>
        <v>3</v>
      </c>
      <c r="E101" s="20" t="str">
        <f aca="false">'Raw Data'!E101</f>
        <v>rent</v>
      </c>
      <c r="F101" s="20" t="str">
        <f aca="false">'Raw Data'!F101</f>
        <v>none</v>
      </c>
      <c r="G101" s="20" t="str">
        <f aca="false">'Raw Data'!G101</f>
        <v>moderate</v>
      </c>
      <c r="H101" s="20" t="n">
        <f aca="false">'Raw Data'!H101</f>
        <v>7057</v>
      </c>
      <c r="I101" s="20" t="n">
        <f aca="false">'Raw Data'!I101</f>
        <v>20</v>
      </c>
      <c r="J101" s="20" t="str">
        <f aca="false">'Raw Data'!J101</f>
        <v>car</v>
      </c>
      <c r="K101" s="21" t="n">
        <f aca="false">H101/I101</f>
        <v>352.85</v>
      </c>
      <c r="L101" s="21" t="n">
        <f aca="false">100-MIN(K101/Assumptions!$B$14,1)*100</f>
        <v>11.7875</v>
      </c>
      <c r="M101" s="21" t="n">
        <f aca="false">VLOOKUP(F101,Assumptions!$A$19:$B$23,2,0)</f>
        <v>40</v>
      </c>
      <c r="N101" s="21" t="n">
        <f aca="false">VLOOKUP(G101,Assumptions!$A$27:$B$30,2,0)</f>
        <v>60</v>
      </c>
      <c r="O101" s="21" t="n">
        <f aca="false">VLOOKUP(D101,Assumptions!$A$34:$B$37,2,0)</f>
        <v>100</v>
      </c>
      <c r="P101" s="21" t="n">
        <f aca="false">VLOOKUP(E101,Assumptions!$A$41:$B$43,2,0)</f>
        <v>30</v>
      </c>
      <c r="Q101" s="22" t="n">
        <f aca="false">L101*Assumptions!$B$7+M101*Assumptions!$B$8+N101*Assumptions!$B$9+O101*Assumptions!$B$10+P101*Assumptions!$B$11</f>
        <v>43.53625</v>
      </c>
      <c r="R101" s="11" t="str">
        <f aca="false">IF(Q101&lt;=33,"High Risk",IF(Q101&lt;=66,"Medium Risk","Low Risk"))</f>
        <v>Medium Risk</v>
      </c>
    </row>
    <row r="102" customFormat="false" ht="15" hidden="false" customHeight="true" outlineLevel="0" collapsed="false">
      <c r="A102" s="20" t="n">
        <f aca="false">'Raw Data'!A102</f>
        <v>101</v>
      </c>
      <c r="B102" s="20" t="n">
        <f aca="false">'Raw Data'!B102</f>
        <v>41</v>
      </c>
      <c r="C102" s="20" t="str">
        <f aca="false">'Raw Data'!C102</f>
        <v>male</v>
      </c>
      <c r="D102" s="20" t="n">
        <f aca="false">'Raw Data'!D102</f>
        <v>1</v>
      </c>
      <c r="E102" s="20" t="str">
        <f aca="false">'Raw Data'!E102</f>
        <v>rent</v>
      </c>
      <c r="F102" s="20" t="str">
        <f aca="false">'Raw Data'!F102</f>
        <v>moderate</v>
      </c>
      <c r="G102" s="20" t="str">
        <f aca="false">'Raw Data'!G102</f>
        <v>none</v>
      </c>
      <c r="H102" s="20" t="n">
        <f aca="false">'Raw Data'!H102</f>
        <v>1469</v>
      </c>
      <c r="I102" s="20" t="n">
        <f aca="false">'Raw Data'!I102</f>
        <v>24</v>
      </c>
      <c r="J102" s="20" t="str">
        <f aca="false">'Raw Data'!J102</f>
        <v>car</v>
      </c>
      <c r="K102" s="21" t="n">
        <f aca="false">H102/I102</f>
        <v>61.2083333333333</v>
      </c>
      <c r="L102" s="21" t="n">
        <f aca="false">100-MIN(K102/Assumptions!$B$14,1)*100</f>
        <v>84.6979166666667</v>
      </c>
      <c r="M102" s="21" t="n">
        <f aca="false">VLOOKUP(F102,Assumptions!$A$19:$B$23,2,0)</f>
        <v>50</v>
      </c>
      <c r="N102" s="21" t="n">
        <f aca="false">VLOOKUP(G102,Assumptions!$A$27:$B$30,2,0)</f>
        <v>50</v>
      </c>
      <c r="O102" s="21" t="n">
        <f aca="false">VLOOKUP(D102,Assumptions!$A$34:$B$37,2,0)</f>
        <v>33</v>
      </c>
      <c r="P102" s="21" t="n">
        <f aca="false">VLOOKUP(E102,Assumptions!$A$41:$B$43,2,0)</f>
        <v>30</v>
      </c>
      <c r="Q102" s="22" t="n">
        <f aca="false">L102*Assumptions!$B$7+M102*Assumptions!$B$8+N102*Assumptions!$B$9+O102*Assumptions!$B$10+P102*Assumptions!$B$11</f>
        <v>55.859375</v>
      </c>
      <c r="R102" s="11" t="str">
        <f aca="false">IF(Q102&lt;=33,"High Risk",IF(Q102&lt;=66,"Medium Risk","Low Risk"))</f>
        <v>Medium Risk</v>
      </c>
    </row>
    <row r="103" customFormat="false" ht="15" hidden="false" customHeight="true" outlineLevel="0" collapsed="false">
      <c r="A103" s="20" t="n">
        <f aca="false">'Raw Data'!A103</f>
        <v>102</v>
      </c>
      <c r="B103" s="20" t="n">
        <f aca="false">'Raw Data'!B103</f>
        <v>24</v>
      </c>
      <c r="C103" s="20" t="str">
        <f aca="false">'Raw Data'!C103</f>
        <v>male</v>
      </c>
      <c r="D103" s="20" t="n">
        <f aca="false">'Raw Data'!D103</f>
        <v>2</v>
      </c>
      <c r="E103" s="20" t="str">
        <f aca="false">'Raw Data'!E103</f>
        <v>rent</v>
      </c>
      <c r="F103" s="20" t="str">
        <f aca="false">'Raw Data'!F103</f>
        <v>little</v>
      </c>
      <c r="G103" s="20" t="str">
        <f aca="false">'Raw Data'!G103</f>
        <v>moderate</v>
      </c>
      <c r="H103" s="20" t="n">
        <f aca="false">'Raw Data'!H103</f>
        <v>2323</v>
      </c>
      <c r="I103" s="20" t="n">
        <f aca="false">'Raw Data'!I103</f>
        <v>36</v>
      </c>
      <c r="J103" s="20" t="str">
        <f aca="false">'Raw Data'!J103</f>
        <v>radio/TV</v>
      </c>
      <c r="K103" s="21" t="n">
        <f aca="false">H103/I103</f>
        <v>64.5277777777778</v>
      </c>
      <c r="L103" s="21" t="n">
        <f aca="false">100-MIN(K103/Assumptions!$B$14,1)*100</f>
        <v>83.8680555555556</v>
      </c>
      <c r="M103" s="21" t="n">
        <f aca="false">VLOOKUP(F103,Assumptions!$A$19:$B$23,2,0)</f>
        <v>25</v>
      </c>
      <c r="N103" s="21" t="n">
        <f aca="false">VLOOKUP(G103,Assumptions!$A$27:$B$30,2,0)</f>
        <v>60</v>
      </c>
      <c r="O103" s="21" t="n">
        <f aca="false">VLOOKUP(D103,Assumptions!$A$34:$B$37,2,0)</f>
        <v>66</v>
      </c>
      <c r="P103" s="21" t="n">
        <f aca="false">VLOOKUP(E103,Assumptions!$A$41:$B$43,2,0)</f>
        <v>30</v>
      </c>
      <c r="Q103" s="22" t="n">
        <f aca="false">L103*Assumptions!$B$7+M103*Assumptions!$B$8+N103*Assumptions!$B$9+O103*Assumptions!$B$10+P103*Assumptions!$B$11</f>
        <v>56.3104166666667</v>
      </c>
      <c r="R103" s="11" t="str">
        <f aca="false">IF(Q103&lt;=33,"High Risk",IF(Q103&lt;=66,"Medium Risk","Low Risk"))</f>
        <v>Medium Risk</v>
      </c>
    </row>
    <row r="104" customFormat="false" ht="15" hidden="false" customHeight="true" outlineLevel="0" collapsed="false">
      <c r="A104" s="20" t="n">
        <f aca="false">'Raw Data'!A104</f>
        <v>103</v>
      </c>
      <c r="B104" s="20" t="n">
        <f aca="false">'Raw Data'!B104</f>
        <v>24</v>
      </c>
      <c r="C104" s="20" t="str">
        <f aca="false">'Raw Data'!C104</f>
        <v>female</v>
      </c>
      <c r="D104" s="20" t="n">
        <f aca="false">'Raw Data'!D104</f>
        <v>2</v>
      </c>
      <c r="E104" s="20" t="str">
        <f aca="false">'Raw Data'!E104</f>
        <v>own</v>
      </c>
      <c r="F104" s="20" t="str">
        <f aca="false">'Raw Data'!F104</f>
        <v>little</v>
      </c>
      <c r="G104" s="20" t="str">
        <f aca="false">'Raw Data'!G104</f>
        <v>none</v>
      </c>
      <c r="H104" s="20" t="n">
        <f aca="false">'Raw Data'!H104</f>
        <v>932</v>
      </c>
      <c r="I104" s="20" t="n">
        <f aca="false">'Raw Data'!I104</f>
        <v>6</v>
      </c>
      <c r="J104" s="20" t="str">
        <f aca="false">'Raw Data'!J104</f>
        <v>radio/TV</v>
      </c>
      <c r="K104" s="21" t="n">
        <f aca="false">H104/I104</f>
        <v>155.333333333333</v>
      </c>
      <c r="L104" s="21" t="n">
        <f aca="false">100-MIN(K104/Assumptions!$B$14,1)*100</f>
        <v>61.1666666666667</v>
      </c>
      <c r="M104" s="21" t="n">
        <f aca="false">VLOOKUP(F104,Assumptions!$A$19:$B$23,2,0)</f>
        <v>25</v>
      </c>
      <c r="N104" s="21" t="n">
        <f aca="false">VLOOKUP(G104,Assumptions!$A$27:$B$30,2,0)</f>
        <v>50</v>
      </c>
      <c r="O104" s="21" t="n">
        <f aca="false">VLOOKUP(D104,Assumptions!$A$34:$B$37,2,0)</f>
        <v>66</v>
      </c>
      <c r="P104" s="21" t="n">
        <f aca="false">VLOOKUP(E104,Assumptions!$A$41:$B$43,2,0)</f>
        <v>100</v>
      </c>
      <c r="Q104" s="22" t="n">
        <f aca="false">L104*Assumptions!$B$7+M104*Assumptions!$B$8+N104*Assumptions!$B$9+O104*Assumptions!$B$10+P104*Assumptions!$B$11</f>
        <v>54.5</v>
      </c>
      <c r="R104" s="11" t="str">
        <f aca="false">IF(Q104&lt;=33,"High Risk",IF(Q104&lt;=66,"Medium Risk","Low Risk"))</f>
        <v>Medium Risk</v>
      </c>
    </row>
    <row r="105" customFormat="false" ht="15" hidden="false" customHeight="true" outlineLevel="0" collapsed="false">
      <c r="A105" s="20" t="n">
        <f aca="false">'Raw Data'!A105</f>
        <v>104</v>
      </c>
      <c r="B105" s="20" t="n">
        <f aca="false">'Raw Data'!B105</f>
        <v>35</v>
      </c>
      <c r="C105" s="20" t="str">
        <f aca="false">'Raw Data'!C105</f>
        <v>male</v>
      </c>
      <c r="D105" s="20" t="n">
        <f aca="false">'Raw Data'!D105</f>
        <v>2</v>
      </c>
      <c r="E105" s="20" t="str">
        <f aca="false">'Raw Data'!E105</f>
        <v>rent</v>
      </c>
      <c r="F105" s="20" t="str">
        <f aca="false">'Raw Data'!F105</f>
        <v>little</v>
      </c>
      <c r="G105" s="20" t="str">
        <f aca="false">'Raw Data'!G105</f>
        <v>moderate</v>
      </c>
      <c r="H105" s="20" t="n">
        <f aca="false">'Raw Data'!H105</f>
        <v>1919</v>
      </c>
      <c r="I105" s="20" t="n">
        <f aca="false">'Raw Data'!I105</f>
        <v>9</v>
      </c>
      <c r="J105" s="20" t="str">
        <f aca="false">'Raw Data'!J105</f>
        <v>furniture/equipment</v>
      </c>
      <c r="K105" s="21" t="n">
        <f aca="false">H105/I105</f>
        <v>213.222222222222</v>
      </c>
      <c r="L105" s="21" t="n">
        <f aca="false">100-MIN(K105/Assumptions!$B$14,1)*100</f>
        <v>46.6944444444444</v>
      </c>
      <c r="M105" s="21" t="n">
        <f aca="false">VLOOKUP(F105,Assumptions!$A$19:$B$23,2,0)</f>
        <v>25</v>
      </c>
      <c r="N105" s="21" t="n">
        <f aca="false">VLOOKUP(G105,Assumptions!$A$27:$B$30,2,0)</f>
        <v>60</v>
      </c>
      <c r="O105" s="21" t="n">
        <f aca="false">VLOOKUP(D105,Assumptions!$A$34:$B$37,2,0)</f>
        <v>66</v>
      </c>
      <c r="P105" s="21" t="n">
        <f aca="false">VLOOKUP(E105,Assumptions!$A$41:$B$43,2,0)</f>
        <v>30</v>
      </c>
      <c r="Q105" s="22" t="n">
        <f aca="false">L105*Assumptions!$B$7+M105*Assumptions!$B$8+N105*Assumptions!$B$9+O105*Assumptions!$B$10+P105*Assumptions!$B$11</f>
        <v>45.1583333333333</v>
      </c>
      <c r="R105" s="11" t="str">
        <f aca="false">IF(Q105&lt;=33,"High Risk",IF(Q105&lt;=66,"Medium Risk","Low Risk"))</f>
        <v>Medium Risk</v>
      </c>
    </row>
    <row r="106" customFormat="false" ht="15" hidden="false" customHeight="true" outlineLevel="0" collapsed="false">
      <c r="A106" s="20" t="n">
        <f aca="false">'Raw Data'!A106</f>
        <v>105</v>
      </c>
      <c r="B106" s="20" t="n">
        <f aca="false">'Raw Data'!B106</f>
        <v>26</v>
      </c>
      <c r="C106" s="20" t="str">
        <f aca="false">'Raw Data'!C106</f>
        <v>male</v>
      </c>
      <c r="D106" s="20" t="n">
        <f aca="false">'Raw Data'!D106</f>
        <v>2</v>
      </c>
      <c r="E106" s="20" t="str">
        <f aca="false">'Raw Data'!E106</f>
        <v>rent</v>
      </c>
      <c r="F106" s="20" t="str">
        <f aca="false">'Raw Data'!F106</f>
        <v>none</v>
      </c>
      <c r="G106" s="20" t="str">
        <f aca="false">'Raw Data'!G106</f>
        <v>none</v>
      </c>
      <c r="H106" s="20" t="n">
        <f aca="false">'Raw Data'!H106</f>
        <v>2445</v>
      </c>
      <c r="I106" s="20" t="n">
        <f aca="false">'Raw Data'!I106</f>
        <v>12</v>
      </c>
      <c r="J106" s="20" t="str">
        <f aca="false">'Raw Data'!J106</f>
        <v>car</v>
      </c>
      <c r="K106" s="21" t="n">
        <f aca="false">H106/I106</f>
        <v>203.75</v>
      </c>
      <c r="L106" s="21" t="n">
        <f aca="false">100-MIN(K106/Assumptions!$B$14,1)*100</f>
        <v>49.0625</v>
      </c>
      <c r="M106" s="21" t="n">
        <f aca="false">VLOOKUP(F106,Assumptions!$A$19:$B$23,2,0)</f>
        <v>40</v>
      </c>
      <c r="N106" s="21" t="n">
        <f aca="false">VLOOKUP(G106,Assumptions!$A$27:$B$30,2,0)</f>
        <v>50</v>
      </c>
      <c r="O106" s="21" t="n">
        <f aca="false">VLOOKUP(D106,Assumptions!$A$34:$B$37,2,0)</f>
        <v>66</v>
      </c>
      <c r="P106" s="21" t="n">
        <f aca="false">VLOOKUP(E106,Assumptions!$A$41:$B$43,2,0)</f>
        <v>30</v>
      </c>
      <c r="Q106" s="22" t="n">
        <f aca="false">L106*Assumptions!$B$7+M106*Assumptions!$B$8+N106*Assumptions!$B$9+O106*Assumptions!$B$10+P106*Assumptions!$B$11</f>
        <v>47.61875</v>
      </c>
      <c r="R106" s="11" t="str">
        <f aca="false">IF(Q106&lt;=33,"High Risk",IF(Q106&lt;=66,"Medium Risk","Low Risk"))</f>
        <v>Medium Risk</v>
      </c>
    </row>
    <row r="107" customFormat="false" ht="15" hidden="false" customHeight="true" outlineLevel="0" collapsed="false">
      <c r="A107" s="20" t="n">
        <f aca="false">'Raw Data'!A107</f>
        <v>106</v>
      </c>
      <c r="B107" s="20" t="n">
        <f aca="false">'Raw Data'!B107</f>
        <v>39</v>
      </c>
      <c r="C107" s="20" t="str">
        <f aca="false">'Raw Data'!C107</f>
        <v>male</v>
      </c>
      <c r="D107" s="20" t="n">
        <f aca="false">'Raw Data'!D107</f>
        <v>3</v>
      </c>
      <c r="E107" s="20" t="str">
        <f aca="false">'Raw Data'!E107</f>
        <v>own</v>
      </c>
      <c r="F107" s="20" t="str">
        <f aca="false">'Raw Data'!F107</f>
        <v>little</v>
      </c>
      <c r="G107" s="20" t="str">
        <f aca="false">'Raw Data'!G107</f>
        <v>moderate</v>
      </c>
      <c r="H107" s="20" t="n">
        <f aca="false">'Raw Data'!H107</f>
        <v>11938</v>
      </c>
      <c r="I107" s="20" t="n">
        <f aca="false">'Raw Data'!I107</f>
        <v>24</v>
      </c>
      <c r="J107" s="20" t="str">
        <f aca="false">'Raw Data'!J107</f>
        <v>vacation/others</v>
      </c>
      <c r="K107" s="21" t="n">
        <f aca="false">H107/I107</f>
        <v>497.416666666667</v>
      </c>
      <c r="L107" s="21" t="n">
        <f aca="false">100-MIN(K107/Assumptions!$B$14,1)*100</f>
        <v>0</v>
      </c>
      <c r="M107" s="21" t="n">
        <f aca="false">VLOOKUP(F107,Assumptions!$A$19:$B$23,2,0)</f>
        <v>25</v>
      </c>
      <c r="N107" s="21" t="n">
        <f aca="false">VLOOKUP(G107,Assumptions!$A$27:$B$30,2,0)</f>
        <v>60</v>
      </c>
      <c r="O107" s="21" t="n">
        <f aca="false">VLOOKUP(D107,Assumptions!$A$34:$B$37,2,0)</f>
        <v>100</v>
      </c>
      <c r="P107" s="21" t="n">
        <f aca="false">VLOOKUP(E107,Assumptions!$A$41:$B$43,2,0)</f>
        <v>100</v>
      </c>
      <c r="Q107" s="22" t="n">
        <f aca="false">L107*Assumptions!$B$7+M107*Assumptions!$B$8+N107*Assumptions!$B$9+O107*Assumptions!$B$10+P107*Assumptions!$B$11</f>
        <v>43.25</v>
      </c>
      <c r="R107" s="11" t="str">
        <f aca="false">IF(Q107&lt;=33,"High Risk",IF(Q107&lt;=66,"Medium Risk","Low Risk"))</f>
        <v>Medium Risk</v>
      </c>
    </row>
    <row r="108" customFormat="false" ht="15" hidden="false" customHeight="true" outlineLevel="0" collapsed="false">
      <c r="A108" s="20" t="n">
        <f aca="false">'Raw Data'!A108</f>
        <v>107</v>
      </c>
      <c r="B108" s="20" t="n">
        <f aca="false">'Raw Data'!B108</f>
        <v>39</v>
      </c>
      <c r="C108" s="20" t="str">
        <f aca="false">'Raw Data'!C108</f>
        <v>male</v>
      </c>
      <c r="D108" s="20" t="n">
        <f aca="false">'Raw Data'!D108</f>
        <v>3</v>
      </c>
      <c r="E108" s="20" t="str">
        <f aca="false">'Raw Data'!E108</f>
        <v>own</v>
      </c>
      <c r="F108" s="20" t="str">
        <f aca="false">'Raw Data'!F108</f>
        <v>little</v>
      </c>
      <c r="G108" s="20" t="str">
        <f aca="false">'Raw Data'!G108</f>
        <v>none</v>
      </c>
      <c r="H108" s="20" t="n">
        <f aca="false">'Raw Data'!H108</f>
        <v>6458</v>
      </c>
      <c r="I108" s="20" t="n">
        <f aca="false">'Raw Data'!I108</f>
        <v>18</v>
      </c>
      <c r="J108" s="20" t="str">
        <f aca="false">'Raw Data'!J108</f>
        <v>car</v>
      </c>
      <c r="K108" s="21" t="n">
        <f aca="false">H108/I108</f>
        <v>358.777777777778</v>
      </c>
      <c r="L108" s="21" t="n">
        <f aca="false">100-MIN(K108/Assumptions!$B$14,1)*100</f>
        <v>10.3055555555556</v>
      </c>
      <c r="M108" s="21" t="n">
        <f aca="false">VLOOKUP(F108,Assumptions!$A$19:$B$23,2,0)</f>
        <v>25</v>
      </c>
      <c r="N108" s="21" t="n">
        <f aca="false">VLOOKUP(G108,Assumptions!$A$27:$B$30,2,0)</f>
        <v>50</v>
      </c>
      <c r="O108" s="21" t="n">
        <f aca="false">VLOOKUP(D108,Assumptions!$A$34:$B$37,2,0)</f>
        <v>100</v>
      </c>
      <c r="P108" s="21" t="n">
        <f aca="false">VLOOKUP(E108,Assumptions!$A$41:$B$43,2,0)</f>
        <v>100</v>
      </c>
      <c r="Q108" s="22" t="n">
        <f aca="false">L108*Assumptions!$B$7+M108*Assumptions!$B$8+N108*Assumptions!$B$9+O108*Assumptions!$B$10+P108*Assumptions!$B$11</f>
        <v>44.3416666666667</v>
      </c>
      <c r="R108" s="11" t="str">
        <f aca="false">IF(Q108&lt;=33,"High Risk",IF(Q108&lt;=66,"Medium Risk","Low Risk"))</f>
        <v>Medium Risk</v>
      </c>
    </row>
    <row r="109" customFormat="false" ht="15" hidden="false" customHeight="true" outlineLevel="0" collapsed="false">
      <c r="A109" s="20" t="n">
        <f aca="false">'Raw Data'!A109</f>
        <v>108</v>
      </c>
      <c r="B109" s="20" t="n">
        <f aca="false">'Raw Data'!B109</f>
        <v>32</v>
      </c>
      <c r="C109" s="20" t="str">
        <f aca="false">'Raw Data'!C109</f>
        <v>male</v>
      </c>
      <c r="D109" s="20" t="n">
        <f aca="false">'Raw Data'!D109</f>
        <v>2</v>
      </c>
      <c r="E109" s="20" t="str">
        <f aca="false">'Raw Data'!E109</f>
        <v>own</v>
      </c>
      <c r="F109" s="20" t="str">
        <f aca="false">'Raw Data'!F109</f>
        <v>little</v>
      </c>
      <c r="G109" s="20" t="str">
        <f aca="false">'Raw Data'!G109</f>
        <v>moderate</v>
      </c>
      <c r="H109" s="20" t="n">
        <f aca="false">'Raw Data'!H109</f>
        <v>6078</v>
      </c>
      <c r="I109" s="20" t="n">
        <f aca="false">'Raw Data'!I109</f>
        <v>12</v>
      </c>
      <c r="J109" s="20" t="str">
        <f aca="false">'Raw Data'!J109</f>
        <v>car</v>
      </c>
      <c r="K109" s="21" t="n">
        <f aca="false">H109/I109</f>
        <v>506.5</v>
      </c>
      <c r="L109" s="21" t="n">
        <f aca="false">100-MIN(K109/Assumptions!$B$14,1)*100</f>
        <v>0</v>
      </c>
      <c r="M109" s="21" t="n">
        <f aca="false">VLOOKUP(F109,Assumptions!$A$19:$B$23,2,0)</f>
        <v>25</v>
      </c>
      <c r="N109" s="21" t="n">
        <f aca="false">VLOOKUP(G109,Assumptions!$A$27:$B$30,2,0)</f>
        <v>60</v>
      </c>
      <c r="O109" s="21" t="n">
        <f aca="false">VLOOKUP(D109,Assumptions!$A$34:$B$37,2,0)</f>
        <v>66</v>
      </c>
      <c r="P109" s="21" t="n">
        <f aca="false">VLOOKUP(E109,Assumptions!$A$41:$B$43,2,0)</f>
        <v>100</v>
      </c>
      <c r="Q109" s="22" t="n">
        <f aca="false">L109*Assumptions!$B$7+M109*Assumptions!$B$8+N109*Assumptions!$B$9+O109*Assumptions!$B$10+P109*Assumptions!$B$11</f>
        <v>38.15</v>
      </c>
      <c r="R109" s="11" t="str">
        <f aca="false">IF(Q109&lt;=33,"High Risk",IF(Q109&lt;=66,"Medium Risk","Low Risk"))</f>
        <v>Medium Risk</v>
      </c>
    </row>
    <row r="110" customFormat="false" ht="15" hidden="false" customHeight="true" outlineLevel="0" collapsed="false">
      <c r="A110" s="20" t="n">
        <f aca="false">'Raw Data'!A110</f>
        <v>109</v>
      </c>
      <c r="B110" s="20" t="n">
        <f aca="false">'Raw Data'!B110</f>
        <v>30</v>
      </c>
      <c r="C110" s="20" t="str">
        <f aca="false">'Raw Data'!C110</f>
        <v>female</v>
      </c>
      <c r="D110" s="20" t="n">
        <f aca="false">'Raw Data'!D110</f>
        <v>2</v>
      </c>
      <c r="E110" s="20" t="str">
        <f aca="false">'Raw Data'!E110</f>
        <v>own</v>
      </c>
      <c r="F110" s="20" t="str">
        <f aca="false">'Raw Data'!F110</f>
        <v>none</v>
      </c>
      <c r="G110" s="20" t="str">
        <f aca="false">'Raw Data'!G110</f>
        <v>little</v>
      </c>
      <c r="H110" s="20" t="n">
        <f aca="false">'Raw Data'!H110</f>
        <v>7721</v>
      </c>
      <c r="I110" s="20" t="n">
        <f aca="false">'Raw Data'!I110</f>
        <v>24</v>
      </c>
      <c r="J110" s="20" t="str">
        <f aca="false">'Raw Data'!J110</f>
        <v>furniture/equipment</v>
      </c>
      <c r="K110" s="21" t="n">
        <f aca="false">H110/I110</f>
        <v>321.708333333333</v>
      </c>
      <c r="L110" s="21" t="n">
        <f aca="false">100-MIN(K110/Assumptions!$B$14,1)*100</f>
        <v>19.5729166666667</v>
      </c>
      <c r="M110" s="21" t="n">
        <f aca="false">VLOOKUP(F110,Assumptions!$A$19:$B$23,2,0)</f>
        <v>40</v>
      </c>
      <c r="N110" s="21" t="n">
        <f aca="false">VLOOKUP(G110,Assumptions!$A$27:$B$30,2,0)</f>
        <v>25</v>
      </c>
      <c r="O110" s="21" t="n">
        <f aca="false">VLOOKUP(D110,Assumptions!$A$34:$B$37,2,0)</f>
        <v>66</v>
      </c>
      <c r="P110" s="21" t="n">
        <f aca="false">VLOOKUP(E110,Assumptions!$A$41:$B$43,2,0)</f>
        <v>100</v>
      </c>
      <c r="Q110" s="22" t="n">
        <f aca="false">L110*Assumptions!$B$7+M110*Assumptions!$B$8+N110*Assumptions!$B$9+O110*Assumptions!$B$10+P110*Assumptions!$B$11</f>
        <v>40.771875</v>
      </c>
      <c r="R110" s="11" t="str">
        <f aca="false">IF(Q110&lt;=33,"High Risk",IF(Q110&lt;=66,"Medium Risk","Low Risk"))</f>
        <v>Medium Risk</v>
      </c>
    </row>
    <row r="111" customFormat="false" ht="15" hidden="false" customHeight="true" outlineLevel="0" collapsed="false">
      <c r="A111" s="20" t="n">
        <f aca="false">'Raw Data'!A111</f>
        <v>110</v>
      </c>
      <c r="B111" s="20" t="n">
        <f aca="false">'Raw Data'!B111</f>
        <v>35</v>
      </c>
      <c r="C111" s="20" t="str">
        <f aca="false">'Raw Data'!C111</f>
        <v>male</v>
      </c>
      <c r="D111" s="20" t="n">
        <f aca="false">'Raw Data'!D111</f>
        <v>2</v>
      </c>
      <c r="E111" s="20" t="str">
        <f aca="false">'Raw Data'!E111</f>
        <v>own</v>
      </c>
      <c r="F111" s="20" t="str">
        <f aca="false">'Raw Data'!F111</f>
        <v>quite rich</v>
      </c>
      <c r="G111" s="20" t="str">
        <f aca="false">'Raw Data'!G111</f>
        <v>moderate</v>
      </c>
      <c r="H111" s="20" t="n">
        <f aca="false">'Raw Data'!H111</f>
        <v>1410</v>
      </c>
      <c r="I111" s="20" t="n">
        <f aca="false">'Raw Data'!I111</f>
        <v>14</v>
      </c>
      <c r="J111" s="20" t="str">
        <f aca="false">'Raw Data'!J111</f>
        <v>business</v>
      </c>
      <c r="K111" s="21" t="n">
        <f aca="false">H111/I111</f>
        <v>100.714285714286</v>
      </c>
      <c r="L111" s="21" t="n">
        <f aca="false">100-MIN(K111/Assumptions!$B$14,1)*100</f>
        <v>74.8214285714286</v>
      </c>
      <c r="M111" s="21" t="n">
        <f aca="false">VLOOKUP(F111,Assumptions!$A$19:$B$23,2,0)</f>
        <v>75</v>
      </c>
      <c r="N111" s="21" t="n">
        <f aca="false">VLOOKUP(G111,Assumptions!$A$27:$B$30,2,0)</f>
        <v>60</v>
      </c>
      <c r="O111" s="21" t="n">
        <f aca="false">VLOOKUP(D111,Assumptions!$A$34:$B$37,2,0)</f>
        <v>66</v>
      </c>
      <c r="P111" s="21" t="n">
        <f aca="false">VLOOKUP(E111,Assumptions!$A$41:$B$43,2,0)</f>
        <v>100</v>
      </c>
      <c r="Q111" s="22" t="n">
        <f aca="false">L111*Assumptions!$B$7+M111*Assumptions!$B$8+N111*Assumptions!$B$9+O111*Assumptions!$B$10+P111*Assumptions!$B$11</f>
        <v>73.0964285714286</v>
      </c>
      <c r="R111" s="11" t="str">
        <f aca="false">IF(Q111&lt;=33,"High Risk",IF(Q111&lt;=66,"Medium Risk","Low Risk"))</f>
        <v>Low Risk</v>
      </c>
    </row>
    <row r="112" customFormat="false" ht="15" hidden="false" customHeight="true" outlineLevel="0" collapsed="false">
      <c r="A112" s="20" t="n">
        <f aca="false">'Raw Data'!A112</f>
        <v>111</v>
      </c>
      <c r="B112" s="20" t="n">
        <f aca="false">'Raw Data'!B112</f>
        <v>31</v>
      </c>
      <c r="C112" s="20" t="str">
        <f aca="false">'Raw Data'!C112</f>
        <v>male</v>
      </c>
      <c r="D112" s="20" t="n">
        <f aca="false">'Raw Data'!D112</f>
        <v>2</v>
      </c>
      <c r="E112" s="20" t="str">
        <f aca="false">'Raw Data'!E112</f>
        <v>own</v>
      </c>
      <c r="F112" s="20" t="str">
        <f aca="false">'Raw Data'!F112</f>
        <v>moderate</v>
      </c>
      <c r="G112" s="20" t="str">
        <f aca="false">'Raw Data'!G112</f>
        <v>moderate</v>
      </c>
      <c r="H112" s="20" t="n">
        <f aca="false">'Raw Data'!H112</f>
        <v>1449</v>
      </c>
      <c r="I112" s="20" t="n">
        <f aca="false">'Raw Data'!I112</f>
        <v>6</v>
      </c>
      <c r="J112" s="20" t="str">
        <f aca="false">'Raw Data'!J112</f>
        <v>business</v>
      </c>
      <c r="K112" s="21" t="n">
        <f aca="false">H112/I112</f>
        <v>241.5</v>
      </c>
      <c r="L112" s="21" t="n">
        <f aca="false">100-MIN(K112/Assumptions!$B$14,1)*100</f>
        <v>39.625</v>
      </c>
      <c r="M112" s="21" t="n">
        <f aca="false">VLOOKUP(F112,Assumptions!$A$19:$B$23,2,0)</f>
        <v>50</v>
      </c>
      <c r="N112" s="21" t="n">
        <f aca="false">VLOOKUP(G112,Assumptions!$A$27:$B$30,2,0)</f>
        <v>60</v>
      </c>
      <c r="O112" s="21" t="n">
        <f aca="false">VLOOKUP(D112,Assumptions!$A$34:$B$37,2,0)</f>
        <v>66</v>
      </c>
      <c r="P112" s="21" t="n">
        <f aca="false">VLOOKUP(E112,Assumptions!$A$41:$B$43,2,0)</f>
        <v>100</v>
      </c>
      <c r="Q112" s="22" t="n">
        <f aca="false">L112*Assumptions!$B$7+M112*Assumptions!$B$8+N112*Assumptions!$B$9+O112*Assumptions!$B$10+P112*Assumptions!$B$11</f>
        <v>56.2875</v>
      </c>
      <c r="R112" s="11" t="str">
        <f aca="false">IF(Q112&lt;=33,"High Risk",IF(Q112&lt;=66,"Medium Risk","Low Risk"))</f>
        <v>Medium Risk</v>
      </c>
    </row>
    <row r="113" customFormat="false" ht="15" hidden="false" customHeight="true" outlineLevel="0" collapsed="false">
      <c r="A113" s="20" t="n">
        <f aca="false">'Raw Data'!A113</f>
        <v>112</v>
      </c>
      <c r="B113" s="20" t="n">
        <f aca="false">'Raw Data'!B113</f>
        <v>23</v>
      </c>
      <c r="C113" s="20" t="str">
        <f aca="false">'Raw Data'!C113</f>
        <v>female</v>
      </c>
      <c r="D113" s="20" t="n">
        <f aca="false">'Raw Data'!D113</f>
        <v>2</v>
      </c>
      <c r="E113" s="20" t="str">
        <f aca="false">'Raw Data'!E113</f>
        <v>rent</v>
      </c>
      <c r="F113" s="20" t="str">
        <f aca="false">'Raw Data'!F113</f>
        <v>little</v>
      </c>
      <c r="G113" s="20" t="str">
        <f aca="false">'Raw Data'!G113</f>
        <v>rich</v>
      </c>
      <c r="H113" s="20" t="n">
        <f aca="false">'Raw Data'!H113</f>
        <v>392</v>
      </c>
      <c r="I113" s="20" t="n">
        <f aca="false">'Raw Data'!I113</f>
        <v>15</v>
      </c>
      <c r="J113" s="20" t="str">
        <f aca="false">'Raw Data'!J113</f>
        <v>education</v>
      </c>
      <c r="K113" s="21" t="n">
        <f aca="false">H113/I113</f>
        <v>26.1333333333333</v>
      </c>
      <c r="L113" s="21" t="n">
        <f aca="false">100-MIN(K113/Assumptions!$B$14,1)*100</f>
        <v>93.4666666666667</v>
      </c>
      <c r="M113" s="21" t="n">
        <f aca="false">VLOOKUP(F113,Assumptions!$A$19:$B$23,2,0)</f>
        <v>25</v>
      </c>
      <c r="N113" s="21" t="n">
        <f aca="false">VLOOKUP(G113,Assumptions!$A$27:$B$30,2,0)</f>
        <v>100</v>
      </c>
      <c r="O113" s="21" t="n">
        <f aca="false">VLOOKUP(D113,Assumptions!$A$34:$B$37,2,0)</f>
        <v>66</v>
      </c>
      <c r="P113" s="21" t="n">
        <f aca="false">VLOOKUP(E113,Assumptions!$A$41:$B$43,2,0)</f>
        <v>30</v>
      </c>
      <c r="Q113" s="22" t="n">
        <f aca="false">L113*Assumptions!$B$7+M113*Assumptions!$B$8+N113*Assumptions!$B$9+O113*Assumptions!$B$10+P113*Assumptions!$B$11</f>
        <v>67.19</v>
      </c>
      <c r="R113" s="11" t="str">
        <f aca="false">IF(Q113&lt;=33,"High Risk",IF(Q113&lt;=66,"Medium Risk","Low Risk"))</f>
        <v>Low Risk</v>
      </c>
    </row>
    <row r="114" customFormat="false" ht="15" hidden="false" customHeight="true" outlineLevel="0" collapsed="false">
      <c r="A114" s="20" t="n">
        <f aca="false">'Raw Data'!A114</f>
        <v>113</v>
      </c>
      <c r="B114" s="20" t="n">
        <f aca="false">'Raw Data'!B114</f>
        <v>28</v>
      </c>
      <c r="C114" s="20" t="str">
        <f aca="false">'Raw Data'!C114</f>
        <v>male</v>
      </c>
      <c r="D114" s="20" t="n">
        <f aca="false">'Raw Data'!D114</f>
        <v>1</v>
      </c>
      <c r="E114" s="20" t="str">
        <f aca="false">'Raw Data'!E114</f>
        <v>rent</v>
      </c>
      <c r="F114" s="20" t="str">
        <f aca="false">'Raw Data'!F114</f>
        <v>little</v>
      </c>
      <c r="G114" s="20" t="str">
        <f aca="false">'Raw Data'!G114</f>
        <v>moderate</v>
      </c>
      <c r="H114" s="20" t="n">
        <f aca="false">'Raw Data'!H114</f>
        <v>6260</v>
      </c>
      <c r="I114" s="20" t="n">
        <f aca="false">'Raw Data'!I114</f>
        <v>18</v>
      </c>
      <c r="J114" s="20" t="str">
        <f aca="false">'Raw Data'!J114</f>
        <v>car</v>
      </c>
      <c r="K114" s="21" t="n">
        <f aca="false">H114/I114</f>
        <v>347.777777777778</v>
      </c>
      <c r="L114" s="21" t="n">
        <f aca="false">100-MIN(K114/Assumptions!$B$14,1)*100</f>
        <v>13.0555555555556</v>
      </c>
      <c r="M114" s="21" t="n">
        <f aca="false">VLOOKUP(F114,Assumptions!$A$19:$B$23,2,0)</f>
        <v>25</v>
      </c>
      <c r="N114" s="21" t="n">
        <f aca="false">VLOOKUP(G114,Assumptions!$A$27:$B$30,2,0)</f>
        <v>60</v>
      </c>
      <c r="O114" s="21" t="n">
        <f aca="false">VLOOKUP(D114,Assumptions!$A$34:$B$37,2,0)</f>
        <v>33</v>
      </c>
      <c r="P114" s="21" t="n">
        <f aca="false">VLOOKUP(E114,Assumptions!$A$41:$B$43,2,0)</f>
        <v>30</v>
      </c>
      <c r="Q114" s="22" t="n">
        <f aca="false">L114*Assumptions!$B$7+M114*Assumptions!$B$8+N114*Assumptions!$B$9+O114*Assumptions!$B$10+P114*Assumptions!$B$11</f>
        <v>30.1166666666667</v>
      </c>
      <c r="R114" s="11" t="str">
        <f aca="false">IF(Q114&lt;=33,"High Risk",IF(Q114&lt;=66,"Medium Risk","Low Risk"))</f>
        <v>High Risk</v>
      </c>
    </row>
    <row r="115" customFormat="false" ht="15" hidden="false" customHeight="true" outlineLevel="0" collapsed="false">
      <c r="A115" s="20" t="n">
        <f aca="false">'Raw Data'!A115</f>
        <v>114</v>
      </c>
      <c r="B115" s="20" t="n">
        <f aca="false">'Raw Data'!B115</f>
        <v>25</v>
      </c>
      <c r="C115" s="20" t="str">
        <f aca="false">'Raw Data'!C115</f>
        <v>female</v>
      </c>
      <c r="D115" s="20" t="n">
        <f aca="false">'Raw Data'!D115</f>
        <v>2</v>
      </c>
      <c r="E115" s="20" t="str">
        <f aca="false">'Raw Data'!E115</f>
        <v>own</v>
      </c>
      <c r="F115" s="20" t="str">
        <f aca="false">'Raw Data'!F115</f>
        <v>little</v>
      </c>
      <c r="G115" s="20" t="str">
        <f aca="false">'Raw Data'!G115</f>
        <v>none</v>
      </c>
      <c r="H115" s="20" t="n">
        <f aca="false">'Raw Data'!H115</f>
        <v>7855</v>
      </c>
      <c r="I115" s="20" t="n">
        <f aca="false">'Raw Data'!I115</f>
        <v>36</v>
      </c>
      <c r="J115" s="20" t="str">
        <f aca="false">'Raw Data'!J115</f>
        <v>car</v>
      </c>
      <c r="K115" s="21" t="n">
        <f aca="false">H115/I115</f>
        <v>218.194444444444</v>
      </c>
      <c r="L115" s="21" t="n">
        <f aca="false">100-MIN(K115/Assumptions!$B$14,1)*100</f>
        <v>45.4513888888889</v>
      </c>
      <c r="M115" s="21" t="n">
        <f aca="false">VLOOKUP(F115,Assumptions!$A$19:$B$23,2,0)</f>
        <v>25</v>
      </c>
      <c r="N115" s="21" t="n">
        <f aca="false">VLOOKUP(G115,Assumptions!$A$27:$B$30,2,0)</f>
        <v>50</v>
      </c>
      <c r="O115" s="21" t="n">
        <f aca="false">VLOOKUP(D115,Assumptions!$A$34:$B$37,2,0)</f>
        <v>66</v>
      </c>
      <c r="P115" s="21" t="n">
        <f aca="false">VLOOKUP(E115,Assumptions!$A$41:$B$43,2,0)</f>
        <v>100</v>
      </c>
      <c r="Q115" s="22" t="n">
        <f aca="false">L115*Assumptions!$B$7+M115*Assumptions!$B$8+N115*Assumptions!$B$9+O115*Assumptions!$B$10+P115*Assumptions!$B$11</f>
        <v>49.7854166666667</v>
      </c>
      <c r="R115" s="11" t="str">
        <f aca="false">IF(Q115&lt;=33,"High Risk",IF(Q115&lt;=66,"Medium Risk","Low Risk"))</f>
        <v>Medium Risk</v>
      </c>
    </row>
    <row r="116" customFormat="false" ht="15" hidden="false" customHeight="true" outlineLevel="0" collapsed="false">
      <c r="A116" s="20" t="n">
        <f aca="false">'Raw Data'!A116</f>
        <v>115</v>
      </c>
      <c r="B116" s="20" t="n">
        <f aca="false">'Raw Data'!B116</f>
        <v>35</v>
      </c>
      <c r="C116" s="20" t="str">
        <f aca="false">'Raw Data'!C116</f>
        <v>male</v>
      </c>
      <c r="D116" s="20" t="n">
        <f aca="false">'Raw Data'!D116</f>
        <v>2</v>
      </c>
      <c r="E116" s="20" t="str">
        <f aca="false">'Raw Data'!E116</f>
        <v>own</v>
      </c>
      <c r="F116" s="20" t="str">
        <f aca="false">'Raw Data'!F116</f>
        <v>quite rich</v>
      </c>
      <c r="G116" s="20" t="str">
        <f aca="false">'Raw Data'!G116</f>
        <v>little</v>
      </c>
      <c r="H116" s="20" t="n">
        <f aca="false">'Raw Data'!H116</f>
        <v>1680</v>
      </c>
      <c r="I116" s="20" t="n">
        <f aca="false">'Raw Data'!I116</f>
        <v>12</v>
      </c>
      <c r="J116" s="20" t="str">
        <f aca="false">'Raw Data'!J116</f>
        <v>radio/TV</v>
      </c>
      <c r="K116" s="21" t="n">
        <f aca="false">H116/I116</f>
        <v>140</v>
      </c>
      <c r="L116" s="21" t="n">
        <f aca="false">100-MIN(K116/Assumptions!$B$14,1)*100</f>
        <v>65</v>
      </c>
      <c r="M116" s="21" t="n">
        <f aca="false">VLOOKUP(F116,Assumptions!$A$19:$B$23,2,0)</f>
        <v>75</v>
      </c>
      <c r="N116" s="21" t="n">
        <f aca="false">VLOOKUP(G116,Assumptions!$A$27:$B$30,2,0)</f>
        <v>25</v>
      </c>
      <c r="O116" s="21" t="n">
        <f aca="false">VLOOKUP(D116,Assumptions!$A$34:$B$37,2,0)</f>
        <v>66</v>
      </c>
      <c r="P116" s="21" t="n">
        <f aca="false">VLOOKUP(E116,Assumptions!$A$41:$B$43,2,0)</f>
        <v>100</v>
      </c>
      <c r="Q116" s="22" t="n">
        <f aca="false">L116*Assumptions!$B$7+M116*Assumptions!$B$8+N116*Assumptions!$B$9+O116*Assumptions!$B$10+P116*Assumptions!$B$11</f>
        <v>63.15</v>
      </c>
      <c r="R116" s="11" t="str">
        <f aca="false">IF(Q116&lt;=33,"High Risk",IF(Q116&lt;=66,"Medium Risk","Low Risk"))</f>
        <v>Medium Risk</v>
      </c>
    </row>
    <row r="117" customFormat="false" ht="15" hidden="false" customHeight="true" outlineLevel="0" collapsed="false">
      <c r="A117" s="20" t="n">
        <f aca="false">'Raw Data'!A117</f>
        <v>116</v>
      </c>
      <c r="B117" s="20" t="n">
        <f aca="false">'Raw Data'!B117</f>
        <v>47</v>
      </c>
      <c r="C117" s="20" t="str">
        <f aca="false">'Raw Data'!C117</f>
        <v>male</v>
      </c>
      <c r="D117" s="20" t="n">
        <f aca="false">'Raw Data'!D117</f>
        <v>2</v>
      </c>
      <c r="E117" s="20" t="str">
        <f aca="false">'Raw Data'!E117</f>
        <v>own</v>
      </c>
      <c r="F117" s="20" t="str">
        <f aca="false">'Raw Data'!F117</f>
        <v>none</v>
      </c>
      <c r="G117" s="20" t="str">
        <f aca="false">'Raw Data'!G117</f>
        <v>none</v>
      </c>
      <c r="H117" s="20" t="n">
        <f aca="false">'Raw Data'!H117</f>
        <v>3578</v>
      </c>
      <c r="I117" s="20" t="n">
        <f aca="false">'Raw Data'!I117</f>
        <v>48</v>
      </c>
      <c r="J117" s="20" t="str">
        <f aca="false">'Raw Data'!J117</f>
        <v>radio/TV</v>
      </c>
      <c r="K117" s="21" t="n">
        <f aca="false">H117/I117</f>
        <v>74.5416666666667</v>
      </c>
      <c r="L117" s="21" t="n">
        <f aca="false">100-MIN(K117/Assumptions!$B$14,1)*100</f>
        <v>81.3645833333333</v>
      </c>
      <c r="M117" s="21" t="n">
        <f aca="false">VLOOKUP(F117,Assumptions!$A$19:$B$23,2,0)</f>
        <v>40</v>
      </c>
      <c r="N117" s="21" t="n">
        <f aca="false">VLOOKUP(G117,Assumptions!$A$27:$B$30,2,0)</f>
        <v>50</v>
      </c>
      <c r="O117" s="21" t="n">
        <f aca="false">VLOOKUP(D117,Assumptions!$A$34:$B$37,2,0)</f>
        <v>66</v>
      </c>
      <c r="P117" s="21" t="n">
        <f aca="false">VLOOKUP(E117,Assumptions!$A$41:$B$43,2,0)</f>
        <v>100</v>
      </c>
      <c r="Q117" s="22" t="n">
        <f aca="false">L117*Assumptions!$B$7+M117*Assumptions!$B$8+N117*Assumptions!$B$9+O117*Assumptions!$B$10+P117*Assumptions!$B$11</f>
        <v>64.309375</v>
      </c>
      <c r="R117" s="11" t="str">
        <f aca="false">IF(Q117&lt;=33,"High Risk",IF(Q117&lt;=66,"Medium Risk","Low Risk"))</f>
        <v>Medium Risk</v>
      </c>
    </row>
    <row r="118" customFormat="false" ht="15" hidden="false" customHeight="true" outlineLevel="0" collapsed="false">
      <c r="A118" s="20" t="n">
        <f aca="false">'Raw Data'!A118</f>
        <v>117</v>
      </c>
      <c r="B118" s="20" t="n">
        <f aca="false">'Raw Data'!B118</f>
        <v>30</v>
      </c>
      <c r="C118" s="20" t="str">
        <f aca="false">'Raw Data'!C118</f>
        <v>female</v>
      </c>
      <c r="D118" s="20" t="n">
        <f aca="false">'Raw Data'!D118</f>
        <v>3</v>
      </c>
      <c r="E118" s="20" t="str">
        <f aca="false">'Raw Data'!E118</f>
        <v>own</v>
      </c>
      <c r="F118" s="20" t="str">
        <f aca="false">'Raw Data'!F118</f>
        <v>none</v>
      </c>
      <c r="G118" s="20" t="str">
        <f aca="false">'Raw Data'!G118</f>
        <v>little</v>
      </c>
      <c r="H118" s="20" t="n">
        <f aca="false">'Raw Data'!H118</f>
        <v>7174</v>
      </c>
      <c r="I118" s="20" t="n">
        <f aca="false">'Raw Data'!I118</f>
        <v>42</v>
      </c>
      <c r="J118" s="20" t="str">
        <f aca="false">'Raw Data'!J118</f>
        <v>radio/TV</v>
      </c>
      <c r="K118" s="21" t="n">
        <f aca="false">H118/I118</f>
        <v>170.809523809524</v>
      </c>
      <c r="L118" s="21" t="n">
        <f aca="false">100-MIN(K118/Assumptions!$B$14,1)*100</f>
        <v>57.2976190476191</v>
      </c>
      <c r="M118" s="21" t="n">
        <f aca="false">VLOOKUP(F118,Assumptions!$A$19:$B$23,2,0)</f>
        <v>40</v>
      </c>
      <c r="N118" s="21" t="n">
        <f aca="false">VLOOKUP(G118,Assumptions!$A$27:$B$30,2,0)</f>
        <v>25</v>
      </c>
      <c r="O118" s="21" t="n">
        <f aca="false">VLOOKUP(D118,Assumptions!$A$34:$B$37,2,0)</f>
        <v>100</v>
      </c>
      <c r="P118" s="21" t="n">
        <f aca="false">VLOOKUP(E118,Assumptions!$A$41:$B$43,2,0)</f>
        <v>100</v>
      </c>
      <c r="Q118" s="22" t="n">
        <f aca="false">L118*Assumptions!$B$7+M118*Assumptions!$B$8+N118*Assumptions!$B$9+O118*Assumptions!$B$10+P118*Assumptions!$B$11</f>
        <v>57.1892857142857</v>
      </c>
      <c r="R118" s="11" t="str">
        <f aca="false">IF(Q118&lt;=33,"High Risk",IF(Q118&lt;=66,"Medium Risk","Low Risk"))</f>
        <v>Medium Risk</v>
      </c>
    </row>
    <row r="119" customFormat="false" ht="15" hidden="false" customHeight="true" outlineLevel="0" collapsed="false">
      <c r="A119" s="20" t="n">
        <f aca="false">'Raw Data'!A119</f>
        <v>118</v>
      </c>
      <c r="B119" s="20" t="n">
        <f aca="false">'Raw Data'!B119</f>
        <v>27</v>
      </c>
      <c r="C119" s="20" t="str">
        <f aca="false">'Raw Data'!C119</f>
        <v>female</v>
      </c>
      <c r="D119" s="20" t="n">
        <f aca="false">'Raw Data'!D119</f>
        <v>2</v>
      </c>
      <c r="E119" s="20" t="str">
        <f aca="false">'Raw Data'!E119</f>
        <v>rent</v>
      </c>
      <c r="F119" s="20" t="str">
        <f aca="false">'Raw Data'!F119</f>
        <v>none</v>
      </c>
      <c r="G119" s="20" t="str">
        <f aca="false">'Raw Data'!G119</f>
        <v>little</v>
      </c>
      <c r="H119" s="20" t="n">
        <f aca="false">'Raw Data'!H119</f>
        <v>2132</v>
      </c>
      <c r="I119" s="20" t="n">
        <f aca="false">'Raw Data'!I119</f>
        <v>10</v>
      </c>
      <c r="J119" s="20" t="str">
        <f aca="false">'Raw Data'!J119</f>
        <v>furniture/equipment</v>
      </c>
      <c r="K119" s="21" t="n">
        <f aca="false">H119/I119</f>
        <v>213.2</v>
      </c>
      <c r="L119" s="21" t="n">
        <f aca="false">100-MIN(K119/Assumptions!$B$14,1)*100</f>
        <v>46.7</v>
      </c>
      <c r="M119" s="21" t="n">
        <f aca="false">VLOOKUP(F119,Assumptions!$A$19:$B$23,2,0)</f>
        <v>40</v>
      </c>
      <c r="N119" s="21" t="n">
        <f aca="false">VLOOKUP(G119,Assumptions!$A$27:$B$30,2,0)</f>
        <v>25</v>
      </c>
      <c r="O119" s="21" t="n">
        <f aca="false">VLOOKUP(D119,Assumptions!$A$34:$B$37,2,0)</f>
        <v>66</v>
      </c>
      <c r="P119" s="21" t="n">
        <f aca="false">VLOOKUP(E119,Assumptions!$A$41:$B$43,2,0)</f>
        <v>30</v>
      </c>
      <c r="Q119" s="22" t="n">
        <f aca="false">L119*Assumptions!$B$7+M119*Assumptions!$B$8+N119*Assumptions!$B$9+O119*Assumptions!$B$10+P119*Assumptions!$B$11</f>
        <v>41.91</v>
      </c>
      <c r="R119" s="11" t="str">
        <f aca="false">IF(Q119&lt;=33,"High Risk",IF(Q119&lt;=66,"Medium Risk","Low Risk"))</f>
        <v>Medium Risk</v>
      </c>
    </row>
    <row r="120" customFormat="false" ht="15" hidden="false" customHeight="true" outlineLevel="0" collapsed="false">
      <c r="A120" s="20" t="n">
        <f aca="false">'Raw Data'!A120</f>
        <v>119</v>
      </c>
      <c r="B120" s="20" t="n">
        <f aca="false">'Raw Data'!B120</f>
        <v>23</v>
      </c>
      <c r="C120" s="20" t="str">
        <f aca="false">'Raw Data'!C120</f>
        <v>female</v>
      </c>
      <c r="D120" s="20" t="n">
        <f aca="false">'Raw Data'!D120</f>
        <v>2</v>
      </c>
      <c r="E120" s="20" t="str">
        <f aca="false">'Raw Data'!E120</f>
        <v>own</v>
      </c>
      <c r="F120" s="20" t="str">
        <f aca="false">'Raw Data'!F120</f>
        <v>quite rich</v>
      </c>
      <c r="G120" s="20" t="str">
        <f aca="false">'Raw Data'!G120</f>
        <v>little</v>
      </c>
      <c r="H120" s="20" t="n">
        <f aca="false">'Raw Data'!H120</f>
        <v>4281</v>
      </c>
      <c r="I120" s="20" t="n">
        <f aca="false">'Raw Data'!I120</f>
        <v>33</v>
      </c>
      <c r="J120" s="20" t="str">
        <f aca="false">'Raw Data'!J120</f>
        <v>furniture/equipment</v>
      </c>
      <c r="K120" s="21" t="n">
        <f aca="false">H120/I120</f>
        <v>129.727272727273</v>
      </c>
      <c r="L120" s="21" t="n">
        <f aca="false">100-MIN(K120/Assumptions!$B$14,1)*100</f>
        <v>67.5681818181818</v>
      </c>
      <c r="M120" s="21" t="n">
        <f aca="false">VLOOKUP(F120,Assumptions!$A$19:$B$23,2,0)</f>
        <v>75</v>
      </c>
      <c r="N120" s="21" t="n">
        <f aca="false">VLOOKUP(G120,Assumptions!$A$27:$B$30,2,0)</f>
        <v>25</v>
      </c>
      <c r="O120" s="21" t="n">
        <f aca="false">VLOOKUP(D120,Assumptions!$A$34:$B$37,2,0)</f>
        <v>66</v>
      </c>
      <c r="P120" s="21" t="n">
        <f aca="false">VLOOKUP(E120,Assumptions!$A$41:$B$43,2,0)</f>
        <v>100</v>
      </c>
      <c r="Q120" s="22" t="n">
        <f aca="false">L120*Assumptions!$B$7+M120*Assumptions!$B$8+N120*Assumptions!$B$9+O120*Assumptions!$B$10+P120*Assumptions!$B$11</f>
        <v>63.9204545454545</v>
      </c>
      <c r="R120" s="11" t="str">
        <f aca="false">IF(Q120&lt;=33,"High Risk",IF(Q120&lt;=66,"Medium Risk","Low Risk"))</f>
        <v>Medium Risk</v>
      </c>
    </row>
    <row r="121" customFormat="false" ht="15" hidden="false" customHeight="true" outlineLevel="0" collapsed="false">
      <c r="A121" s="20" t="n">
        <f aca="false">'Raw Data'!A121</f>
        <v>120</v>
      </c>
      <c r="B121" s="20" t="n">
        <f aca="false">'Raw Data'!B121</f>
        <v>36</v>
      </c>
      <c r="C121" s="20" t="str">
        <f aca="false">'Raw Data'!C121</f>
        <v>male</v>
      </c>
      <c r="D121" s="20" t="n">
        <f aca="false">'Raw Data'!D121</f>
        <v>3</v>
      </c>
      <c r="E121" s="20" t="str">
        <f aca="false">'Raw Data'!E121</f>
        <v>own</v>
      </c>
      <c r="F121" s="20" t="str">
        <f aca="false">'Raw Data'!F121</f>
        <v>quite rich</v>
      </c>
      <c r="G121" s="20" t="str">
        <f aca="false">'Raw Data'!G121</f>
        <v>moderate</v>
      </c>
      <c r="H121" s="20" t="n">
        <f aca="false">'Raw Data'!H121</f>
        <v>2366</v>
      </c>
      <c r="I121" s="20" t="n">
        <f aca="false">'Raw Data'!I121</f>
        <v>12</v>
      </c>
      <c r="J121" s="20" t="str">
        <f aca="false">'Raw Data'!J121</f>
        <v>car</v>
      </c>
      <c r="K121" s="21" t="n">
        <f aca="false">H121/I121</f>
        <v>197.166666666667</v>
      </c>
      <c r="L121" s="21" t="n">
        <f aca="false">100-MIN(K121/Assumptions!$B$14,1)*100</f>
        <v>50.7083333333333</v>
      </c>
      <c r="M121" s="21" t="n">
        <f aca="false">VLOOKUP(F121,Assumptions!$A$19:$B$23,2,0)</f>
        <v>75</v>
      </c>
      <c r="N121" s="21" t="n">
        <f aca="false">VLOOKUP(G121,Assumptions!$A$27:$B$30,2,0)</f>
        <v>60</v>
      </c>
      <c r="O121" s="21" t="n">
        <f aca="false">VLOOKUP(D121,Assumptions!$A$34:$B$37,2,0)</f>
        <v>100</v>
      </c>
      <c r="P121" s="21" t="n">
        <f aca="false">VLOOKUP(E121,Assumptions!$A$41:$B$43,2,0)</f>
        <v>100</v>
      </c>
      <c r="Q121" s="22" t="n">
        <f aca="false">L121*Assumptions!$B$7+M121*Assumptions!$B$8+N121*Assumptions!$B$9+O121*Assumptions!$B$10+P121*Assumptions!$B$11</f>
        <v>70.9625</v>
      </c>
      <c r="R121" s="11" t="str">
        <f aca="false">IF(Q121&lt;=33,"High Risk",IF(Q121&lt;=66,"Medium Risk","Low Risk"))</f>
        <v>Low Risk</v>
      </c>
    </row>
    <row r="122" customFormat="false" ht="15" hidden="false" customHeight="true" outlineLevel="0" collapsed="false">
      <c r="A122" s="20" t="n">
        <f aca="false">'Raw Data'!A122</f>
        <v>121</v>
      </c>
      <c r="B122" s="20" t="n">
        <f aca="false">'Raw Data'!B122</f>
        <v>25</v>
      </c>
      <c r="C122" s="20" t="str">
        <f aca="false">'Raw Data'!C122</f>
        <v>female</v>
      </c>
      <c r="D122" s="20" t="n">
        <f aca="false">'Raw Data'!D122</f>
        <v>2</v>
      </c>
      <c r="E122" s="20" t="str">
        <f aca="false">'Raw Data'!E122</f>
        <v>own</v>
      </c>
      <c r="F122" s="20" t="str">
        <f aca="false">'Raw Data'!F122</f>
        <v>little</v>
      </c>
      <c r="G122" s="20" t="str">
        <f aca="false">'Raw Data'!G122</f>
        <v>little</v>
      </c>
      <c r="H122" s="20" t="n">
        <f aca="false">'Raw Data'!H122</f>
        <v>1835</v>
      </c>
      <c r="I122" s="20" t="n">
        <f aca="false">'Raw Data'!I122</f>
        <v>21</v>
      </c>
      <c r="J122" s="20" t="str">
        <f aca="false">'Raw Data'!J122</f>
        <v>radio/TV</v>
      </c>
      <c r="K122" s="21" t="n">
        <f aca="false">H122/I122</f>
        <v>87.3809523809524</v>
      </c>
      <c r="L122" s="21" t="n">
        <f aca="false">100-MIN(K122/Assumptions!$B$14,1)*100</f>
        <v>78.1547619047619</v>
      </c>
      <c r="M122" s="21" t="n">
        <f aca="false">VLOOKUP(F122,Assumptions!$A$19:$B$23,2,0)</f>
        <v>25</v>
      </c>
      <c r="N122" s="21" t="n">
        <f aca="false">VLOOKUP(G122,Assumptions!$A$27:$B$30,2,0)</f>
        <v>25</v>
      </c>
      <c r="O122" s="21" t="n">
        <f aca="false">VLOOKUP(D122,Assumptions!$A$34:$B$37,2,0)</f>
        <v>66</v>
      </c>
      <c r="P122" s="21" t="n">
        <f aca="false">VLOOKUP(E122,Assumptions!$A$41:$B$43,2,0)</f>
        <v>100</v>
      </c>
      <c r="Q122" s="22" t="n">
        <f aca="false">L122*Assumptions!$B$7+M122*Assumptions!$B$8+N122*Assumptions!$B$9+O122*Assumptions!$B$10+P122*Assumptions!$B$11</f>
        <v>54.5964285714286</v>
      </c>
      <c r="R122" s="11" t="str">
        <f aca="false">IF(Q122&lt;=33,"High Risk",IF(Q122&lt;=66,"Medium Risk","Low Risk"))</f>
        <v>Medium Risk</v>
      </c>
    </row>
    <row r="123" customFormat="false" ht="15" hidden="false" customHeight="true" outlineLevel="0" collapsed="false">
      <c r="A123" s="20" t="n">
        <f aca="false">'Raw Data'!A123</f>
        <v>122</v>
      </c>
      <c r="B123" s="20" t="n">
        <f aca="false">'Raw Data'!B123</f>
        <v>41</v>
      </c>
      <c r="C123" s="20" t="str">
        <f aca="false">'Raw Data'!C123</f>
        <v>female</v>
      </c>
      <c r="D123" s="20" t="n">
        <f aca="false">'Raw Data'!D123</f>
        <v>3</v>
      </c>
      <c r="E123" s="20" t="str">
        <f aca="false">'Raw Data'!E123</f>
        <v>rent</v>
      </c>
      <c r="F123" s="20" t="str">
        <f aca="false">'Raw Data'!F123</f>
        <v>little</v>
      </c>
      <c r="G123" s="20" t="str">
        <f aca="false">'Raw Data'!G123</f>
        <v>none</v>
      </c>
      <c r="H123" s="20" t="n">
        <f aca="false">'Raw Data'!H123</f>
        <v>3868</v>
      </c>
      <c r="I123" s="20" t="n">
        <f aca="false">'Raw Data'!I123</f>
        <v>24</v>
      </c>
      <c r="J123" s="20" t="str">
        <f aca="false">'Raw Data'!J123</f>
        <v>car</v>
      </c>
      <c r="K123" s="21" t="n">
        <f aca="false">H123/I123</f>
        <v>161.166666666667</v>
      </c>
      <c r="L123" s="21" t="n">
        <f aca="false">100-MIN(K123/Assumptions!$B$14,1)*100</f>
        <v>59.7083333333333</v>
      </c>
      <c r="M123" s="21" t="n">
        <f aca="false">VLOOKUP(F123,Assumptions!$A$19:$B$23,2,0)</f>
        <v>25</v>
      </c>
      <c r="N123" s="21" t="n">
        <f aca="false">VLOOKUP(G123,Assumptions!$A$27:$B$30,2,0)</f>
        <v>50</v>
      </c>
      <c r="O123" s="21" t="n">
        <f aca="false">VLOOKUP(D123,Assumptions!$A$34:$B$37,2,0)</f>
        <v>100</v>
      </c>
      <c r="P123" s="21" t="n">
        <f aca="false">VLOOKUP(E123,Assumptions!$A$41:$B$43,2,0)</f>
        <v>30</v>
      </c>
      <c r="Q123" s="22" t="n">
        <f aca="false">L123*Assumptions!$B$7+M123*Assumptions!$B$8+N123*Assumptions!$B$9+O123*Assumptions!$B$10+P123*Assumptions!$B$11</f>
        <v>52.1625</v>
      </c>
      <c r="R123" s="11" t="str">
        <f aca="false">IF(Q123&lt;=33,"High Risk",IF(Q123&lt;=66,"Medium Risk","Low Risk"))</f>
        <v>Medium Risk</v>
      </c>
    </row>
    <row r="124" customFormat="false" ht="15" hidden="false" customHeight="true" outlineLevel="0" collapsed="false">
      <c r="A124" s="20" t="n">
        <f aca="false">'Raw Data'!A124</f>
        <v>123</v>
      </c>
      <c r="B124" s="20" t="n">
        <f aca="false">'Raw Data'!B124</f>
        <v>24</v>
      </c>
      <c r="C124" s="20" t="str">
        <f aca="false">'Raw Data'!C124</f>
        <v>male</v>
      </c>
      <c r="D124" s="20" t="n">
        <f aca="false">'Raw Data'!D124</f>
        <v>1</v>
      </c>
      <c r="E124" s="20" t="str">
        <f aca="false">'Raw Data'!E124</f>
        <v>rent</v>
      </c>
      <c r="F124" s="20" t="str">
        <f aca="false">'Raw Data'!F124</f>
        <v>little</v>
      </c>
      <c r="G124" s="20" t="str">
        <f aca="false">'Raw Data'!G124</f>
        <v>none</v>
      </c>
      <c r="H124" s="20" t="n">
        <f aca="false">'Raw Data'!H124</f>
        <v>1768</v>
      </c>
      <c r="I124" s="20" t="n">
        <f aca="false">'Raw Data'!I124</f>
        <v>12</v>
      </c>
      <c r="J124" s="20" t="str">
        <f aca="false">'Raw Data'!J124</f>
        <v>furniture/equipment</v>
      </c>
      <c r="K124" s="21" t="n">
        <f aca="false">H124/I124</f>
        <v>147.333333333333</v>
      </c>
      <c r="L124" s="21" t="n">
        <f aca="false">100-MIN(K124/Assumptions!$B$14,1)*100</f>
        <v>63.1666666666667</v>
      </c>
      <c r="M124" s="21" t="n">
        <f aca="false">VLOOKUP(F124,Assumptions!$A$19:$B$23,2,0)</f>
        <v>25</v>
      </c>
      <c r="N124" s="21" t="n">
        <f aca="false">VLOOKUP(G124,Assumptions!$A$27:$B$30,2,0)</f>
        <v>50</v>
      </c>
      <c r="O124" s="21" t="n">
        <f aca="false">VLOOKUP(D124,Assumptions!$A$34:$B$37,2,0)</f>
        <v>33</v>
      </c>
      <c r="P124" s="21" t="n">
        <f aca="false">VLOOKUP(E124,Assumptions!$A$41:$B$43,2,0)</f>
        <v>30</v>
      </c>
      <c r="Q124" s="22" t="n">
        <f aca="false">L124*Assumptions!$B$7+M124*Assumptions!$B$8+N124*Assumptions!$B$9+O124*Assumptions!$B$10+P124*Assumptions!$B$11</f>
        <v>43.15</v>
      </c>
      <c r="R124" s="11" t="str">
        <f aca="false">IF(Q124&lt;=33,"High Risk",IF(Q124&lt;=66,"Medium Risk","Low Risk"))</f>
        <v>Medium Risk</v>
      </c>
    </row>
    <row r="125" customFormat="false" ht="15" hidden="false" customHeight="true" outlineLevel="0" collapsed="false">
      <c r="A125" s="20" t="n">
        <f aca="false">'Raw Data'!A125</f>
        <v>124</v>
      </c>
      <c r="B125" s="20" t="n">
        <f aca="false">'Raw Data'!B125</f>
        <v>63</v>
      </c>
      <c r="C125" s="20" t="str">
        <f aca="false">'Raw Data'!C125</f>
        <v>male</v>
      </c>
      <c r="D125" s="20" t="n">
        <f aca="false">'Raw Data'!D125</f>
        <v>2</v>
      </c>
      <c r="E125" s="20" t="str">
        <f aca="false">'Raw Data'!E125</f>
        <v>free</v>
      </c>
      <c r="F125" s="20" t="str">
        <f aca="false">'Raw Data'!F125</f>
        <v>little</v>
      </c>
      <c r="G125" s="20" t="str">
        <f aca="false">'Raw Data'!G125</f>
        <v>rich</v>
      </c>
      <c r="H125" s="20" t="n">
        <f aca="false">'Raw Data'!H125</f>
        <v>781</v>
      </c>
      <c r="I125" s="20" t="n">
        <f aca="false">'Raw Data'!I125</f>
        <v>10</v>
      </c>
      <c r="J125" s="20" t="str">
        <f aca="false">'Raw Data'!J125</f>
        <v>car</v>
      </c>
      <c r="K125" s="21" t="n">
        <f aca="false">H125/I125</f>
        <v>78.1</v>
      </c>
      <c r="L125" s="21" t="n">
        <f aca="false">100-MIN(K125/Assumptions!$B$14,1)*100</f>
        <v>80.475</v>
      </c>
      <c r="M125" s="21" t="n">
        <f aca="false">VLOOKUP(F125,Assumptions!$A$19:$B$23,2,0)</f>
        <v>25</v>
      </c>
      <c r="N125" s="21" t="n">
        <f aca="false">VLOOKUP(G125,Assumptions!$A$27:$B$30,2,0)</f>
        <v>100</v>
      </c>
      <c r="O125" s="21" t="n">
        <f aca="false">VLOOKUP(D125,Assumptions!$A$34:$B$37,2,0)</f>
        <v>66</v>
      </c>
      <c r="P125" s="21" t="n">
        <f aca="false">VLOOKUP(E125,Assumptions!$A$41:$B$43,2,0)</f>
        <v>60</v>
      </c>
      <c r="Q125" s="22" t="n">
        <f aca="false">L125*Assumptions!$B$7+M125*Assumptions!$B$8+N125*Assumptions!$B$9+O125*Assumptions!$B$10+P125*Assumptions!$B$11</f>
        <v>66.2925</v>
      </c>
      <c r="R125" s="11" t="str">
        <f aca="false">IF(Q125&lt;=33,"High Risk",IF(Q125&lt;=66,"Medium Risk","Low Risk"))</f>
        <v>Low Risk</v>
      </c>
    </row>
    <row r="126" customFormat="false" ht="15" hidden="false" customHeight="true" outlineLevel="0" collapsed="false">
      <c r="A126" s="20" t="n">
        <f aca="false">'Raw Data'!A126</f>
        <v>125</v>
      </c>
      <c r="B126" s="20" t="n">
        <f aca="false">'Raw Data'!B126</f>
        <v>27</v>
      </c>
      <c r="C126" s="20" t="str">
        <f aca="false">'Raw Data'!C126</f>
        <v>female</v>
      </c>
      <c r="D126" s="20" t="n">
        <f aca="false">'Raw Data'!D126</f>
        <v>2</v>
      </c>
      <c r="E126" s="20" t="str">
        <f aca="false">'Raw Data'!E126</f>
        <v>rent</v>
      </c>
      <c r="F126" s="20" t="str">
        <f aca="false">'Raw Data'!F126</f>
        <v>none</v>
      </c>
      <c r="G126" s="20" t="str">
        <f aca="false">'Raw Data'!G126</f>
        <v>moderate</v>
      </c>
      <c r="H126" s="20" t="n">
        <f aca="false">'Raw Data'!H126</f>
        <v>1924</v>
      </c>
      <c r="I126" s="20" t="n">
        <f aca="false">'Raw Data'!I126</f>
        <v>18</v>
      </c>
      <c r="J126" s="20" t="str">
        <f aca="false">'Raw Data'!J126</f>
        <v>furniture/equipment</v>
      </c>
      <c r="K126" s="21" t="n">
        <f aca="false">H126/I126</f>
        <v>106.888888888889</v>
      </c>
      <c r="L126" s="21" t="n">
        <f aca="false">100-MIN(K126/Assumptions!$B$14,1)*100</f>
        <v>73.2777777777778</v>
      </c>
      <c r="M126" s="21" t="n">
        <f aca="false">VLOOKUP(F126,Assumptions!$A$19:$B$23,2,0)</f>
        <v>40</v>
      </c>
      <c r="N126" s="21" t="n">
        <f aca="false">VLOOKUP(G126,Assumptions!$A$27:$B$30,2,0)</f>
        <v>60</v>
      </c>
      <c r="O126" s="21" t="n">
        <f aca="false">VLOOKUP(D126,Assumptions!$A$34:$B$37,2,0)</f>
        <v>66</v>
      </c>
      <c r="P126" s="21" t="n">
        <f aca="false">VLOOKUP(E126,Assumptions!$A$41:$B$43,2,0)</f>
        <v>30</v>
      </c>
      <c r="Q126" s="22" t="n">
        <f aca="false">L126*Assumptions!$B$7+M126*Assumptions!$B$8+N126*Assumptions!$B$9+O126*Assumptions!$B$10+P126*Assumptions!$B$11</f>
        <v>56.8833333333333</v>
      </c>
      <c r="R126" s="11" t="str">
        <f aca="false">IF(Q126&lt;=33,"High Risk",IF(Q126&lt;=66,"Medium Risk","Low Risk"))</f>
        <v>Medium Risk</v>
      </c>
    </row>
    <row r="127" customFormat="false" ht="15" hidden="false" customHeight="true" outlineLevel="0" collapsed="false">
      <c r="A127" s="20" t="n">
        <f aca="false">'Raw Data'!A127</f>
        <v>126</v>
      </c>
      <c r="B127" s="20" t="n">
        <f aca="false">'Raw Data'!B127</f>
        <v>30</v>
      </c>
      <c r="C127" s="20" t="str">
        <f aca="false">'Raw Data'!C127</f>
        <v>male</v>
      </c>
      <c r="D127" s="20" t="n">
        <f aca="false">'Raw Data'!D127</f>
        <v>2</v>
      </c>
      <c r="E127" s="20" t="str">
        <f aca="false">'Raw Data'!E127</f>
        <v>own</v>
      </c>
      <c r="F127" s="20" t="str">
        <f aca="false">'Raw Data'!F127</f>
        <v>little</v>
      </c>
      <c r="G127" s="20" t="str">
        <f aca="false">'Raw Data'!G127</f>
        <v>little</v>
      </c>
      <c r="H127" s="20" t="n">
        <f aca="false">'Raw Data'!H127</f>
        <v>2121</v>
      </c>
      <c r="I127" s="20" t="n">
        <f aca="false">'Raw Data'!I127</f>
        <v>12</v>
      </c>
      <c r="J127" s="20" t="str">
        <f aca="false">'Raw Data'!J127</f>
        <v>car</v>
      </c>
      <c r="K127" s="21" t="n">
        <f aca="false">H127/I127</f>
        <v>176.75</v>
      </c>
      <c r="L127" s="21" t="n">
        <f aca="false">100-MIN(K127/Assumptions!$B$14,1)*100</f>
        <v>55.8125</v>
      </c>
      <c r="M127" s="21" t="n">
        <f aca="false">VLOOKUP(F127,Assumptions!$A$19:$B$23,2,0)</f>
        <v>25</v>
      </c>
      <c r="N127" s="21" t="n">
        <f aca="false">VLOOKUP(G127,Assumptions!$A$27:$B$30,2,0)</f>
        <v>25</v>
      </c>
      <c r="O127" s="21" t="n">
        <f aca="false">VLOOKUP(D127,Assumptions!$A$34:$B$37,2,0)</f>
        <v>66</v>
      </c>
      <c r="P127" s="21" t="n">
        <f aca="false">VLOOKUP(E127,Assumptions!$A$41:$B$43,2,0)</f>
        <v>100</v>
      </c>
      <c r="Q127" s="22" t="n">
        <f aca="false">L127*Assumptions!$B$7+M127*Assumptions!$B$8+N127*Assumptions!$B$9+O127*Assumptions!$B$10+P127*Assumptions!$B$11</f>
        <v>47.89375</v>
      </c>
      <c r="R127" s="11" t="str">
        <f aca="false">IF(Q127&lt;=33,"High Risk",IF(Q127&lt;=66,"Medium Risk","Low Risk"))</f>
        <v>Medium Risk</v>
      </c>
    </row>
    <row r="128" customFormat="false" ht="15" hidden="false" customHeight="true" outlineLevel="0" collapsed="false">
      <c r="A128" s="20" t="n">
        <f aca="false">'Raw Data'!A128</f>
        <v>127</v>
      </c>
      <c r="B128" s="20" t="n">
        <f aca="false">'Raw Data'!B128</f>
        <v>40</v>
      </c>
      <c r="C128" s="20" t="str">
        <f aca="false">'Raw Data'!C128</f>
        <v>male</v>
      </c>
      <c r="D128" s="20" t="n">
        <f aca="false">'Raw Data'!D128</f>
        <v>1</v>
      </c>
      <c r="E128" s="20" t="str">
        <f aca="false">'Raw Data'!E128</f>
        <v>own</v>
      </c>
      <c r="F128" s="20" t="str">
        <f aca="false">'Raw Data'!F128</f>
        <v>little</v>
      </c>
      <c r="G128" s="20" t="str">
        <f aca="false">'Raw Data'!G128</f>
        <v>little</v>
      </c>
      <c r="H128" s="20" t="n">
        <f aca="false">'Raw Data'!H128</f>
        <v>701</v>
      </c>
      <c r="I128" s="20" t="n">
        <f aca="false">'Raw Data'!I128</f>
        <v>12</v>
      </c>
      <c r="J128" s="20" t="str">
        <f aca="false">'Raw Data'!J128</f>
        <v>radio/TV</v>
      </c>
      <c r="K128" s="21" t="n">
        <f aca="false">H128/I128</f>
        <v>58.4166666666667</v>
      </c>
      <c r="L128" s="21" t="n">
        <f aca="false">100-MIN(K128/Assumptions!$B$14,1)*100</f>
        <v>85.3958333333333</v>
      </c>
      <c r="M128" s="21" t="n">
        <f aca="false">VLOOKUP(F128,Assumptions!$A$19:$B$23,2,0)</f>
        <v>25</v>
      </c>
      <c r="N128" s="21" t="n">
        <f aca="false">VLOOKUP(G128,Assumptions!$A$27:$B$30,2,0)</f>
        <v>25</v>
      </c>
      <c r="O128" s="21" t="n">
        <f aca="false">VLOOKUP(D128,Assumptions!$A$34:$B$37,2,0)</f>
        <v>33</v>
      </c>
      <c r="P128" s="21" t="n">
        <f aca="false">VLOOKUP(E128,Assumptions!$A$41:$B$43,2,0)</f>
        <v>100</v>
      </c>
      <c r="Q128" s="22" t="n">
        <f aca="false">L128*Assumptions!$B$7+M128*Assumptions!$B$8+N128*Assumptions!$B$9+O128*Assumptions!$B$10+P128*Assumptions!$B$11</f>
        <v>51.81875</v>
      </c>
      <c r="R128" s="11" t="str">
        <f aca="false">IF(Q128&lt;=33,"High Risk",IF(Q128&lt;=66,"Medium Risk","Low Risk"))</f>
        <v>Medium Risk</v>
      </c>
    </row>
    <row r="129" customFormat="false" ht="15" hidden="false" customHeight="true" outlineLevel="0" collapsed="false">
      <c r="A129" s="20" t="n">
        <f aca="false">'Raw Data'!A129</f>
        <v>128</v>
      </c>
      <c r="B129" s="20" t="n">
        <f aca="false">'Raw Data'!B129</f>
        <v>30</v>
      </c>
      <c r="C129" s="20" t="str">
        <f aca="false">'Raw Data'!C129</f>
        <v>male</v>
      </c>
      <c r="D129" s="20" t="n">
        <f aca="false">'Raw Data'!D129</f>
        <v>2</v>
      </c>
      <c r="E129" s="20" t="str">
        <f aca="false">'Raw Data'!E129</f>
        <v>own</v>
      </c>
      <c r="F129" s="20" t="str">
        <f aca="false">'Raw Data'!F129</f>
        <v>little</v>
      </c>
      <c r="G129" s="20" t="str">
        <f aca="false">'Raw Data'!G129</f>
        <v>moderate</v>
      </c>
      <c r="H129" s="20" t="n">
        <f aca="false">'Raw Data'!H129</f>
        <v>639</v>
      </c>
      <c r="I129" s="20" t="n">
        <f aca="false">'Raw Data'!I129</f>
        <v>12</v>
      </c>
      <c r="J129" s="20" t="str">
        <f aca="false">'Raw Data'!J129</f>
        <v>repairs</v>
      </c>
      <c r="K129" s="21" t="n">
        <f aca="false">H129/I129</f>
        <v>53.25</v>
      </c>
      <c r="L129" s="21" t="n">
        <f aca="false">100-MIN(K129/Assumptions!$B$14,1)*100</f>
        <v>86.6875</v>
      </c>
      <c r="M129" s="21" t="n">
        <f aca="false">VLOOKUP(F129,Assumptions!$A$19:$B$23,2,0)</f>
        <v>25</v>
      </c>
      <c r="N129" s="21" t="n">
        <f aca="false">VLOOKUP(G129,Assumptions!$A$27:$B$30,2,0)</f>
        <v>60</v>
      </c>
      <c r="O129" s="21" t="n">
        <f aca="false">VLOOKUP(D129,Assumptions!$A$34:$B$37,2,0)</f>
        <v>66</v>
      </c>
      <c r="P129" s="21" t="n">
        <f aca="false">VLOOKUP(E129,Assumptions!$A$41:$B$43,2,0)</f>
        <v>100</v>
      </c>
      <c r="Q129" s="22" t="n">
        <f aca="false">L129*Assumptions!$B$7+M129*Assumptions!$B$8+N129*Assumptions!$B$9+O129*Assumptions!$B$10+P129*Assumptions!$B$11</f>
        <v>64.15625</v>
      </c>
      <c r="R129" s="11" t="str">
        <f aca="false">IF(Q129&lt;=33,"High Risk",IF(Q129&lt;=66,"Medium Risk","Low Risk"))</f>
        <v>Medium Risk</v>
      </c>
    </row>
    <row r="130" customFormat="false" ht="15" hidden="false" customHeight="true" outlineLevel="0" collapsed="false">
      <c r="A130" s="20" t="n">
        <f aca="false">'Raw Data'!A130</f>
        <v>129</v>
      </c>
      <c r="B130" s="20" t="n">
        <f aca="false">'Raw Data'!B130</f>
        <v>34</v>
      </c>
      <c r="C130" s="20" t="str">
        <f aca="false">'Raw Data'!C130</f>
        <v>male</v>
      </c>
      <c r="D130" s="20" t="n">
        <f aca="false">'Raw Data'!D130</f>
        <v>3</v>
      </c>
      <c r="E130" s="20" t="str">
        <f aca="false">'Raw Data'!E130</f>
        <v>own</v>
      </c>
      <c r="F130" s="20" t="str">
        <f aca="false">'Raw Data'!F130</f>
        <v>little</v>
      </c>
      <c r="G130" s="20" t="str">
        <f aca="false">'Raw Data'!G130</f>
        <v>moderate</v>
      </c>
      <c r="H130" s="20" t="n">
        <f aca="false">'Raw Data'!H130</f>
        <v>1860</v>
      </c>
      <c r="I130" s="20" t="n">
        <f aca="false">'Raw Data'!I130</f>
        <v>12</v>
      </c>
      <c r="J130" s="20" t="str">
        <f aca="false">'Raw Data'!J130</f>
        <v>car</v>
      </c>
      <c r="K130" s="21" t="n">
        <f aca="false">H130/I130</f>
        <v>155</v>
      </c>
      <c r="L130" s="21" t="n">
        <f aca="false">100-MIN(K130/Assumptions!$B$14,1)*100</f>
        <v>61.25</v>
      </c>
      <c r="M130" s="21" t="n">
        <f aca="false">VLOOKUP(F130,Assumptions!$A$19:$B$23,2,0)</f>
        <v>25</v>
      </c>
      <c r="N130" s="21" t="n">
        <f aca="false">VLOOKUP(G130,Assumptions!$A$27:$B$30,2,0)</f>
        <v>60</v>
      </c>
      <c r="O130" s="21" t="n">
        <f aca="false">VLOOKUP(D130,Assumptions!$A$34:$B$37,2,0)</f>
        <v>100</v>
      </c>
      <c r="P130" s="21" t="n">
        <f aca="false">VLOOKUP(E130,Assumptions!$A$41:$B$43,2,0)</f>
        <v>100</v>
      </c>
      <c r="Q130" s="22" t="n">
        <f aca="false">L130*Assumptions!$B$7+M130*Assumptions!$B$8+N130*Assumptions!$B$9+O130*Assumptions!$B$10+P130*Assumptions!$B$11</f>
        <v>61.625</v>
      </c>
      <c r="R130" s="11" t="str">
        <f aca="false">IF(Q130&lt;=33,"High Risk",IF(Q130&lt;=66,"Medium Risk","Low Risk"))</f>
        <v>Medium Risk</v>
      </c>
    </row>
    <row r="131" customFormat="false" ht="15" hidden="false" customHeight="true" outlineLevel="0" collapsed="false">
      <c r="A131" s="20" t="n">
        <f aca="false">'Raw Data'!A131</f>
        <v>130</v>
      </c>
      <c r="B131" s="20" t="n">
        <f aca="false">'Raw Data'!B131</f>
        <v>29</v>
      </c>
      <c r="C131" s="20" t="str">
        <f aca="false">'Raw Data'!C131</f>
        <v>female</v>
      </c>
      <c r="D131" s="20" t="n">
        <f aca="false">'Raw Data'!D131</f>
        <v>2</v>
      </c>
      <c r="E131" s="20" t="str">
        <f aca="false">'Raw Data'!E131</f>
        <v>own</v>
      </c>
      <c r="F131" s="20" t="str">
        <f aca="false">'Raw Data'!F131</f>
        <v>little</v>
      </c>
      <c r="G131" s="20" t="str">
        <f aca="false">'Raw Data'!G131</f>
        <v>little</v>
      </c>
      <c r="H131" s="20" t="n">
        <f aca="false">'Raw Data'!H131</f>
        <v>3499</v>
      </c>
      <c r="I131" s="20" t="n">
        <f aca="false">'Raw Data'!I131</f>
        <v>12</v>
      </c>
      <c r="J131" s="20" t="str">
        <f aca="false">'Raw Data'!J131</f>
        <v>car</v>
      </c>
      <c r="K131" s="21" t="n">
        <f aca="false">H131/I131</f>
        <v>291.583333333333</v>
      </c>
      <c r="L131" s="21" t="n">
        <f aca="false">100-MIN(K131/Assumptions!$B$14,1)*100</f>
        <v>27.1041666666667</v>
      </c>
      <c r="M131" s="21" t="n">
        <f aca="false">VLOOKUP(F131,Assumptions!$A$19:$B$23,2,0)</f>
        <v>25</v>
      </c>
      <c r="N131" s="21" t="n">
        <f aca="false">VLOOKUP(G131,Assumptions!$A$27:$B$30,2,0)</f>
        <v>25</v>
      </c>
      <c r="O131" s="21" t="n">
        <f aca="false">VLOOKUP(D131,Assumptions!$A$34:$B$37,2,0)</f>
        <v>66</v>
      </c>
      <c r="P131" s="21" t="n">
        <f aca="false">VLOOKUP(E131,Assumptions!$A$41:$B$43,2,0)</f>
        <v>100</v>
      </c>
      <c r="Q131" s="22" t="n">
        <f aca="false">L131*Assumptions!$B$7+M131*Assumptions!$B$8+N131*Assumptions!$B$9+O131*Assumptions!$B$10+P131*Assumptions!$B$11</f>
        <v>39.28125</v>
      </c>
      <c r="R131" s="11" t="str">
        <f aca="false">IF(Q131&lt;=33,"High Risk",IF(Q131&lt;=66,"Medium Risk","Low Risk"))</f>
        <v>Medium Risk</v>
      </c>
    </row>
    <row r="132" customFormat="false" ht="15" hidden="false" customHeight="true" outlineLevel="0" collapsed="false">
      <c r="A132" s="20" t="n">
        <f aca="false">'Raw Data'!A132</f>
        <v>131</v>
      </c>
      <c r="B132" s="20" t="n">
        <f aca="false">'Raw Data'!B132</f>
        <v>24</v>
      </c>
      <c r="C132" s="20" t="str">
        <f aca="false">'Raw Data'!C132</f>
        <v>female</v>
      </c>
      <c r="D132" s="20" t="n">
        <f aca="false">'Raw Data'!D132</f>
        <v>2</v>
      </c>
      <c r="E132" s="20" t="str">
        <f aca="false">'Raw Data'!E132</f>
        <v>own</v>
      </c>
      <c r="F132" s="20" t="str">
        <f aca="false">'Raw Data'!F132</f>
        <v>none</v>
      </c>
      <c r="G132" s="20" t="str">
        <f aca="false">'Raw Data'!G132</f>
        <v>moderate</v>
      </c>
      <c r="H132" s="20" t="n">
        <f aca="false">'Raw Data'!H132</f>
        <v>8487</v>
      </c>
      <c r="I132" s="20" t="n">
        <f aca="false">'Raw Data'!I132</f>
        <v>48</v>
      </c>
      <c r="J132" s="20" t="str">
        <f aca="false">'Raw Data'!J132</f>
        <v>car</v>
      </c>
      <c r="K132" s="21" t="n">
        <f aca="false">H132/I132</f>
        <v>176.8125</v>
      </c>
      <c r="L132" s="21" t="n">
        <f aca="false">100-MIN(K132/Assumptions!$B$14,1)*100</f>
        <v>55.796875</v>
      </c>
      <c r="M132" s="21" t="n">
        <f aca="false">VLOOKUP(F132,Assumptions!$A$19:$B$23,2,0)</f>
        <v>40</v>
      </c>
      <c r="N132" s="21" t="n">
        <f aca="false">VLOOKUP(G132,Assumptions!$A$27:$B$30,2,0)</f>
        <v>60</v>
      </c>
      <c r="O132" s="21" t="n">
        <f aca="false">VLOOKUP(D132,Assumptions!$A$34:$B$37,2,0)</f>
        <v>66</v>
      </c>
      <c r="P132" s="21" t="n">
        <f aca="false">VLOOKUP(E132,Assumptions!$A$41:$B$43,2,0)</f>
        <v>100</v>
      </c>
      <c r="Q132" s="22" t="n">
        <f aca="false">L132*Assumptions!$B$7+M132*Assumptions!$B$8+N132*Assumptions!$B$9+O132*Assumptions!$B$10+P132*Assumptions!$B$11</f>
        <v>58.6390625</v>
      </c>
      <c r="R132" s="11" t="str">
        <f aca="false">IF(Q132&lt;=33,"High Risk",IF(Q132&lt;=66,"Medium Risk","Low Risk"))</f>
        <v>Medium Risk</v>
      </c>
    </row>
    <row r="133" customFormat="false" ht="15" hidden="false" customHeight="true" outlineLevel="0" collapsed="false">
      <c r="A133" s="20" t="n">
        <f aca="false">'Raw Data'!A133</f>
        <v>132</v>
      </c>
      <c r="B133" s="20" t="n">
        <f aca="false">'Raw Data'!B133</f>
        <v>29</v>
      </c>
      <c r="C133" s="20" t="str">
        <f aca="false">'Raw Data'!C133</f>
        <v>male</v>
      </c>
      <c r="D133" s="20" t="n">
        <f aca="false">'Raw Data'!D133</f>
        <v>2</v>
      </c>
      <c r="E133" s="20" t="str">
        <f aca="false">'Raw Data'!E133</f>
        <v>own</v>
      </c>
      <c r="F133" s="20" t="str">
        <f aca="false">'Raw Data'!F133</f>
        <v>little</v>
      </c>
      <c r="G133" s="20" t="str">
        <f aca="false">'Raw Data'!G133</f>
        <v>little</v>
      </c>
      <c r="H133" s="20" t="n">
        <f aca="false">'Raw Data'!H133</f>
        <v>6887</v>
      </c>
      <c r="I133" s="20" t="n">
        <f aca="false">'Raw Data'!I133</f>
        <v>36</v>
      </c>
      <c r="J133" s="20" t="str">
        <f aca="false">'Raw Data'!J133</f>
        <v>education</v>
      </c>
      <c r="K133" s="21" t="n">
        <f aca="false">H133/I133</f>
        <v>191.305555555556</v>
      </c>
      <c r="L133" s="21" t="n">
        <f aca="false">100-MIN(K133/Assumptions!$B$14,1)*100</f>
        <v>52.1736111111111</v>
      </c>
      <c r="M133" s="21" t="n">
        <f aca="false">VLOOKUP(F133,Assumptions!$A$19:$B$23,2,0)</f>
        <v>25</v>
      </c>
      <c r="N133" s="21" t="n">
        <f aca="false">VLOOKUP(G133,Assumptions!$A$27:$B$30,2,0)</f>
        <v>25</v>
      </c>
      <c r="O133" s="21" t="n">
        <f aca="false">VLOOKUP(D133,Assumptions!$A$34:$B$37,2,0)</f>
        <v>66</v>
      </c>
      <c r="P133" s="21" t="n">
        <f aca="false">VLOOKUP(E133,Assumptions!$A$41:$B$43,2,0)</f>
        <v>100</v>
      </c>
      <c r="Q133" s="22" t="n">
        <f aca="false">L133*Assumptions!$B$7+M133*Assumptions!$B$8+N133*Assumptions!$B$9+O133*Assumptions!$B$10+P133*Assumptions!$B$11</f>
        <v>46.8020833333333</v>
      </c>
      <c r="R133" s="11" t="str">
        <f aca="false">IF(Q133&lt;=33,"High Risk",IF(Q133&lt;=66,"Medium Risk","Low Risk"))</f>
        <v>Medium Risk</v>
      </c>
    </row>
    <row r="134" customFormat="false" ht="15" hidden="false" customHeight="true" outlineLevel="0" collapsed="false">
      <c r="A134" s="20" t="n">
        <f aca="false">'Raw Data'!A134</f>
        <v>133</v>
      </c>
      <c r="B134" s="20" t="n">
        <f aca="false">'Raw Data'!B134</f>
        <v>27</v>
      </c>
      <c r="C134" s="20" t="str">
        <f aca="false">'Raw Data'!C134</f>
        <v>male</v>
      </c>
      <c r="D134" s="20" t="n">
        <f aca="false">'Raw Data'!D134</f>
        <v>1</v>
      </c>
      <c r="E134" s="20" t="str">
        <f aca="false">'Raw Data'!E134</f>
        <v>own</v>
      </c>
      <c r="F134" s="20" t="str">
        <f aca="false">'Raw Data'!F134</f>
        <v>little</v>
      </c>
      <c r="G134" s="20" t="str">
        <f aca="false">'Raw Data'!G134</f>
        <v>none</v>
      </c>
      <c r="H134" s="20" t="n">
        <f aca="false">'Raw Data'!H134</f>
        <v>2708</v>
      </c>
      <c r="I134" s="20" t="n">
        <f aca="false">'Raw Data'!I134</f>
        <v>15</v>
      </c>
      <c r="J134" s="20" t="str">
        <f aca="false">'Raw Data'!J134</f>
        <v>furniture/equipment</v>
      </c>
      <c r="K134" s="21" t="n">
        <f aca="false">H134/I134</f>
        <v>180.533333333333</v>
      </c>
      <c r="L134" s="21" t="n">
        <f aca="false">100-MIN(K134/Assumptions!$B$14,1)*100</f>
        <v>54.8666666666667</v>
      </c>
      <c r="M134" s="21" t="n">
        <f aca="false">VLOOKUP(F134,Assumptions!$A$19:$B$23,2,0)</f>
        <v>25</v>
      </c>
      <c r="N134" s="21" t="n">
        <f aca="false">VLOOKUP(G134,Assumptions!$A$27:$B$30,2,0)</f>
        <v>50</v>
      </c>
      <c r="O134" s="21" t="n">
        <f aca="false">VLOOKUP(D134,Assumptions!$A$34:$B$37,2,0)</f>
        <v>33</v>
      </c>
      <c r="P134" s="21" t="n">
        <f aca="false">VLOOKUP(E134,Assumptions!$A$41:$B$43,2,0)</f>
        <v>100</v>
      </c>
      <c r="Q134" s="22" t="n">
        <f aca="false">L134*Assumptions!$B$7+M134*Assumptions!$B$8+N134*Assumptions!$B$9+O134*Assumptions!$B$10+P134*Assumptions!$B$11</f>
        <v>47.66</v>
      </c>
      <c r="R134" s="11" t="str">
        <f aca="false">IF(Q134&lt;=33,"High Risk",IF(Q134&lt;=66,"Medium Risk","Low Risk"))</f>
        <v>Medium Risk</v>
      </c>
    </row>
    <row r="135" customFormat="false" ht="15" hidden="false" customHeight="true" outlineLevel="0" collapsed="false">
      <c r="A135" s="20" t="n">
        <f aca="false">'Raw Data'!A135</f>
        <v>134</v>
      </c>
      <c r="B135" s="20" t="n">
        <f aca="false">'Raw Data'!B135</f>
        <v>47</v>
      </c>
      <c r="C135" s="20" t="str">
        <f aca="false">'Raw Data'!C135</f>
        <v>male</v>
      </c>
      <c r="D135" s="20" t="n">
        <f aca="false">'Raw Data'!D135</f>
        <v>2</v>
      </c>
      <c r="E135" s="20" t="str">
        <f aca="false">'Raw Data'!E135</f>
        <v>free</v>
      </c>
      <c r="F135" s="20" t="str">
        <f aca="false">'Raw Data'!F135</f>
        <v>little</v>
      </c>
      <c r="G135" s="20" t="str">
        <f aca="false">'Raw Data'!G135</f>
        <v>none</v>
      </c>
      <c r="H135" s="20" t="n">
        <f aca="false">'Raw Data'!H135</f>
        <v>1984</v>
      </c>
      <c r="I135" s="20" t="n">
        <f aca="false">'Raw Data'!I135</f>
        <v>18</v>
      </c>
      <c r="J135" s="20" t="str">
        <f aca="false">'Raw Data'!J135</f>
        <v>furniture/equipment</v>
      </c>
      <c r="K135" s="21" t="n">
        <f aca="false">H135/I135</f>
        <v>110.222222222222</v>
      </c>
      <c r="L135" s="21" t="n">
        <f aca="false">100-MIN(K135/Assumptions!$B$14,1)*100</f>
        <v>72.4444444444444</v>
      </c>
      <c r="M135" s="21" t="n">
        <f aca="false">VLOOKUP(F135,Assumptions!$A$19:$B$23,2,0)</f>
        <v>25</v>
      </c>
      <c r="N135" s="21" t="n">
        <f aca="false">VLOOKUP(G135,Assumptions!$A$27:$B$30,2,0)</f>
        <v>50</v>
      </c>
      <c r="O135" s="21" t="n">
        <f aca="false">VLOOKUP(D135,Assumptions!$A$34:$B$37,2,0)</f>
        <v>66</v>
      </c>
      <c r="P135" s="21" t="n">
        <f aca="false">VLOOKUP(E135,Assumptions!$A$41:$B$43,2,0)</f>
        <v>60</v>
      </c>
      <c r="Q135" s="22" t="n">
        <f aca="false">L135*Assumptions!$B$7+M135*Assumptions!$B$8+N135*Assumptions!$B$9+O135*Assumptions!$B$10+P135*Assumptions!$B$11</f>
        <v>53.8833333333333</v>
      </c>
      <c r="R135" s="11" t="str">
        <f aca="false">IF(Q135&lt;=33,"High Risk",IF(Q135&lt;=66,"Medium Risk","Low Risk"))</f>
        <v>Medium Risk</v>
      </c>
    </row>
    <row r="136" customFormat="false" ht="15" hidden="false" customHeight="true" outlineLevel="0" collapsed="false">
      <c r="A136" s="20" t="n">
        <f aca="false">'Raw Data'!A136</f>
        <v>135</v>
      </c>
      <c r="B136" s="20" t="n">
        <f aca="false">'Raw Data'!B136</f>
        <v>21</v>
      </c>
      <c r="C136" s="20" t="str">
        <f aca="false">'Raw Data'!C136</f>
        <v>female</v>
      </c>
      <c r="D136" s="20" t="n">
        <f aca="false">'Raw Data'!D136</f>
        <v>2</v>
      </c>
      <c r="E136" s="20" t="str">
        <f aca="false">'Raw Data'!E136</f>
        <v>own</v>
      </c>
      <c r="F136" s="20" t="str">
        <f aca="false">'Raw Data'!F136</f>
        <v>moderate</v>
      </c>
      <c r="G136" s="20" t="str">
        <f aca="false">'Raw Data'!G136</f>
        <v>none</v>
      </c>
      <c r="H136" s="20" t="n">
        <f aca="false">'Raw Data'!H136</f>
        <v>10144</v>
      </c>
      <c r="I136" s="20" t="n">
        <f aca="false">'Raw Data'!I136</f>
        <v>60</v>
      </c>
      <c r="J136" s="20" t="str">
        <f aca="false">'Raw Data'!J136</f>
        <v>radio/TV</v>
      </c>
      <c r="K136" s="21" t="n">
        <f aca="false">H136/I136</f>
        <v>169.066666666667</v>
      </c>
      <c r="L136" s="21" t="n">
        <f aca="false">100-MIN(K136/Assumptions!$B$14,1)*100</f>
        <v>57.7333333333333</v>
      </c>
      <c r="M136" s="21" t="n">
        <f aca="false">VLOOKUP(F136,Assumptions!$A$19:$B$23,2,0)</f>
        <v>50</v>
      </c>
      <c r="N136" s="21" t="n">
        <f aca="false">VLOOKUP(G136,Assumptions!$A$27:$B$30,2,0)</f>
        <v>50</v>
      </c>
      <c r="O136" s="21" t="n">
        <f aca="false">VLOOKUP(D136,Assumptions!$A$34:$B$37,2,0)</f>
        <v>66</v>
      </c>
      <c r="P136" s="21" t="n">
        <f aca="false">VLOOKUP(E136,Assumptions!$A$41:$B$43,2,0)</f>
        <v>100</v>
      </c>
      <c r="Q136" s="22" t="n">
        <f aca="false">L136*Assumptions!$B$7+M136*Assumptions!$B$8+N136*Assumptions!$B$9+O136*Assumptions!$B$10+P136*Assumptions!$B$11</f>
        <v>59.72</v>
      </c>
      <c r="R136" s="11" t="str">
        <f aca="false">IF(Q136&lt;=33,"High Risk",IF(Q136&lt;=66,"Medium Risk","Low Risk"))</f>
        <v>Medium Risk</v>
      </c>
    </row>
    <row r="137" customFormat="false" ht="15" hidden="false" customHeight="true" outlineLevel="0" collapsed="false">
      <c r="A137" s="20" t="n">
        <f aca="false">'Raw Data'!A137</f>
        <v>136</v>
      </c>
      <c r="B137" s="20" t="n">
        <f aca="false">'Raw Data'!B137</f>
        <v>38</v>
      </c>
      <c r="C137" s="20" t="str">
        <f aca="false">'Raw Data'!C137</f>
        <v>female</v>
      </c>
      <c r="D137" s="20" t="n">
        <f aca="false">'Raw Data'!D137</f>
        <v>2</v>
      </c>
      <c r="E137" s="20" t="str">
        <f aca="false">'Raw Data'!E137</f>
        <v>own</v>
      </c>
      <c r="F137" s="20" t="str">
        <f aca="false">'Raw Data'!F137</f>
        <v>none</v>
      </c>
      <c r="G137" s="20" t="str">
        <f aca="false">'Raw Data'!G137</f>
        <v>none</v>
      </c>
      <c r="H137" s="20" t="n">
        <f aca="false">'Raw Data'!H137</f>
        <v>1240</v>
      </c>
      <c r="I137" s="20" t="n">
        <f aca="false">'Raw Data'!I137</f>
        <v>12</v>
      </c>
      <c r="J137" s="20" t="str">
        <f aca="false">'Raw Data'!J137</f>
        <v>radio/TV</v>
      </c>
      <c r="K137" s="21" t="n">
        <f aca="false">H137/I137</f>
        <v>103.333333333333</v>
      </c>
      <c r="L137" s="21" t="n">
        <f aca="false">100-MIN(K137/Assumptions!$B$14,1)*100</f>
        <v>74.1666666666667</v>
      </c>
      <c r="M137" s="21" t="n">
        <f aca="false">VLOOKUP(F137,Assumptions!$A$19:$B$23,2,0)</f>
        <v>40</v>
      </c>
      <c r="N137" s="21" t="n">
        <f aca="false">VLOOKUP(G137,Assumptions!$A$27:$B$30,2,0)</f>
        <v>50</v>
      </c>
      <c r="O137" s="21" t="n">
        <f aca="false">VLOOKUP(D137,Assumptions!$A$34:$B$37,2,0)</f>
        <v>66</v>
      </c>
      <c r="P137" s="21" t="n">
        <f aca="false">VLOOKUP(E137,Assumptions!$A$41:$B$43,2,0)</f>
        <v>100</v>
      </c>
      <c r="Q137" s="22" t="n">
        <f aca="false">L137*Assumptions!$B$7+M137*Assumptions!$B$8+N137*Assumptions!$B$9+O137*Assumptions!$B$10+P137*Assumptions!$B$11</f>
        <v>62.15</v>
      </c>
      <c r="R137" s="11" t="str">
        <f aca="false">IF(Q137&lt;=33,"High Risk",IF(Q137&lt;=66,"Medium Risk","Low Risk"))</f>
        <v>Medium Risk</v>
      </c>
    </row>
    <row r="138" customFormat="false" ht="15" hidden="false" customHeight="true" outlineLevel="0" collapsed="false">
      <c r="A138" s="20" t="n">
        <f aca="false">'Raw Data'!A138</f>
        <v>137</v>
      </c>
      <c r="B138" s="20" t="n">
        <f aca="false">'Raw Data'!B138</f>
        <v>27</v>
      </c>
      <c r="C138" s="20" t="str">
        <f aca="false">'Raw Data'!C138</f>
        <v>male</v>
      </c>
      <c r="D138" s="20" t="n">
        <f aca="false">'Raw Data'!D138</f>
        <v>2</v>
      </c>
      <c r="E138" s="20" t="str">
        <f aca="false">'Raw Data'!E138</f>
        <v>own</v>
      </c>
      <c r="F138" s="20" t="str">
        <f aca="false">'Raw Data'!F138</f>
        <v>rich</v>
      </c>
      <c r="G138" s="20" t="str">
        <f aca="false">'Raw Data'!G138</f>
        <v>none</v>
      </c>
      <c r="H138" s="20" t="n">
        <f aca="false">'Raw Data'!H138</f>
        <v>8613</v>
      </c>
      <c r="I138" s="20" t="n">
        <f aca="false">'Raw Data'!I138</f>
        <v>27</v>
      </c>
      <c r="J138" s="20" t="str">
        <f aca="false">'Raw Data'!J138</f>
        <v>car</v>
      </c>
      <c r="K138" s="21" t="n">
        <f aca="false">H138/I138</f>
        <v>319</v>
      </c>
      <c r="L138" s="21" t="n">
        <f aca="false">100-MIN(K138/Assumptions!$B$14,1)*100</f>
        <v>20.25</v>
      </c>
      <c r="M138" s="21" t="n">
        <f aca="false">VLOOKUP(F138,Assumptions!$A$19:$B$23,2,0)</f>
        <v>100</v>
      </c>
      <c r="N138" s="21" t="n">
        <f aca="false">VLOOKUP(G138,Assumptions!$A$27:$B$30,2,0)</f>
        <v>50</v>
      </c>
      <c r="O138" s="21" t="n">
        <f aca="false">VLOOKUP(D138,Assumptions!$A$34:$B$37,2,0)</f>
        <v>66</v>
      </c>
      <c r="P138" s="21" t="n">
        <f aca="false">VLOOKUP(E138,Assumptions!$A$41:$B$43,2,0)</f>
        <v>100</v>
      </c>
      <c r="Q138" s="22" t="n">
        <f aca="false">L138*Assumptions!$B$7+M138*Assumptions!$B$8+N138*Assumptions!$B$9+O138*Assumptions!$B$10+P138*Assumptions!$B$11</f>
        <v>60.975</v>
      </c>
      <c r="R138" s="11" t="str">
        <f aca="false">IF(Q138&lt;=33,"High Risk",IF(Q138&lt;=66,"Medium Risk","Low Risk"))</f>
        <v>Medium Risk</v>
      </c>
    </row>
    <row r="139" customFormat="false" ht="15" hidden="false" customHeight="true" outlineLevel="0" collapsed="false">
      <c r="A139" s="20" t="n">
        <f aca="false">'Raw Data'!A139</f>
        <v>138</v>
      </c>
      <c r="B139" s="20" t="n">
        <f aca="false">'Raw Data'!B139</f>
        <v>66</v>
      </c>
      <c r="C139" s="20" t="str">
        <f aca="false">'Raw Data'!C139</f>
        <v>male</v>
      </c>
      <c r="D139" s="20" t="n">
        <f aca="false">'Raw Data'!D139</f>
        <v>1</v>
      </c>
      <c r="E139" s="20" t="str">
        <f aca="false">'Raw Data'!E139</f>
        <v>own</v>
      </c>
      <c r="F139" s="20" t="str">
        <f aca="false">'Raw Data'!F139</f>
        <v>quite rich</v>
      </c>
      <c r="G139" s="20" t="str">
        <f aca="false">'Raw Data'!G139</f>
        <v>moderate</v>
      </c>
      <c r="H139" s="20" t="n">
        <f aca="false">'Raw Data'!H139</f>
        <v>766</v>
      </c>
      <c r="I139" s="20" t="n">
        <f aca="false">'Raw Data'!I139</f>
        <v>12</v>
      </c>
      <c r="J139" s="20" t="str">
        <f aca="false">'Raw Data'!J139</f>
        <v>radio/TV</v>
      </c>
      <c r="K139" s="21" t="n">
        <f aca="false">H139/I139</f>
        <v>63.8333333333333</v>
      </c>
      <c r="L139" s="21" t="n">
        <f aca="false">100-MIN(K139/Assumptions!$B$14,1)*100</f>
        <v>84.0416666666667</v>
      </c>
      <c r="M139" s="21" t="n">
        <f aca="false">VLOOKUP(F139,Assumptions!$A$19:$B$23,2,0)</f>
        <v>75</v>
      </c>
      <c r="N139" s="21" t="n">
        <f aca="false">VLOOKUP(G139,Assumptions!$A$27:$B$30,2,0)</f>
        <v>60</v>
      </c>
      <c r="O139" s="21" t="n">
        <f aca="false">VLOOKUP(D139,Assumptions!$A$34:$B$37,2,0)</f>
        <v>33</v>
      </c>
      <c r="P139" s="21" t="n">
        <f aca="false">VLOOKUP(E139,Assumptions!$A$41:$B$43,2,0)</f>
        <v>100</v>
      </c>
      <c r="Q139" s="22" t="n">
        <f aca="false">L139*Assumptions!$B$7+M139*Assumptions!$B$8+N139*Assumptions!$B$9+O139*Assumptions!$B$10+P139*Assumptions!$B$11</f>
        <v>70.9125</v>
      </c>
      <c r="R139" s="11" t="str">
        <f aca="false">IF(Q139&lt;=33,"High Risk",IF(Q139&lt;=66,"Medium Risk","Low Risk"))</f>
        <v>Low Risk</v>
      </c>
    </row>
    <row r="140" customFormat="false" ht="15" hidden="false" customHeight="true" outlineLevel="0" collapsed="false">
      <c r="A140" s="20" t="n">
        <f aca="false">'Raw Data'!A140</f>
        <v>139</v>
      </c>
      <c r="B140" s="20" t="n">
        <f aca="false">'Raw Data'!B140</f>
        <v>35</v>
      </c>
      <c r="C140" s="20" t="str">
        <f aca="false">'Raw Data'!C140</f>
        <v>male</v>
      </c>
      <c r="D140" s="20" t="n">
        <f aca="false">'Raw Data'!D140</f>
        <v>2</v>
      </c>
      <c r="E140" s="20" t="str">
        <f aca="false">'Raw Data'!E140</f>
        <v>own</v>
      </c>
      <c r="F140" s="20" t="str">
        <f aca="false">'Raw Data'!F140</f>
        <v>none</v>
      </c>
      <c r="G140" s="20" t="str">
        <f aca="false">'Raw Data'!G140</f>
        <v>moderate</v>
      </c>
      <c r="H140" s="20" t="n">
        <f aca="false">'Raw Data'!H140</f>
        <v>2728</v>
      </c>
      <c r="I140" s="20" t="n">
        <f aca="false">'Raw Data'!I140</f>
        <v>15</v>
      </c>
      <c r="J140" s="20" t="str">
        <f aca="false">'Raw Data'!J140</f>
        <v>radio/TV</v>
      </c>
      <c r="K140" s="21" t="n">
        <f aca="false">H140/I140</f>
        <v>181.866666666667</v>
      </c>
      <c r="L140" s="21" t="n">
        <f aca="false">100-MIN(K140/Assumptions!$B$14,1)*100</f>
        <v>54.5333333333333</v>
      </c>
      <c r="M140" s="21" t="n">
        <f aca="false">VLOOKUP(F140,Assumptions!$A$19:$B$23,2,0)</f>
        <v>40</v>
      </c>
      <c r="N140" s="21" t="n">
        <f aca="false">VLOOKUP(G140,Assumptions!$A$27:$B$30,2,0)</f>
        <v>60</v>
      </c>
      <c r="O140" s="21" t="n">
        <f aca="false">VLOOKUP(D140,Assumptions!$A$34:$B$37,2,0)</f>
        <v>66</v>
      </c>
      <c r="P140" s="21" t="n">
        <f aca="false">VLOOKUP(E140,Assumptions!$A$41:$B$43,2,0)</f>
        <v>100</v>
      </c>
      <c r="Q140" s="22" t="n">
        <f aca="false">L140*Assumptions!$B$7+M140*Assumptions!$B$8+N140*Assumptions!$B$9+O140*Assumptions!$B$10+P140*Assumptions!$B$11</f>
        <v>58.26</v>
      </c>
      <c r="R140" s="11" t="str">
        <f aca="false">IF(Q140&lt;=33,"High Risk",IF(Q140&lt;=66,"Medium Risk","Low Risk"))</f>
        <v>Medium Risk</v>
      </c>
    </row>
    <row r="141" customFormat="false" ht="15" hidden="false" customHeight="true" outlineLevel="0" collapsed="false">
      <c r="A141" s="20" t="n">
        <f aca="false">'Raw Data'!A141</f>
        <v>140</v>
      </c>
      <c r="B141" s="20" t="n">
        <f aca="false">'Raw Data'!B141</f>
        <v>44</v>
      </c>
      <c r="C141" s="20" t="str">
        <f aca="false">'Raw Data'!C141</f>
        <v>female</v>
      </c>
      <c r="D141" s="20" t="n">
        <f aca="false">'Raw Data'!D141</f>
        <v>1</v>
      </c>
      <c r="E141" s="20" t="str">
        <f aca="false">'Raw Data'!E141</f>
        <v>rent</v>
      </c>
      <c r="F141" s="20" t="str">
        <f aca="false">'Raw Data'!F141</f>
        <v>little</v>
      </c>
      <c r="G141" s="20" t="str">
        <f aca="false">'Raw Data'!G141</f>
        <v>rich</v>
      </c>
      <c r="H141" s="20" t="n">
        <f aca="false">'Raw Data'!H141</f>
        <v>1881</v>
      </c>
      <c r="I141" s="20" t="n">
        <f aca="false">'Raw Data'!I141</f>
        <v>12</v>
      </c>
      <c r="J141" s="20" t="str">
        <f aca="false">'Raw Data'!J141</f>
        <v>radio/TV</v>
      </c>
      <c r="K141" s="21" t="n">
        <f aca="false">H141/I141</f>
        <v>156.75</v>
      </c>
      <c r="L141" s="21" t="n">
        <f aca="false">100-MIN(K141/Assumptions!$B$14,1)*100</f>
        <v>60.8125</v>
      </c>
      <c r="M141" s="21" t="n">
        <f aca="false">VLOOKUP(F141,Assumptions!$A$19:$B$23,2,0)</f>
        <v>25</v>
      </c>
      <c r="N141" s="21" t="n">
        <f aca="false">VLOOKUP(G141,Assumptions!$A$27:$B$30,2,0)</f>
        <v>100</v>
      </c>
      <c r="O141" s="21" t="n">
        <f aca="false">VLOOKUP(D141,Assumptions!$A$34:$B$37,2,0)</f>
        <v>33</v>
      </c>
      <c r="P141" s="21" t="n">
        <f aca="false">VLOOKUP(E141,Assumptions!$A$41:$B$43,2,0)</f>
        <v>30</v>
      </c>
      <c r="Q141" s="22" t="n">
        <f aca="false">L141*Assumptions!$B$7+M141*Assumptions!$B$8+N141*Assumptions!$B$9+O141*Assumptions!$B$10+P141*Assumptions!$B$11</f>
        <v>52.44375</v>
      </c>
      <c r="R141" s="11" t="str">
        <f aca="false">IF(Q141&lt;=33,"High Risk",IF(Q141&lt;=66,"Medium Risk","Low Risk"))</f>
        <v>Medium Risk</v>
      </c>
    </row>
    <row r="142" customFormat="false" ht="15" hidden="false" customHeight="true" outlineLevel="0" collapsed="false">
      <c r="A142" s="20" t="n">
        <f aca="false">'Raw Data'!A142</f>
        <v>141</v>
      </c>
      <c r="B142" s="20" t="n">
        <f aca="false">'Raw Data'!B142</f>
        <v>27</v>
      </c>
      <c r="C142" s="20" t="str">
        <f aca="false">'Raw Data'!C142</f>
        <v>male</v>
      </c>
      <c r="D142" s="20" t="n">
        <f aca="false">'Raw Data'!D142</f>
        <v>0</v>
      </c>
      <c r="E142" s="20" t="str">
        <f aca="false">'Raw Data'!E142</f>
        <v>own</v>
      </c>
      <c r="F142" s="20" t="str">
        <f aca="false">'Raw Data'!F142</f>
        <v>rich</v>
      </c>
      <c r="G142" s="20" t="str">
        <f aca="false">'Raw Data'!G142</f>
        <v>rich</v>
      </c>
      <c r="H142" s="20" t="n">
        <f aca="false">'Raw Data'!H142</f>
        <v>709</v>
      </c>
      <c r="I142" s="20" t="n">
        <f aca="false">'Raw Data'!I142</f>
        <v>6</v>
      </c>
      <c r="J142" s="20" t="str">
        <f aca="false">'Raw Data'!J142</f>
        <v>car</v>
      </c>
      <c r="K142" s="21" t="n">
        <f aca="false">H142/I142</f>
        <v>118.166666666667</v>
      </c>
      <c r="L142" s="21" t="n">
        <f aca="false">100-MIN(K142/Assumptions!$B$14,1)*100</f>
        <v>70.4583333333333</v>
      </c>
      <c r="M142" s="21" t="n">
        <f aca="false">VLOOKUP(F142,Assumptions!$A$19:$B$23,2,0)</f>
        <v>100</v>
      </c>
      <c r="N142" s="21" t="n">
        <f aca="false">VLOOKUP(G142,Assumptions!$A$27:$B$30,2,0)</f>
        <v>100</v>
      </c>
      <c r="O142" s="21" t="n">
        <f aca="false">VLOOKUP(D142,Assumptions!$A$34:$B$37,2,0)</f>
        <v>0</v>
      </c>
      <c r="P142" s="21" t="n">
        <f aca="false">VLOOKUP(E142,Assumptions!$A$41:$B$43,2,0)</f>
        <v>100</v>
      </c>
      <c r="Q142" s="22" t="n">
        <f aca="false">L142*Assumptions!$B$7+M142*Assumptions!$B$8+N142*Assumptions!$B$9+O142*Assumptions!$B$10+P142*Assumptions!$B$11</f>
        <v>76.1375</v>
      </c>
      <c r="R142" s="11" t="str">
        <f aca="false">IF(Q142&lt;=33,"High Risk",IF(Q142&lt;=66,"Medium Risk","Low Risk"))</f>
        <v>Low Risk</v>
      </c>
    </row>
    <row r="143" customFormat="false" ht="15" hidden="false" customHeight="true" outlineLevel="0" collapsed="false">
      <c r="A143" s="20" t="n">
        <f aca="false">'Raw Data'!A143</f>
        <v>142</v>
      </c>
      <c r="B143" s="20" t="n">
        <f aca="false">'Raw Data'!B143</f>
        <v>30</v>
      </c>
      <c r="C143" s="20" t="str">
        <f aca="false">'Raw Data'!C143</f>
        <v>female</v>
      </c>
      <c r="D143" s="20" t="n">
        <f aca="false">'Raw Data'!D143</f>
        <v>3</v>
      </c>
      <c r="E143" s="20" t="str">
        <f aca="false">'Raw Data'!E143</f>
        <v>own</v>
      </c>
      <c r="F143" s="20" t="str">
        <f aca="false">'Raw Data'!F143</f>
        <v>little</v>
      </c>
      <c r="G143" s="20" t="str">
        <f aca="false">'Raw Data'!G143</f>
        <v>moderate</v>
      </c>
      <c r="H143" s="20" t="n">
        <f aca="false">'Raw Data'!H143</f>
        <v>4795</v>
      </c>
      <c r="I143" s="20" t="n">
        <f aca="false">'Raw Data'!I143</f>
        <v>36</v>
      </c>
      <c r="J143" s="20" t="str">
        <f aca="false">'Raw Data'!J143</f>
        <v>radio/TV</v>
      </c>
      <c r="K143" s="21" t="n">
        <f aca="false">H143/I143</f>
        <v>133.194444444444</v>
      </c>
      <c r="L143" s="21" t="n">
        <f aca="false">100-MIN(K143/Assumptions!$B$14,1)*100</f>
        <v>66.7013888888889</v>
      </c>
      <c r="M143" s="21" t="n">
        <f aca="false">VLOOKUP(F143,Assumptions!$A$19:$B$23,2,0)</f>
        <v>25</v>
      </c>
      <c r="N143" s="21" t="n">
        <f aca="false">VLOOKUP(G143,Assumptions!$A$27:$B$30,2,0)</f>
        <v>60</v>
      </c>
      <c r="O143" s="21" t="n">
        <f aca="false">VLOOKUP(D143,Assumptions!$A$34:$B$37,2,0)</f>
        <v>100</v>
      </c>
      <c r="P143" s="21" t="n">
        <f aca="false">VLOOKUP(E143,Assumptions!$A$41:$B$43,2,0)</f>
        <v>100</v>
      </c>
      <c r="Q143" s="22" t="n">
        <f aca="false">L143*Assumptions!$B$7+M143*Assumptions!$B$8+N143*Assumptions!$B$9+O143*Assumptions!$B$10+P143*Assumptions!$B$11</f>
        <v>63.2604166666667</v>
      </c>
      <c r="R143" s="11" t="str">
        <f aca="false">IF(Q143&lt;=33,"High Risk",IF(Q143&lt;=66,"Medium Risk","Low Risk"))</f>
        <v>Medium Risk</v>
      </c>
    </row>
    <row r="144" customFormat="false" ht="15" hidden="false" customHeight="true" outlineLevel="0" collapsed="false">
      <c r="A144" s="20" t="n">
        <f aca="false">'Raw Data'!A144</f>
        <v>143</v>
      </c>
      <c r="B144" s="20" t="n">
        <f aca="false">'Raw Data'!B144</f>
        <v>27</v>
      </c>
      <c r="C144" s="20" t="str">
        <f aca="false">'Raw Data'!C144</f>
        <v>male</v>
      </c>
      <c r="D144" s="20" t="n">
        <f aca="false">'Raw Data'!D144</f>
        <v>3</v>
      </c>
      <c r="E144" s="20" t="str">
        <f aca="false">'Raw Data'!E144</f>
        <v>own</v>
      </c>
      <c r="F144" s="20" t="str">
        <f aca="false">'Raw Data'!F144</f>
        <v>little</v>
      </c>
      <c r="G144" s="20" t="str">
        <f aca="false">'Raw Data'!G144</f>
        <v>little</v>
      </c>
      <c r="H144" s="20" t="n">
        <f aca="false">'Raw Data'!H144</f>
        <v>3416</v>
      </c>
      <c r="I144" s="20" t="n">
        <f aca="false">'Raw Data'!I144</f>
        <v>27</v>
      </c>
      <c r="J144" s="20" t="str">
        <f aca="false">'Raw Data'!J144</f>
        <v>radio/TV</v>
      </c>
      <c r="K144" s="21" t="n">
        <f aca="false">H144/I144</f>
        <v>126.518518518519</v>
      </c>
      <c r="L144" s="21" t="n">
        <f aca="false">100-MIN(K144/Assumptions!$B$14,1)*100</f>
        <v>68.3703703703704</v>
      </c>
      <c r="M144" s="21" t="n">
        <f aca="false">VLOOKUP(F144,Assumptions!$A$19:$B$23,2,0)</f>
        <v>25</v>
      </c>
      <c r="N144" s="21" t="n">
        <f aca="false">VLOOKUP(G144,Assumptions!$A$27:$B$30,2,0)</f>
        <v>25</v>
      </c>
      <c r="O144" s="21" t="n">
        <f aca="false">VLOOKUP(D144,Assumptions!$A$34:$B$37,2,0)</f>
        <v>100</v>
      </c>
      <c r="P144" s="21" t="n">
        <f aca="false">VLOOKUP(E144,Assumptions!$A$41:$B$43,2,0)</f>
        <v>100</v>
      </c>
      <c r="Q144" s="22" t="n">
        <f aca="false">L144*Assumptions!$B$7+M144*Assumptions!$B$8+N144*Assumptions!$B$9+O144*Assumptions!$B$10+P144*Assumptions!$B$11</f>
        <v>56.7611111111111</v>
      </c>
      <c r="R144" s="11" t="str">
        <f aca="false">IF(Q144&lt;=33,"High Risk",IF(Q144&lt;=66,"Medium Risk","Low Risk"))</f>
        <v>Medium Risk</v>
      </c>
    </row>
    <row r="145" customFormat="false" ht="15" hidden="false" customHeight="true" outlineLevel="0" collapsed="false">
      <c r="A145" s="20" t="n">
        <f aca="false">'Raw Data'!A145</f>
        <v>144</v>
      </c>
      <c r="B145" s="20" t="n">
        <f aca="false">'Raw Data'!B145</f>
        <v>22</v>
      </c>
      <c r="C145" s="20" t="str">
        <f aca="false">'Raw Data'!C145</f>
        <v>male</v>
      </c>
      <c r="D145" s="20" t="n">
        <f aca="false">'Raw Data'!D145</f>
        <v>2</v>
      </c>
      <c r="E145" s="20" t="str">
        <f aca="false">'Raw Data'!E145</f>
        <v>own</v>
      </c>
      <c r="F145" s="20" t="str">
        <f aca="false">'Raw Data'!F145</f>
        <v>little</v>
      </c>
      <c r="G145" s="20" t="str">
        <f aca="false">'Raw Data'!G145</f>
        <v>little</v>
      </c>
      <c r="H145" s="20" t="n">
        <f aca="false">'Raw Data'!H145</f>
        <v>2462</v>
      </c>
      <c r="I145" s="20" t="n">
        <f aca="false">'Raw Data'!I145</f>
        <v>18</v>
      </c>
      <c r="J145" s="20" t="str">
        <f aca="false">'Raw Data'!J145</f>
        <v>furniture/equipment</v>
      </c>
      <c r="K145" s="21" t="n">
        <f aca="false">H145/I145</f>
        <v>136.777777777778</v>
      </c>
      <c r="L145" s="21" t="n">
        <f aca="false">100-MIN(K145/Assumptions!$B$14,1)*100</f>
        <v>65.8055555555556</v>
      </c>
      <c r="M145" s="21" t="n">
        <f aca="false">VLOOKUP(F145,Assumptions!$A$19:$B$23,2,0)</f>
        <v>25</v>
      </c>
      <c r="N145" s="21" t="n">
        <f aca="false">VLOOKUP(G145,Assumptions!$A$27:$B$30,2,0)</f>
        <v>25</v>
      </c>
      <c r="O145" s="21" t="n">
        <f aca="false">VLOOKUP(D145,Assumptions!$A$34:$B$37,2,0)</f>
        <v>66</v>
      </c>
      <c r="P145" s="21" t="n">
        <f aca="false">VLOOKUP(E145,Assumptions!$A$41:$B$43,2,0)</f>
        <v>100</v>
      </c>
      <c r="Q145" s="22" t="n">
        <f aca="false">L145*Assumptions!$B$7+M145*Assumptions!$B$8+N145*Assumptions!$B$9+O145*Assumptions!$B$10+P145*Assumptions!$B$11</f>
        <v>50.8916666666667</v>
      </c>
      <c r="R145" s="11" t="str">
        <f aca="false">IF(Q145&lt;=33,"High Risk",IF(Q145&lt;=66,"Medium Risk","Low Risk"))</f>
        <v>Medium Risk</v>
      </c>
    </row>
    <row r="146" customFormat="false" ht="15" hidden="false" customHeight="true" outlineLevel="0" collapsed="false">
      <c r="A146" s="20" t="n">
        <f aca="false">'Raw Data'!A146</f>
        <v>145</v>
      </c>
      <c r="B146" s="20" t="n">
        <f aca="false">'Raw Data'!B146</f>
        <v>23</v>
      </c>
      <c r="C146" s="20" t="str">
        <f aca="false">'Raw Data'!C146</f>
        <v>female</v>
      </c>
      <c r="D146" s="20" t="n">
        <f aca="false">'Raw Data'!D146</f>
        <v>2</v>
      </c>
      <c r="E146" s="20" t="str">
        <f aca="false">'Raw Data'!E146</f>
        <v>own</v>
      </c>
      <c r="F146" s="20" t="str">
        <f aca="false">'Raw Data'!F146</f>
        <v>little</v>
      </c>
      <c r="G146" s="20" t="str">
        <f aca="false">'Raw Data'!G146</f>
        <v>none</v>
      </c>
      <c r="H146" s="20" t="n">
        <f aca="false">'Raw Data'!H146</f>
        <v>2288</v>
      </c>
      <c r="I146" s="20" t="n">
        <f aca="false">'Raw Data'!I146</f>
        <v>21</v>
      </c>
      <c r="J146" s="20" t="str">
        <f aca="false">'Raw Data'!J146</f>
        <v>furniture/equipment</v>
      </c>
      <c r="K146" s="21" t="n">
        <f aca="false">H146/I146</f>
        <v>108.952380952381</v>
      </c>
      <c r="L146" s="21" t="n">
        <f aca="false">100-MIN(K146/Assumptions!$B$14,1)*100</f>
        <v>72.7619047619048</v>
      </c>
      <c r="M146" s="21" t="n">
        <f aca="false">VLOOKUP(F146,Assumptions!$A$19:$B$23,2,0)</f>
        <v>25</v>
      </c>
      <c r="N146" s="21" t="n">
        <f aca="false">VLOOKUP(G146,Assumptions!$A$27:$B$30,2,0)</f>
        <v>50</v>
      </c>
      <c r="O146" s="21" t="n">
        <f aca="false">VLOOKUP(D146,Assumptions!$A$34:$B$37,2,0)</f>
        <v>66</v>
      </c>
      <c r="P146" s="21" t="n">
        <f aca="false">VLOOKUP(E146,Assumptions!$A$41:$B$43,2,0)</f>
        <v>100</v>
      </c>
      <c r="Q146" s="22" t="n">
        <f aca="false">L146*Assumptions!$B$7+M146*Assumptions!$B$8+N146*Assumptions!$B$9+O146*Assumptions!$B$10+P146*Assumptions!$B$11</f>
        <v>57.9785714285714</v>
      </c>
      <c r="R146" s="11" t="str">
        <f aca="false">IF(Q146&lt;=33,"High Risk",IF(Q146&lt;=66,"Medium Risk","Low Risk"))</f>
        <v>Medium Risk</v>
      </c>
    </row>
    <row r="147" customFormat="false" ht="15" hidden="false" customHeight="true" outlineLevel="0" collapsed="false">
      <c r="A147" s="20" t="n">
        <f aca="false">'Raw Data'!A147</f>
        <v>146</v>
      </c>
      <c r="B147" s="20" t="n">
        <f aca="false">'Raw Data'!B147</f>
        <v>30</v>
      </c>
      <c r="C147" s="20" t="str">
        <f aca="false">'Raw Data'!C147</f>
        <v>male</v>
      </c>
      <c r="D147" s="20" t="n">
        <f aca="false">'Raw Data'!D147</f>
        <v>2</v>
      </c>
      <c r="E147" s="20" t="str">
        <f aca="false">'Raw Data'!E147</f>
        <v>own</v>
      </c>
      <c r="F147" s="20" t="str">
        <f aca="false">'Raw Data'!F147</f>
        <v>moderate</v>
      </c>
      <c r="G147" s="20" t="str">
        <f aca="false">'Raw Data'!G147</f>
        <v>moderate</v>
      </c>
      <c r="H147" s="20" t="n">
        <f aca="false">'Raw Data'!H147</f>
        <v>3566</v>
      </c>
      <c r="I147" s="20" t="n">
        <f aca="false">'Raw Data'!I147</f>
        <v>48</v>
      </c>
      <c r="J147" s="20" t="str">
        <f aca="false">'Raw Data'!J147</f>
        <v>business</v>
      </c>
      <c r="K147" s="21" t="n">
        <f aca="false">H147/I147</f>
        <v>74.2916666666667</v>
      </c>
      <c r="L147" s="21" t="n">
        <f aca="false">100-MIN(K147/Assumptions!$B$14,1)*100</f>
        <v>81.4270833333333</v>
      </c>
      <c r="M147" s="21" t="n">
        <f aca="false">VLOOKUP(F147,Assumptions!$A$19:$B$23,2,0)</f>
        <v>50</v>
      </c>
      <c r="N147" s="21" t="n">
        <f aca="false">VLOOKUP(G147,Assumptions!$A$27:$B$30,2,0)</f>
        <v>60</v>
      </c>
      <c r="O147" s="21" t="n">
        <f aca="false">VLOOKUP(D147,Assumptions!$A$34:$B$37,2,0)</f>
        <v>66</v>
      </c>
      <c r="P147" s="21" t="n">
        <f aca="false">VLOOKUP(E147,Assumptions!$A$41:$B$43,2,0)</f>
        <v>100</v>
      </c>
      <c r="Q147" s="22" t="n">
        <f aca="false">L147*Assumptions!$B$7+M147*Assumptions!$B$8+N147*Assumptions!$B$9+O147*Assumptions!$B$10+P147*Assumptions!$B$11</f>
        <v>68.828125</v>
      </c>
      <c r="R147" s="11" t="str">
        <f aca="false">IF(Q147&lt;=33,"High Risk",IF(Q147&lt;=66,"Medium Risk","Low Risk"))</f>
        <v>Low Risk</v>
      </c>
    </row>
    <row r="148" customFormat="false" ht="15" hidden="false" customHeight="true" outlineLevel="0" collapsed="false">
      <c r="A148" s="20" t="n">
        <f aca="false">'Raw Data'!A148</f>
        <v>147</v>
      </c>
      <c r="B148" s="20" t="n">
        <f aca="false">'Raw Data'!B148</f>
        <v>39</v>
      </c>
      <c r="C148" s="20" t="str">
        <f aca="false">'Raw Data'!C148</f>
        <v>female</v>
      </c>
      <c r="D148" s="20" t="n">
        <f aca="false">'Raw Data'!D148</f>
        <v>2</v>
      </c>
      <c r="E148" s="20" t="str">
        <f aca="false">'Raw Data'!E148</f>
        <v>own</v>
      </c>
      <c r="F148" s="20" t="str">
        <f aca="false">'Raw Data'!F148</f>
        <v>little</v>
      </c>
      <c r="G148" s="20" t="str">
        <f aca="false">'Raw Data'!G148</f>
        <v>little</v>
      </c>
      <c r="H148" s="20" t="n">
        <f aca="false">'Raw Data'!H148</f>
        <v>860</v>
      </c>
      <c r="I148" s="20" t="n">
        <f aca="false">'Raw Data'!I148</f>
        <v>6</v>
      </c>
      <c r="J148" s="20" t="str">
        <f aca="false">'Raw Data'!J148</f>
        <v>car</v>
      </c>
      <c r="K148" s="21" t="n">
        <f aca="false">H148/I148</f>
        <v>143.333333333333</v>
      </c>
      <c r="L148" s="21" t="n">
        <f aca="false">100-MIN(K148/Assumptions!$B$14,1)*100</f>
        <v>64.1666666666667</v>
      </c>
      <c r="M148" s="21" t="n">
        <f aca="false">VLOOKUP(F148,Assumptions!$A$19:$B$23,2,0)</f>
        <v>25</v>
      </c>
      <c r="N148" s="21" t="n">
        <f aca="false">VLOOKUP(G148,Assumptions!$A$27:$B$30,2,0)</f>
        <v>25</v>
      </c>
      <c r="O148" s="21" t="n">
        <f aca="false">VLOOKUP(D148,Assumptions!$A$34:$B$37,2,0)</f>
        <v>66</v>
      </c>
      <c r="P148" s="21" t="n">
        <f aca="false">VLOOKUP(E148,Assumptions!$A$41:$B$43,2,0)</f>
        <v>100</v>
      </c>
      <c r="Q148" s="22" t="n">
        <f aca="false">L148*Assumptions!$B$7+M148*Assumptions!$B$8+N148*Assumptions!$B$9+O148*Assumptions!$B$10+P148*Assumptions!$B$11</f>
        <v>50.4</v>
      </c>
      <c r="R148" s="11" t="str">
        <f aca="false">IF(Q148&lt;=33,"High Risk",IF(Q148&lt;=66,"Medium Risk","Low Risk"))</f>
        <v>Medium Risk</v>
      </c>
    </row>
    <row r="149" customFormat="false" ht="15" hidden="false" customHeight="true" outlineLevel="0" collapsed="false">
      <c r="A149" s="20" t="n">
        <f aca="false">'Raw Data'!A149</f>
        <v>148</v>
      </c>
      <c r="B149" s="20" t="n">
        <f aca="false">'Raw Data'!B149</f>
        <v>51</v>
      </c>
      <c r="C149" s="20" t="str">
        <f aca="false">'Raw Data'!C149</f>
        <v>female</v>
      </c>
      <c r="D149" s="20" t="n">
        <f aca="false">'Raw Data'!D149</f>
        <v>2</v>
      </c>
      <c r="E149" s="20" t="str">
        <f aca="false">'Raw Data'!E149</f>
        <v>own</v>
      </c>
      <c r="F149" s="20" t="str">
        <f aca="false">'Raw Data'!F149</f>
        <v>moderate</v>
      </c>
      <c r="G149" s="20" t="str">
        <f aca="false">'Raw Data'!G149</f>
        <v>none</v>
      </c>
      <c r="H149" s="20" t="n">
        <f aca="false">'Raw Data'!H149</f>
        <v>682</v>
      </c>
      <c r="I149" s="20" t="n">
        <f aca="false">'Raw Data'!I149</f>
        <v>12</v>
      </c>
      <c r="J149" s="20" t="str">
        <f aca="false">'Raw Data'!J149</f>
        <v>car</v>
      </c>
      <c r="K149" s="21" t="n">
        <f aca="false">H149/I149</f>
        <v>56.8333333333333</v>
      </c>
      <c r="L149" s="21" t="n">
        <f aca="false">100-MIN(K149/Assumptions!$B$14,1)*100</f>
        <v>85.7916666666667</v>
      </c>
      <c r="M149" s="21" t="n">
        <f aca="false">VLOOKUP(F149,Assumptions!$A$19:$B$23,2,0)</f>
        <v>50</v>
      </c>
      <c r="N149" s="21" t="n">
        <f aca="false">VLOOKUP(G149,Assumptions!$A$27:$B$30,2,0)</f>
        <v>50</v>
      </c>
      <c r="O149" s="21" t="n">
        <f aca="false">VLOOKUP(D149,Assumptions!$A$34:$B$37,2,0)</f>
        <v>66</v>
      </c>
      <c r="P149" s="21" t="n">
        <f aca="false">VLOOKUP(E149,Assumptions!$A$41:$B$43,2,0)</f>
        <v>100</v>
      </c>
      <c r="Q149" s="22" t="n">
        <f aca="false">L149*Assumptions!$B$7+M149*Assumptions!$B$8+N149*Assumptions!$B$9+O149*Assumptions!$B$10+P149*Assumptions!$B$11</f>
        <v>68.1375</v>
      </c>
      <c r="R149" s="11" t="str">
        <f aca="false">IF(Q149&lt;=33,"High Risk",IF(Q149&lt;=66,"Medium Risk","Low Risk"))</f>
        <v>Low Risk</v>
      </c>
    </row>
    <row r="150" customFormat="false" ht="15" hidden="false" customHeight="true" outlineLevel="0" collapsed="false">
      <c r="A150" s="20" t="n">
        <f aca="false">'Raw Data'!A150</f>
        <v>149</v>
      </c>
      <c r="B150" s="20" t="n">
        <f aca="false">'Raw Data'!B150</f>
        <v>28</v>
      </c>
      <c r="C150" s="20" t="str">
        <f aca="false">'Raw Data'!C150</f>
        <v>male</v>
      </c>
      <c r="D150" s="20" t="n">
        <f aca="false">'Raw Data'!D150</f>
        <v>2</v>
      </c>
      <c r="E150" s="20" t="str">
        <f aca="false">'Raw Data'!E150</f>
        <v>own</v>
      </c>
      <c r="F150" s="20" t="str">
        <f aca="false">'Raw Data'!F150</f>
        <v>little</v>
      </c>
      <c r="G150" s="20" t="str">
        <f aca="false">'Raw Data'!G150</f>
        <v>little</v>
      </c>
      <c r="H150" s="20" t="n">
        <f aca="false">'Raw Data'!H150</f>
        <v>5371</v>
      </c>
      <c r="I150" s="20" t="n">
        <f aca="false">'Raw Data'!I150</f>
        <v>36</v>
      </c>
      <c r="J150" s="20" t="str">
        <f aca="false">'Raw Data'!J150</f>
        <v>furniture/equipment</v>
      </c>
      <c r="K150" s="21" t="n">
        <f aca="false">H150/I150</f>
        <v>149.194444444444</v>
      </c>
      <c r="L150" s="21" t="n">
        <f aca="false">100-MIN(K150/Assumptions!$B$14,1)*100</f>
        <v>62.7013888888889</v>
      </c>
      <c r="M150" s="21" t="n">
        <f aca="false">VLOOKUP(F150,Assumptions!$A$19:$B$23,2,0)</f>
        <v>25</v>
      </c>
      <c r="N150" s="21" t="n">
        <f aca="false">VLOOKUP(G150,Assumptions!$A$27:$B$30,2,0)</f>
        <v>25</v>
      </c>
      <c r="O150" s="21" t="n">
        <f aca="false">VLOOKUP(D150,Assumptions!$A$34:$B$37,2,0)</f>
        <v>66</v>
      </c>
      <c r="P150" s="21" t="n">
        <f aca="false">VLOOKUP(E150,Assumptions!$A$41:$B$43,2,0)</f>
        <v>100</v>
      </c>
      <c r="Q150" s="22" t="n">
        <f aca="false">L150*Assumptions!$B$7+M150*Assumptions!$B$8+N150*Assumptions!$B$9+O150*Assumptions!$B$10+P150*Assumptions!$B$11</f>
        <v>49.9604166666667</v>
      </c>
      <c r="R150" s="11" t="str">
        <f aca="false">IF(Q150&lt;=33,"High Risk",IF(Q150&lt;=66,"Medium Risk","Low Risk"))</f>
        <v>Medium Risk</v>
      </c>
    </row>
    <row r="151" customFormat="false" ht="15" hidden="false" customHeight="true" outlineLevel="0" collapsed="false">
      <c r="A151" s="20" t="n">
        <f aca="false">'Raw Data'!A151</f>
        <v>150</v>
      </c>
      <c r="B151" s="20" t="n">
        <f aca="false">'Raw Data'!B151</f>
        <v>46</v>
      </c>
      <c r="C151" s="20" t="str">
        <f aca="false">'Raw Data'!C151</f>
        <v>male</v>
      </c>
      <c r="D151" s="20" t="n">
        <f aca="false">'Raw Data'!D151</f>
        <v>2</v>
      </c>
      <c r="E151" s="20" t="str">
        <f aca="false">'Raw Data'!E151</f>
        <v>own</v>
      </c>
      <c r="F151" s="20" t="str">
        <f aca="false">'Raw Data'!F151</f>
        <v>rich</v>
      </c>
      <c r="G151" s="20" t="str">
        <f aca="false">'Raw Data'!G151</f>
        <v>none</v>
      </c>
      <c r="H151" s="20" t="n">
        <f aca="false">'Raw Data'!H151</f>
        <v>1582</v>
      </c>
      <c r="I151" s="20" t="n">
        <f aca="false">'Raw Data'!I151</f>
        <v>18</v>
      </c>
      <c r="J151" s="20" t="str">
        <f aca="false">'Raw Data'!J151</f>
        <v>radio/TV</v>
      </c>
      <c r="K151" s="21" t="n">
        <f aca="false">H151/I151</f>
        <v>87.8888888888889</v>
      </c>
      <c r="L151" s="21" t="n">
        <f aca="false">100-MIN(K151/Assumptions!$B$14,1)*100</f>
        <v>78.0277777777778</v>
      </c>
      <c r="M151" s="21" t="n">
        <f aca="false">VLOOKUP(F151,Assumptions!$A$19:$B$23,2,0)</f>
        <v>100</v>
      </c>
      <c r="N151" s="21" t="n">
        <f aca="false">VLOOKUP(G151,Assumptions!$A$27:$B$30,2,0)</f>
        <v>50</v>
      </c>
      <c r="O151" s="21" t="n">
        <f aca="false">VLOOKUP(D151,Assumptions!$A$34:$B$37,2,0)</f>
        <v>66</v>
      </c>
      <c r="P151" s="21" t="n">
        <f aca="false">VLOOKUP(E151,Assumptions!$A$41:$B$43,2,0)</f>
        <v>100</v>
      </c>
      <c r="Q151" s="22" t="n">
        <f aca="false">L151*Assumptions!$B$7+M151*Assumptions!$B$8+N151*Assumptions!$B$9+O151*Assumptions!$B$10+P151*Assumptions!$B$11</f>
        <v>78.3083333333333</v>
      </c>
      <c r="R151" s="11" t="str">
        <f aca="false">IF(Q151&lt;=33,"High Risk",IF(Q151&lt;=66,"Medium Risk","Low Risk"))</f>
        <v>Low Risk</v>
      </c>
    </row>
    <row r="152" customFormat="false" ht="15" hidden="false" customHeight="true" outlineLevel="0" collapsed="false">
      <c r="A152" s="20" t="n">
        <f aca="false">'Raw Data'!A152</f>
        <v>151</v>
      </c>
      <c r="B152" s="20" t="n">
        <f aca="false">'Raw Data'!B152</f>
        <v>42</v>
      </c>
      <c r="C152" s="20" t="str">
        <f aca="false">'Raw Data'!C152</f>
        <v>male</v>
      </c>
      <c r="D152" s="20" t="n">
        <f aca="false">'Raw Data'!D152</f>
        <v>2</v>
      </c>
      <c r="E152" s="20" t="str">
        <f aca="false">'Raw Data'!E152</f>
        <v>free</v>
      </c>
      <c r="F152" s="20" t="str">
        <f aca="false">'Raw Data'!F152</f>
        <v>moderate</v>
      </c>
      <c r="G152" s="20" t="str">
        <f aca="false">'Raw Data'!G152</f>
        <v>none</v>
      </c>
      <c r="H152" s="20" t="n">
        <f aca="false">'Raw Data'!H152</f>
        <v>1346</v>
      </c>
      <c r="I152" s="20" t="n">
        <f aca="false">'Raw Data'!I152</f>
        <v>6</v>
      </c>
      <c r="J152" s="20" t="str">
        <f aca="false">'Raw Data'!J152</f>
        <v>radio/TV</v>
      </c>
      <c r="K152" s="21" t="n">
        <f aca="false">H152/I152</f>
        <v>224.333333333333</v>
      </c>
      <c r="L152" s="21" t="n">
        <f aca="false">100-MIN(K152/Assumptions!$B$14,1)*100</f>
        <v>43.9166666666667</v>
      </c>
      <c r="M152" s="21" t="n">
        <f aca="false">VLOOKUP(F152,Assumptions!$A$19:$B$23,2,0)</f>
        <v>50</v>
      </c>
      <c r="N152" s="21" t="n">
        <f aca="false">VLOOKUP(G152,Assumptions!$A$27:$B$30,2,0)</f>
        <v>50</v>
      </c>
      <c r="O152" s="21" t="n">
        <f aca="false">VLOOKUP(D152,Assumptions!$A$34:$B$37,2,0)</f>
        <v>66</v>
      </c>
      <c r="P152" s="21" t="n">
        <f aca="false">VLOOKUP(E152,Assumptions!$A$41:$B$43,2,0)</f>
        <v>60</v>
      </c>
      <c r="Q152" s="22" t="n">
        <f aca="false">L152*Assumptions!$B$7+M152*Assumptions!$B$8+N152*Assumptions!$B$9+O152*Assumptions!$B$10+P152*Assumptions!$B$11</f>
        <v>51.575</v>
      </c>
      <c r="R152" s="11" t="str">
        <f aca="false">IF(Q152&lt;=33,"High Risk",IF(Q152&lt;=66,"Medium Risk","Low Risk"))</f>
        <v>Medium Risk</v>
      </c>
    </row>
    <row r="153" customFormat="false" ht="15" hidden="false" customHeight="true" outlineLevel="0" collapsed="false">
      <c r="A153" s="20" t="n">
        <f aca="false">'Raw Data'!A153</f>
        <v>152</v>
      </c>
      <c r="B153" s="20" t="n">
        <f aca="false">'Raw Data'!B153</f>
        <v>38</v>
      </c>
      <c r="C153" s="20" t="str">
        <f aca="false">'Raw Data'!C153</f>
        <v>male</v>
      </c>
      <c r="D153" s="20" t="n">
        <f aca="false">'Raw Data'!D153</f>
        <v>2</v>
      </c>
      <c r="E153" s="20" t="str">
        <f aca="false">'Raw Data'!E153</f>
        <v>own</v>
      </c>
      <c r="F153" s="20" t="str">
        <f aca="false">'Raw Data'!F153</f>
        <v>little</v>
      </c>
      <c r="G153" s="20" t="str">
        <f aca="false">'Raw Data'!G153</f>
        <v>none</v>
      </c>
      <c r="H153" s="20" t="n">
        <f aca="false">'Raw Data'!H153</f>
        <v>1924</v>
      </c>
      <c r="I153" s="20" t="n">
        <f aca="false">'Raw Data'!I153</f>
        <v>10</v>
      </c>
      <c r="J153" s="20" t="str">
        <f aca="false">'Raw Data'!J153</f>
        <v>radio/TV</v>
      </c>
      <c r="K153" s="21" t="n">
        <f aca="false">H153/I153</f>
        <v>192.4</v>
      </c>
      <c r="L153" s="21" t="n">
        <f aca="false">100-MIN(K153/Assumptions!$B$14,1)*100</f>
        <v>51.9</v>
      </c>
      <c r="M153" s="21" t="n">
        <f aca="false">VLOOKUP(F153,Assumptions!$A$19:$B$23,2,0)</f>
        <v>25</v>
      </c>
      <c r="N153" s="21" t="n">
        <f aca="false">VLOOKUP(G153,Assumptions!$A$27:$B$30,2,0)</f>
        <v>50</v>
      </c>
      <c r="O153" s="21" t="n">
        <f aca="false">VLOOKUP(D153,Assumptions!$A$34:$B$37,2,0)</f>
        <v>66</v>
      </c>
      <c r="P153" s="21" t="n">
        <f aca="false">VLOOKUP(E153,Assumptions!$A$41:$B$43,2,0)</f>
        <v>100</v>
      </c>
      <c r="Q153" s="22" t="n">
        <f aca="false">L153*Assumptions!$B$7+M153*Assumptions!$B$8+N153*Assumptions!$B$9+O153*Assumptions!$B$10+P153*Assumptions!$B$11</f>
        <v>51.72</v>
      </c>
      <c r="R153" s="11" t="str">
        <f aca="false">IF(Q153&lt;=33,"High Risk",IF(Q153&lt;=66,"Medium Risk","Low Risk"))</f>
        <v>Medium Risk</v>
      </c>
    </row>
    <row r="154" customFormat="false" ht="15" hidden="false" customHeight="true" outlineLevel="0" collapsed="false">
      <c r="A154" s="20" t="n">
        <f aca="false">'Raw Data'!A154</f>
        <v>153</v>
      </c>
      <c r="B154" s="20" t="n">
        <f aca="false">'Raw Data'!B154</f>
        <v>24</v>
      </c>
      <c r="C154" s="20" t="str">
        <f aca="false">'Raw Data'!C154</f>
        <v>male</v>
      </c>
      <c r="D154" s="20" t="n">
        <f aca="false">'Raw Data'!D154</f>
        <v>2</v>
      </c>
      <c r="E154" s="20" t="str">
        <f aca="false">'Raw Data'!E154</f>
        <v>own</v>
      </c>
      <c r="F154" s="20" t="str">
        <f aca="false">'Raw Data'!F154</f>
        <v>little</v>
      </c>
      <c r="G154" s="20" t="str">
        <f aca="false">'Raw Data'!G154</f>
        <v>rich</v>
      </c>
      <c r="H154" s="20" t="n">
        <f aca="false">'Raw Data'!H154</f>
        <v>5848</v>
      </c>
      <c r="I154" s="20" t="n">
        <f aca="false">'Raw Data'!I154</f>
        <v>36</v>
      </c>
      <c r="J154" s="20" t="str">
        <f aca="false">'Raw Data'!J154</f>
        <v>radio/TV</v>
      </c>
      <c r="K154" s="21" t="n">
        <f aca="false">H154/I154</f>
        <v>162.444444444444</v>
      </c>
      <c r="L154" s="21" t="n">
        <f aca="false">100-MIN(K154/Assumptions!$B$14,1)*100</f>
        <v>59.3888888888889</v>
      </c>
      <c r="M154" s="21" t="n">
        <f aca="false">VLOOKUP(F154,Assumptions!$A$19:$B$23,2,0)</f>
        <v>25</v>
      </c>
      <c r="N154" s="21" t="n">
        <f aca="false">VLOOKUP(G154,Assumptions!$A$27:$B$30,2,0)</f>
        <v>100</v>
      </c>
      <c r="O154" s="21" t="n">
        <f aca="false">VLOOKUP(D154,Assumptions!$A$34:$B$37,2,0)</f>
        <v>66</v>
      </c>
      <c r="P154" s="21" t="n">
        <f aca="false">VLOOKUP(E154,Assumptions!$A$41:$B$43,2,0)</f>
        <v>100</v>
      </c>
      <c r="Q154" s="22" t="n">
        <f aca="false">L154*Assumptions!$B$7+M154*Assumptions!$B$8+N154*Assumptions!$B$9+O154*Assumptions!$B$10+P154*Assumptions!$B$11</f>
        <v>63.9666666666667</v>
      </c>
      <c r="R154" s="11" t="str">
        <f aca="false">IF(Q154&lt;=33,"High Risk",IF(Q154&lt;=66,"Medium Risk","Low Risk"))</f>
        <v>Medium Risk</v>
      </c>
    </row>
    <row r="155" customFormat="false" ht="15" hidden="false" customHeight="true" outlineLevel="0" collapsed="false">
      <c r="A155" s="20" t="n">
        <f aca="false">'Raw Data'!A155</f>
        <v>154</v>
      </c>
      <c r="B155" s="20" t="n">
        <f aca="false">'Raw Data'!B155</f>
        <v>29</v>
      </c>
      <c r="C155" s="20" t="str">
        <f aca="false">'Raw Data'!C155</f>
        <v>female</v>
      </c>
      <c r="D155" s="20" t="n">
        <f aca="false">'Raw Data'!D155</f>
        <v>2</v>
      </c>
      <c r="E155" s="20" t="str">
        <f aca="false">'Raw Data'!E155</f>
        <v>rent</v>
      </c>
      <c r="F155" s="20" t="str">
        <f aca="false">'Raw Data'!F155</f>
        <v>rich</v>
      </c>
      <c r="G155" s="20" t="str">
        <f aca="false">'Raw Data'!G155</f>
        <v>moderate</v>
      </c>
      <c r="H155" s="20" t="n">
        <f aca="false">'Raw Data'!H155</f>
        <v>7758</v>
      </c>
      <c r="I155" s="20" t="n">
        <f aca="false">'Raw Data'!I155</f>
        <v>24</v>
      </c>
      <c r="J155" s="20" t="str">
        <f aca="false">'Raw Data'!J155</f>
        <v>car</v>
      </c>
      <c r="K155" s="21" t="n">
        <f aca="false">H155/I155</f>
        <v>323.25</v>
      </c>
      <c r="L155" s="21" t="n">
        <f aca="false">100-MIN(K155/Assumptions!$B$14,1)*100</f>
        <v>19.1875</v>
      </c>
      <c r="M155" s="21" t="n">
        <f aca="false">VLOOKUP(F155,Assumptions!$A$19:$B$23,2,0)</f>
        <v>100</v>
      </c>
      <c r="N155" s="21" t="n">
        <f aca="false">VLOOKUP(G155,Assumptions!$A$27:$B$30,2,0)</f>
        <v>60</v>
      </c>
      <c r="O155" s="21" t="n">
        <f aca="false">VLOOKUP(D155,Assumptions!$A$34:$B$37,2,0)</f>
        <v>66</v>
      </c>
      <c r="P155" s="21" t="n">
        <f aca="false">VLOOKUP(E155,Assumptions!$A$41:$B$43,2,0)</f>
        <v>30</v>
      </c>
      <c r="Q155" s="22" t="n">
        <f aca="false">L155*Assumptions!$B$7+M155*Assumptions!$B$8+N155*Assumptions!$B$9+O155*Assumptions!$B$10+P155*Assumptions!$B$11</f>
        <v>55.65625</v>
      </c>
      <c r="R155" s="11" t="str">
        <f aca="false">IF(Q155&lt;=33,"High Risk",IF(Q155&lt;=66,"Medium Risk","Low Risk"))</f>
        <v>Medium Risk</v>
      </c>
    </row>
    <row r="156" customFormat="false" ht="15" hidden="false" customHeight="true" outlineLevel="0" collapsed="false">
      <c r="A156" s="20" t="n">
        <f aca="false">'Raw Data'!A156</f>
        <v>155</v>
      </c>
      <c r="B156" s="20" t="n">
        <f aca="false">'Raw Data'!B156</f>
        <v>36</v>
      </c>
      <c r="C156" s="20" t="str">
        <f aca="false">'Raw Data'!C156</f>
        <v>male</v>
      </c>
      <c r="D156" s="20" t="n">
        <f aca="false">'Raw Data'!D156</f>
        <v>3</v>
      </c>
      <c r="E156" s="20" t="str">
        <f aca="false">'Raw Data'!E156</f>
        <v>rent</v>
      </c>
      <c r="F156" s="20" t="str">
        <f aca="false">'Raw Data'!F156</f>
        <v>moderate</v>
      </c>
      <c r="G156" s="20" t="str">
        <f aca="false">'Raw Data'!G156</f>
        <v>moderate</v>
      </c>
      <c r="H156" s="20" t="n">
        <f aca="false">'Raw Data'!H156</f>
        <v>6967</v>
      </c>
      <c r="I156" s="20" t="n">
        <f aca="false">'Raw Data'!I156</f>
        <v>24</v>
      </c>
      <c r="J156" s="20" t="str">
        <f aca="false">'Raw Data'!J156</f>
        <v>business</v>
      </c>
      <c r="K156" s="21" t="n">
        <f aca="false">H156/I156</f>
        <v>290.291666666667</v>
      </c>
      <c r="L156" s="21" t="n">
        <f aca="false">100-MIN(K156/Assumptions!$B$14,1)*100</f>
        <v>27.4270833333333</v>
      </c>
      <c r="M156" s="21" t="n">
        <f aca="false">VLOOKUP(F156,Assumptions!$A$19:$B$23,2,0)</f>
        <v>50</v>
      </c>
      <c r="N156" s="21" t="n">
        <f aca="false">VLOOKUP(G156,Assumptions!$A$27:$B$30,2,0)</f>
        <v>60</v>
      </c>
      <c r="O156" s="21" t="n">
        <f aca="false">VLOOKUP(D156,Assumptions!$A$34:$B$37,2,0)</f>
        <v>100</v>
      </c>
      <c r="P156" s="21" t="n">
        <f aca="false">VLOOKUP(E156,Assumptions!$A$41:$B$43,2,0)</f>
        <v>30</v>
      </c>
      <c r="Q156" s="22" t="n">
        <f aca="false">L156*Assumptions!$B$7+M156*Assumptions!$B$8+N156*Assumptions!$B$9+O156*Assumptions!$B$10+P156*Assumptions!$B$11</f>
        <v>50.728125</v>
      </c>
      <c r="R156" s="11" t="str">
        <f aca="false">IF(Q156&lt;=33,"High Risk",IF(Q156&lt;=66,"Medium Risk","Low Risk"))</f>
        <v>Medium Risk</v>
      </c>
    </row>
    <row r="157" customFormat="false" ht="15" hidden="false" customHeight="true" outlineLevel="0" collapsed="false">
      <c r="A157" s="20" t="n">
        <f aca="false">'Raw Data'!A157</f>
        <v>156</v>
      </c>
      <c r="B157" s="20" t="n">
        <f aca="false">'Raw Data'!B157</f>
        <v>20</v>
      </c>
      <c r="C157" s="20" t="str">
        <f aca="false">'Raw Data'!C157</f>
        <v>female</v>
      </c>
      <c r="D157" s="20" t="n">
        <f aca="false">'Raw Data'!D157</f>
        <v>2</v>
      </c>
      <c r="E157" s="20" t="str">
        <f aca="false">'Raw Data'!E157</f>
        <v>rent</v>
      </c>
      <c r="F157" s="20" t="str">
        <f aca="false">'Raw Data'!F157</f>
        <v>little</v>
      </c>
      <c r="G157" s="20" t="str">
        <f aca="false">'Raw Data'!G157</f>
        <v>little</v>
      </c>
      <c r="H157" s="20" t="n">
        <f aca="false">'Raw Data'!H157</f>
        <v>1282</v>
      </c>
      <c r="I157" s="20" t="n">
        <f aca="false">'Raw Data'!I157</f>
        <v>12</v>
      </c>
      <c r="J157" s="20" t="str">
        <f aca="false">'Raw Data'!J157</f>
        <v>furniture/equipment</v>
      </c>
      <c r="K157" s="21" t="n">
        <f aca="false">H157/I157</f>
        <v>106.833333333333</v>
      </c>
      <c r="L157" s="21" t="n">
        <f aca="false">100-MIN(K157/Assumptions!$B$14,1)*100</f>
        <v>73.2916666666667</v>
      </c>
      <c r="M157" s="21" t="n">
        <f aca="false">VLOOKUP(F157,Assumptions!$A$19:$B$23,2,0)</f>
        <v>25</v>
      </c>
      <c r="N157" s="21" t="n">
        <f aca="false">VLOOKUP(G157,Assumptions!$A$27:$B$30,2,0)</f>
        <v>25</v>
      </c>
      <c r="O157" s="21" t="n">
        <f aca="false">VLOOKUP(D157,Assumptions!$A$34:$B$37,2,0)</f>
        <v>66</v>
      </c>
      <c r="P157" s="21" t="n">
        <f aca="false">VLOOKUP(E157,Assumptions!$A$41:$B$43,2,0)</f>
        <v>30</v>
      </c>
      <c r="Q157" s="22" t="n">
        <f aca="false">L157*Assumptions!$B$7+M157*Assumptions!$B$8+N157*Assumptions!$B$9+O157*Assumptions!$B$10+P157*Assumptions!$B$11</f>
        <v>46.1375</v>
      </c>
      <c r="R157" s="11" t="str">
        <f aca="false">IF(Q157&lt;=33,"High Risk",IF(Q157&lt;=66,"Medium Risk","Low Risk"))</f>
        <v>Medium Risk</v>
      </c>
    </row>
    <row r="158" customFormat="false" ht="15" hidden="false" customHeight="true" outlineLevel="0" collapsed="false">
      <c r="A158" s="20" t="n">
        <f aca="false">'Raw Data'!A158</f>
        <v>157</v>
      </c>
      <c r="B158" s="20" t="n">
        <f aca="false">'Raw Data'!B158</f>
        <v>48</v>
      </c>
      <c r="C158" s="20" t="str">
        <f aca="false">'Raw Data'!C158</f>
        <v>male</v>
      </c>
      <c r="D158" s="20" t="n">
        <f aca="false">'Raw Data'!D158</f>
        <v>2</v>
      </c>
      <c r="E158" s="20" t="str">
        <f aca="false">'Raw Data'!E158</f>
        <v>own</v>
      </c>
      <c r="F158" s="20" t="str">
        <f aca="false">'Raw Data'!F158</f>
        <v>moderate</v>
      </c>
      <c r="G158" s="20" t="str">
        <f aca="false">'Raw Data'!G158</f>
        <v>little</v>
      </c>
      <c r="H158" s="20" t="n">
        <f aca="false">'Raw Data'!H158</f>
        <v>1288</v>
      </c>
      <c r="I158" s="20" t="n">
        <f aca="false">'Raw Data'!I158</f>
        <v>9</v>
      </c>
      <c r="J158" s="20" t="str">
        <f aca="false">'Raw Data'!J158</f>
        <v>repairs</v>
      </c>
      <c r="K158" s="21" t="n">
        <f aca="false">H158/I158</f>
        <v>143.111111111111</v>
      </c>
      <c r="L158" s="21" t="n">
        <f aca="false">100-MIN(K158/Assumptions!$B$14,1)*100</f>
        <v>64.2222222222222</v>
      </c>
      <c r="M158" s="21" t="n">
        <f aca="false">VLOOKUP(F158,Assumptions!$A$19:$B$23,2,0)</f>
        <v>50</v>
      </c>
      <c r="N158" s="21" t="n">
        <f aca="false">VLOOKUP(G158,Assumptions!$A$27:$B$30,2,0)</f>
        <v>25</v>
      </c>
      <c r="O158" s="21" t="n">
        <f aca="false">VLOOKUP(D158,Assumptions!$A$34:$B$37,2,0)</f>
        <v>66</v>
      </c>
      <c r="P158" s="21" t="n">
        <f aca="false">VLOOKUP(E158,Assumptions!$A$41:$B$43,2,0)</f>
        <v>100</v>
      </c>
      <c r="Q158" s="22" t="n">
        <f aca="false">L158*Assumptions!$B$7+M158*Assumptions!$B$8+N158*Assumptions!$B$9+O158*Assumptions!$B$10+P158*Assumptions!$B$11</f>
        <v>56.6666666666667</v>
      </c>
      <c r="R158" s="11" t="str">
        <f aca="false">IF(Q158&lt;=33,"High Risk",IF(Q158&lt;=66,"Medium Risk","Low Risk"))</f>
        <v>Medium Risk</v>
      </c>
    </row>
    <row r="159" customFormat="false" ht="15" hidden="false" customHeight="true" outlineLevel="0" collapsed="false">
      <c r="A159" s="20" t="n">
        <f aca="false">'Raw Data'!A159</f>
        <v>158</v>
      </c>
      <c r="B159" s="20" t="n">
        <f aca="false">'Raw Data'!B159</f>
        <v>45</v>
      </c>
      <c r="C159" s="20" t="str">
        <f aca="false">'Raw Data'!C159</f>
        <v>male</v>
      </c>
      <c r="D159" s="20" t="n">
        <f aca="false">'Raw Data'!D159</f>
        <v>1</v>
      </c>
      <c r="E159" s="20" t="str">
        <f aca="false">'Raw Data'!E159</f>
        <v>own</v>
      </c>
      <c r="F159" s="20" t="str">
        <f aca="false">'Raw Data'!F159</f>
        <v>little</v>
      </c>
      <c r="G159" s="20" t="str">
        <f aca="false">'Raw Data'!G159</f>
        <v>little</v>
      </c>
      <c r="H159" s="20" t="n">
        <f aca="false">'Raw Data'!H159</f>
        <v>339</v>
      </c>
      <c r="I159" s="20" t="n">
        <f aca="false">'Raw Data'!I159</f>
        <v>12</v>
      </c>
      <c r="J159" s="20" t="str">
        <f aca="false">'Raw Data'!J159</f>
        <v>education</v>
      </c>
      <c r="K159" s="21" t="n">
        <f aca="false">H159/I159</f>
        <v>28.25</v>
      </c>
      <c r="L159" s="21" t="n">
        <f aca="false">100-MIN(K159/Assumptions!$B$14,1)*100</f>
        <v>92.9375</v>
      </c>
      <c r="M159" s="21" t="n">
        <f aca="false">VLOOKUP(F159,Assumptions!$A$19:$B$23,2,0)</f>
        <v>25</v>
      </c>
      <c r="N159" s="21" t="n">
        <f aca="false">VLOOKUP(G159,Assumptions!$A$27:$B$30,2,0)</f>
        <v>25</v>
      </c>
      <c r="O159" s="21" t="n">
        <f aca="false">VLOOKUP(D159,Assumptions!$A$34:$B$37,2,0)</f>
        <v>33</v>
      </c>
      <c r="P159" s="21" t="n">
        <f aca="false">VLOOKUP(E159,Assumptions!$A$41:$B$43,2,0)</f>
        <v>100</v>
      </c>
      <c r="Q159" s="22" t="n">
        <f aca="false">L159*Assumptions!$B$7+M159*Assumptions!$B$8+N159*Assumptions!$B$9+O159*Assumptions!$B$10+P159*Assumptions!$B$11</f>
        <v>54.08125</v>
      </c>
      <c r="R159" s="11" t="str">
        <f aca="false">IF(Q159&lt;=33,"High Risk",IF(Q159&lt;=66,"Medium Risk","Low Risk"))</f>
        <v>Medium Risk</v>
      </c>
    </row>
    <row r="160" customFormat="false" ht="15" hidden="false" customHeight="true" outlineLevel="0" collapsed="false">
      <c r="A160" s="20" t="n">
        <f aca="false">'Raw Data'!A160</f>
        <v>159</v>
      </c>
      <c r="B160" s="20" t="n">
        <f aca="false">'Raw Data'!B160</f>
        <v>38</v>
      </c>
      <c r="C160" s="20" t="str">
        <f aca="false">'Raw Data'!C160</f>
        <v>male</v>
      </c>
      <c r="D160" s="20" t="n">
        <f aca="false">'Raw Data'!D160</f>
        <v>2</v>
      </c>
      <c r="E160" s="20" t="str">
        <f aca="false">'Raw Data'!E160</f>
        <v>own</v>
      </c>
      <c r="F160" s="20" t="str">
        <f aca="false">'Raw Data'!F160</f>
        <v>moderate</v>
      </c>
      <c r="G160" s="20" t="str">
        <f aca="false">'Raw Data'!G160</f>
        <v>moderate</v>
      </c>
      <c r="H160" s="20" t="n">
        <f aca="false">'Raw Data'!H160</f>
        <v>3512</v>
      </c>
      <c r="I160" s="20" t="n">
        <f aca="false">'Raw Data'!I160</f>
        <v>24</v>
      </c>
      <c r="J160" s="20" t="str">
        <f aca="false">'Raw Data'!J160</f>
        <v>car</v>
      </c>
      <c r="K160" s="21" t="n">
        <f aca="false">H160/I160</f>
        <v>146.333333333333</v>
      </c>
      <c r="L160" s="21" t="n">
        <f aca="false">100-MIN(K160/Assumptions!$B$14,1)*100</f>
        <v>63.4166666666667</v>
      </c>
      <c r="M160" s="21" t="n">
        <f aca="false">VLOOKUP(F160,Assumptions!$A$19:$B$23,2,0)</f>
        <v>50</v>
      </c>
      <c r="N160" s="21" t="n">
        <f aca="false">VLOOKUP(G160,Assumptions!$A$27:$B$30,2,0)</f>
        <v>60</v>
      </c>
      <c r="O160" s="21" t="n">
        <f aca="false">VLOOKUP(D160,Assumptions!$A$34:$B$37,2,0)</f>
        <v>66</v>
      </c>
      <c r="P160" s="21" t="n">
        <f aca="false">VLOOKUP(E160,Assumptions!$A$41:$B$43,2,0)</f>
        <v>100</v>
      </c>
      <c r="Q160" s="22" t="n">
        <f aca="false">L160*Assumptions!$B$7+M160*Assumptions!$B$8+N160*Assumptions!$B$9+O160*Assumptions!$B$10+P160*Assumptions!$B$11</f>
        <v>63.425</v>
      </c>
      <c r="R160" s="11" t="str">
        <f aca="false">IF(Q160&lt;=33,"High Risk",IF(Q160&lt;=66,"Medium Risk","Low Risk"))</f>
        <v>Medium Risk</v>
      </c>
    </row>
    <row r="161" customFormat="false" ht="15" hidden="false" customHeight="true" outlineLevel="0" collapsed="false">
      <c r="A161" s="20" t="n">
        <f aca="false">'Raw Data'!A161</f>
        <v>160</v>
      </c>
      <c r="B161" s="20" t="n">
        <f aca="false">'Raw Data'!B161</f>
        <v>34</v>
      </c>
      <c r="C161" s="20" t="str">
        <f aca="false">'Raw Data'!C161</f>
        <v>male</v>
      </c>
      <c r="D161" s="20" t="n">
        <f aca="false">'Raw Data'!D161</f>
        <v>1</v>
      </c>
      <c r="E161" s="20" t="str">
        <f aca="false">'Raw Data'!E161</f>
        <v>own</v>
      </c>
      <c r="F161" s="20" t="str">
        <f aca="false">'Raw Data'!F161</f>
        <v>none</v>
      </c>
      <c r="G161" s="20" t="str">
        <f aca="false">'Raw Data'!G161</f>
        <v>none</v>
      </c>
      <c r="H161" s="20" t="n">
        <f aca="false">'Raw Data'!H161</f>
        <v>1898</v>
      </c>
      <c r="I161" s="20" t="n">
        <f aca="false">'Raw Data'!I161</f>
        <v>6</v>
      </c>
      <c r="J161" s="20" t="str">
        <f aca="false">'Raw Data'!J161</f>
        <v>radio/TV</v>
      </c>
      <c r="K161" s="21" t="n">
        <f aca="false">H161/I161</f>
        <v>316.333333333333</v>
      </c>
      <c r="L161" s="21" t="n">
        <f aca="false">100-MIN(K161/Assumptions!$B$14,1)*100</f>
        <v>20.9166666666667</v>
      </c>
      <c r="M161" s="21" t="n">
        <f aca="false">VLOOKUP(F161,Assumptions!$A$19:$B$23,2,0)</f>
        <v>40</v>
      </c>
      <c r="N161" s="21" t="n">
        <f aca="false">VLOOKUP(G161,Assumptions!$A$27:$B$30,2,0)</f>
        <v>50</v>
      </c>
      <c r="O161" s="21" t="n">
        <f aca="false">VLOOKUP(D161,Assumptions!$A$34:$B$37,2,0)</f>
        <v>33</v>
      </c>
      <c r="P161" s="21" t="n">
        <f aca="false">VLOOKUP(E161,Assumptions!$A$41:$B$43,2,0)</f>
        <v>100</v>
      </c>
      <c r="Q161" s="22" t="n">
        <f aca="false">L161*Assumptions!$B$7+M161*Assumptions!$B$8+N161*Assumptions!$B$9+O161*Assumptions!$B$10+P161*Assumptions!$B$11</f>
        <v>41.225</v>
      </c>
      <c r="R161" s="11" t="str">
        <f aca="false">IF(Q161&lt;=33,"High Risk",IF(Q161&lt;=66,"Medium Risk","Low Risk"))</f>
        <v>Medium Risk</v>
      </c>
    </row>
    <row r="162" customFormat="false" ht="15" hidden="false" customHeight="true" outlineLevel="0" collapsed="false">
      <c r="A162" s="20" t="n">
        <f aca="false">'Raw Data'!A162</f>
        <v>161</v>
      </c>
      <c r="B162" s="20" t="n">
        <f aca="false">'Raw Data'!B162</f>
        <v>36</v>
      </c>
      <c r="C162" s="20" t="str">
        <f aca="false">'Raw Data'!C162</f>
        <v>male</v>
      </c>
      <c r="D162" s="20" t="n">
        <f aca="false">'Raw Data'!D162</f>
        <v>2</v>
      </c>
      <c r="E162" s="20" t="str">
        <f aca="false">'Raw Data'!E162</f>
        <v>own</v>
      </c>
      <c r="F162" s="20" t="str">
        <f aca="false">'Raw Data'!F162</f>
        <v>moderate</v>
      </c>
      <c r="G162" s="20" t="str">
        <f aca="false">'Raw Data'!G162</f>
        <v>none</v>
      </c>
      <c r="H162" s="20" t="n">
        <f aca="false">'Raw Data'!H162</f>
        <v>2872</v>
      </c>
      <c r="I162" s="20" t="n">
        <f aca="false">'Raw Data'!I162</f>
        <v>24</v>
      </c>
      <c r="J162" s="20" t="str">
        <f aca="false">'Raw Data'!J162</f>
        <v>radio/TV</v>
      </c>
      <c r="K162" s="21" t="n">
        <f aca="false">H162/I162</f>
        <v>119.666666666667</v>
      </c>
      <c r="L162" s="21" t="n">
        <f aca="false">100-MIN(K162/Assumptions!$B$14,1)*100</f>
        <v>70.0833333333333</v>
      </c>
      <c r="M162" s="21" t="n">
        <f aca="false">VLOOKUP(F162,Assumptions!$A$19:$B$23,2,0)</f>
        <v>50</v>
      </c>
      <c r="N162" s="21" t="n">
        <f aca="false">VLOOKUP(G162,Assumptions!$A$27:$B$30,2,0)</f>
        <v>50</v>
      </c>
      <c r="O162" s="21" t="n">
        <f aca="false">VLOOKUP(D162,Assumptions!$A$34:$B$37,2,0)</f>
        <v>66</v>
      </c>
      <c r="P162" s="21" t="n">
        <f aca="false">VLOOKUP(E162,Assumptions!$A$41:$B$43,2,0)</f>
        <v>100</v>
      </c>
      <c r="Q162" s="22" t="n">
        <f aca="false">L162*Assumptions!$B$7+M162*Assumptions!$B$8+N162*Assumptions!$B$9+O162*Assumptions!$B$10+P162*Assumptions!$B$11</f>
        <v>63.425</v>
      </c>
      <c r="R162" s="11" t="str">
        <f aca="false">IF(Q162&lt;=33,"High Risk",IF(Q162&lt;=66,"Medium Risk","Low Risk"))</f>
        <v>Medium Risk</v>
      </c>
    </row>
    <row r="163" customFormat="false" ht="15" hidden="false" customHeight="true" outlineLevel="0" collapsed="false">
      <c r="A163" s="20" t="n">
        <f aca="false">'Raw Data'!A163</f>
        <v>162</v>
      </c>
      <c r="B163" s="20" t="n">
        <f aca="false">'Raw Data'!B163</f>
        <v>30</v>
      </c>
      <c r="C163" s="20" t="str">
        <f aca="false">'Raw Data'!C163</f>
        <v>female</v>
      </c>
      <c r="D163" s="20" t="n">
        <f aca="false">'Raw Data'!D163</f>
        <v>2</v>
      </c>
      <c r="E163" s="20" t="str">
        <f aca="false">'Raw Data'!E163</f>
        <v>own</v>
      </c>
      <c r="F163" s="20" t="str">
        <f aca="false">'Raw Data'!F163</f>
        <v>little</v>
      </c>
      <c r="G163" s="20" t="str">
        <f aca="false">'Raw Data'!G163</f>
        <v>none</v>
      </c>
      <c r="H163" s="20" t="n">
        <f aca="false">'Raw Data'!H163</f>
        <v>1055</v>
      </c>
      <c r="I163" s="20" t="n">
        <f aca="false">'Raw Data'!I163</f>
        <v>18</v>
      </c>
      <c r="J163" s="20" t="str">
        <f aca="false">'Raw Data'!J163</f>
        <v>car</v>
      </c>
      <c r="K163" s="21" t="n">
        <f aca="false">H163/I163</f>
        <v>58.6111111111111</v>
      </c>
      <c r="L163" s="21" t="n">
        <f aca="false">100-MIN(K163/Assumptions!$B$14,1)*100</f>
        <v>85.3472222222222</v>
      </c>
      <c r="M163" s="21" t="n">
        <f aca="false">VLOOKUP(F163,Assumptions!$A$19:$B$23,2,0)</f>
        <v>25</v>
      </c>
      <c r="N163" s="21" t="n">
        <f aca="false">VLOOKUP(G163,Assumptions!$A$27:$B$30,2,0)</f>
        <v>50</v>
      </c>
      <c r="O163" s="21" t="n">
        <f aca="false">VLOOKUP(D163,Assumptions!$A$34:$B$37,2,0)</f>
        <v>66</v>
      </c>
      <c r="P163" s="21" t="n">
        <f aca="false">VLOOKUP(E163,Assumptions!$A$41:$B$43,2,0)</f>
        <v>100</v>
      </c>
      <c r="Q163" s="22" t="n">
        <f aca="false">L163*Assumptions!$B$7+M163*Assumptions!$B$8+N163*Assumptions!$B$9+O163*Assumptions!$B$10+P163*Assumptions!$B$11</f>
        <v>61.7541666666667</v>
      </c>
      <c r="R163" s="11" t="str">
        <f aca="false">IF(Q163&lt;=33,"High Risk",IF(Q163&lt;=66,"Medium Risk","Low Risk"))</f>
        <v>Medium Risk</v>
      </c>
    </row>
    <row r="164" customFormat="false" ht="15" hidden="false" customHeight="true" outlineLevel="0" collapsed="false">
      <c r="A164" s="20" t="n">
        <f aca="false">'Raw Data'!A164</f>
        <v>163</v>
      </c>
      <c r="B164" s="20" t="n">
        <f aca="false">'Raw Data'!B164</f>
        <v>36</v>
      </c>
      <c r="C164" s="20" t="str">
        <f aca="false">'Raw Data'!C164</f>
        <v>male</v>
      </c>
      <c r="D164" s="20" t="n">
        <f aca="false">'Raw Data'!D164</f>
        <v>2</v>
      </c>
      <c r="E164" s="20" t="str">
        <f aca="false">'Raw Data'!E164</f>
        <v>own</v>
      </c>
      <c r="F164" s="20" t="str">
        <f aca="false">'Raw Data'!F164</f>
        <v>quite rich</v>
      </c>
      <c r="G164" s="20" t="str">
        <f aca="false">'Raw Data'!G164</f>
        <v>none</v>
      </c>
      <c r="H164" s="20" t="n">
        <f aca="false">'Raw Data'!H164</f>
        <v>1262</v>
      </c>
      <c r="I164" s="20" t="n">
        <f aca="false">'Raw Data'!I164</f>
        <v>15</v>
      </c>
      <c r="J164" s="20" t="str">
        <f aca="false">'Raw Data'!J164</f>
        <v>domestic appliances</v>
      </c>
      <c r="K164" s="21" t="n">
        <f aca="false">H164/I164</f>
        <v>84.1333333333333</v>
      </c>
      <c r="L164" s="21" t="n">
        <f aca="false">100-MIN(K164/Assumptions!$B$14,1)*100</f>
        <v>78.9666666666667</v>
      </c>
      <c r="M164" s="21" t="n">
        <f aca="false">VLOOKUP(F164,Assumptions!$A$19:$B$23,2,0)</f>
        <v>75</v>
      </c>
      <c r="N164" s="21" t="n">
        <f aca="false">VLOOKUP(G164,Assumptions!$A$27:$B$30,2,0)</f>
        <v>50</v>
      </c>
      <c r="O164" s="21" t="n">
        <f aca="false">VLOOKUP(D164,Assumptions!$A$34:$B$37,2,0)</f>
        <v>66</v>
      </c>
      <c r="P164" s="21" t="n">
        <f aca="false">VLOOKUP(E164,Assumptions!$A$41:$B$43,2,0)</f>
        <v>100</v>
      </c>
      <c r="Q164" s="22" t="n">
        <f aca="false">L164*Assumptions!$B$7+M164*Assumptions!$B$8+N164*Assumptions!$B$9+O164*Assumptions!$B$10+P164*Assumptions!$B$11</f>
        <v>72.34</v>
      </c>
      <c r="R164" s="11" t="str">
        <f aca="false">IF(Q164&lt;=33,"High Risk",IF(Q164&lt;=66,"Medium Risk","Low Risk"))</f>
        <v>Low Risk</v>
      </c>
    </row>
    <row r="165" customFormat="false" ht="15" hidden="false" customHeight="true" outlineLevel="0" collapsed="false">
      <c r="A165" s="20" t="n">
        <f aca="false">'Raw Data'!A165</f>
        <v>164</v>
      </c>
      <c r="B165" s="20" t="n">
        <f aca="false">'Raw Data'!B165</f>
        <v>70</v>
      </c>
      <c r="C165" s="20" t="str">
        <f aca="false">'Raw Data'!C165</f>
        <v>male</v>
      </c>
      <c r="D165" s="20" t="n">
        <f aca="false">'Raw Data'!D165</f>
        <v>3</v>
      </c>
      <c r="E165" s="20" t="str">
        <f aca="false">'Raw Data'!E165</f>
        <v>free</v>
      </c>
      <c r="F165" s="20" t="str">
        <f aca="false">'Raw Data'!F165</f>
        <v>little</v>
      </c>
      <c r="G165" s="20" t="str">
        <f aca="false">'Raw Data'!G165</f>
        <v>moderate</v>
      </c>
      <c r="H165" s="20" t="n">
        <f aca="false">'Raw Data'!H165</f>
        <v>7308</v>
      </c>
      <c r="I165" s="20" t="n">
        <f aca="false">'Raw Data'!I165</f>
        <v>10</v>
      </c>
      <c r="J165" s="20" t="str">
        <f aca="false">'Raw Data'!J165</f>
        <v>car</v>
      </c>
      <c r="K165" s="21" t="n">
        <f aca="false">H165/I165</f>
        <v>730.8</v>
      </c>
      <c r="L165" s="21" t="n">
        <f aca="false">100-MIN(K165/Assumptions!$B$14,1)*100</f>
        <v>0</v>
      </c>
      <c r="M165" s="21" t="n">
        <f aca="false">VLOOKUP(F165,Assumptions!$A$19:$B$23,2,0)</f>
        <v>25</v>
      </c>
      <c r="N165" s="21" t="n">
        <f aca="false">VLOOKUP(G165,Assumptions!$A$27:$B$30,2,0)</f>
        <v>60</v>
      </c>
      <c r="O165" s="21" t="n">
        <f aca="false">VLOOKUP(D165,Assumptions!$A$34:$B$37,2,0)</f>
        <v>100</v>
      </c>
      <c r="P165" s="21" t="n">
        <f aca="false">VLOOKUP(E165,Assumptions!$A$41:$B$43,2,0)</f>
        <v>60</v>
      </c>
      <c r="Q165" s="22" t="n">
        <f aca="false">L165*Assumptions!$B$7+M165*Assumptions!$B$8+N165*Assumptions!$B$9+O165*Assumptions!$B$10+P165*Assumptions!$B$11</f>
        <v>39.25</v>
      </c>
      <c r="R165" s="11" t="str">
        <f aca="false">IF(Q165&lt;=33,"High Risk",IF(Q165&lt;=66,"Medium Risk","Low Risk"))</f>
        <v>Medium Risk</v>
      </c>
    </row>
    <row r="166" customFormat="false" ht="15" hidden="false" customHeight="true" outlineLevel="0" collapsed="false">
      <c r="A166" s="20" t="n">
        <f aca="false">'Raw Data'!A166</f>
        <v>165</v>
      </c>
      <c r="B166" s="20" t="n">
        <f aca="false">'Raw Data'!B166</f>
        <v>36</v>
      </c>
      <c r="C166" s="20" t="str">
        <f aca="false">'Raw Data'!C166</f>
        <v>male</v>
      </c>
      <c r="D166" s="20" t="n">
        <f aca="false">'Raw Data'!D166</f>
        <v>2</v>
      </c>
      <c r="E166" s="20" t="str">
        <f aca="false">'Raw Data'!E166</f>
        <v>own</v>
      </c>
      <c r="F166" s="20" t="str">
        <f aca="false">'Raw Data'!F166</f>
        <v>quite rich</v>
      </c>
      <c r="G166" s="20" t="str">
        <f aca="false">'Raw Data'!G166</f>
        <v>none</v>
      </c>
      <c r="H166" s="20" t="n">
        <f aca="false">'Raw Data'!H166</f>
        <v>909</v>
      </c>
      <c r="I166" s="20" t="n">
        <f aca="false">'Raw Data'!I166</f>
        <v>36</v>
      </c>
      <c r="J166" s="20" t="str">
        <f aca="false">'Raw Data'!J166</f>
        <v>car</v>
      </c>
      <c r="K166" s="21" t="n">
        <f aca="false">H166/I166</f>
        <v>25.25</v>
      </c>
      <c r="L166" s="21" t="n">
        <f aca="false">100-MIN(K166/Assumptions!$B$14,1)*100</f>
        <v>93.6875</v>
      </c>
      <c r="M166" s="21" t="n">
        <f aca="false">VLOOKUP(F166,Assumptions!$A$19:$B$23,2,0)</f>
        <v>75</v>
      </c>
      <c r="N166" s="21" t="n">
        <f aca="false">VLOOKUP(G166,Assumptions!$A$27:$B$30,2,0)</f>
        <v>50</v>
      </c>
      <c r="O166" s="21" t="n">
        <f aca="false">VLOOKUP(D166,Assumptions!$A$34:$B$37,2,0)</f>
        <v>66</v>
      </c>
      <c r="P166" s="21" t="n">
        <f aca="false">VLOOKUP(E166,Assumptions!$A$41:$B$43,2,0)</f>
        <v>100</v>
      </c>
      <c r="Q166" s="22" t="n">
        <f aca="false">L166*Assumptions!$B$7+M166*Assumptions!$B$8+N166*Assumptions!$B$9+O166*Assumptions!$B$10+P166*Assumptions!$B$11</f>
        <v>76.75625</v>
      </c>
      <c r="R166" s="11" t="str">
        <f aca="false">IF(Q166&lt;=33,"High Risk",IF(Q166&lt;=66,"Medium Risk","Low Risk"))</f>
        <v>Low Risk</v>
      </c>
    </row>
    <row r="167" customFormat="false" ht="15" hidden="false" customHeight="true" outlineLevel="0" collapsed="false">
      <c r="A167" s="20" t="n">
        <f aca="false">'Raw Data'!A167</f>
        <v>166</v>
      </c>
      <c r="B167" s="20" t="n">
        <f aca="false">'Raw Data'!B167</f>
        <v>32</v>
      </c>
      <c r="C167" s="20" t="str">
        <f aca="false">'Raw Data'!C167</f>
        <v>male</v>
      </c>
      <c r="D167" s="20" t="n">
        <f aca="false">'Raw Data'!D167</f>
        <v>2</v>
      </c>
      <c r="E167" s="20" t="str">
        <f aca="false">'Raw Data'!E167</f>
        <v>own</v>
      </c>
      <c r="F167" s="20" t="str">
        <f aca="false">'Raw Data'!F167</f>
        <v>quite rich</v>
      </c>
      <c r="G167" s="20" t="str">
        <f aca="false">'Raw Data'!G167</f>
        <v>none</v>
      </c>
      <c r="H167" s="20" t="n">
        <f aca="false">'Raw Data'!H167</f>
        <v>2978</v>
      </c>
      <c r="I167" s="20" t="n">
        <f aca="false">'Raw Data'!I167</f>
        <v>6</v>
      </c>
      <c r="J167" s="20" t="str">
        <f aca="false">'Raw Data'!J167</f>
        <v>furniture/equipment</v>
      </c>
      <c r="K167" s="21" t="n">
        <f aca="false">H167/I167</f>
        <v>496.333333333333</v>
      </c>
      <c r="L167" s="21" t="n">
        <f aca="false">100-MIN(K167/Assumptions!$B$14,1)*100</f>
        <v>0</v>
      </c>
      <c r="M167" s="21" t="n">
        <f aca="false">VLOOKUP(F167,Assumptions!$A$19:$B$23,2,0)</f>
        <v>75</v>
      </c>
      <c r="N167" s="21" t="n">
        <f aca="false">VLOOKUP(G167,Assumptions!$A$27:$B$30,2,0)</f>
        <v>50</v>
      </c>
      <c r="O167" s="21" t="n">
        <f aca="false">VLOOKUP(D167,Assumptions!$A$34:$B$37,2,0)</f>
        <v>66</v>
      </c>
      <c r="P167" s="21" t="n">
        <f aca="false">VLOOKUP(E167,Assumptions!$A$41:$B$43,2,0)</f>
        <v>100</v>
      </c>
      <c r="Q167" s="22" t="n">
        <f aca="false">L167*Assumptions!$B$7+M167*Assumptions!$B$8+N167*Assumptions!$B$9+O167*Assumptions!$B$10+P167*Assumptions!$B$11</f>
        <v>48.65</v>
      </c>
      <c r="R167" s="11" t="str">
        <f aca="false">IF(Q167&lt;=33,"High Risk",IF(Q167&lt;=66,"Medium Risk","Low Risk"))</f>
        <v>Medium Risk</v>
      </c>
    </row>
    <row r="168" customFormat="false" ht="15" hidden="false" customHeight="true" outlineLevel="0" collapsed="false">
      <c r="A168" s="20" t="n">
        <f aca="false">'Raw Data'!A168</f>
        <v>167</v>
      </c>
      <c r="B168" s="20" t="n">
        <f aca="false">'Raw Data'!B168</f>
        <v>33</v>
      </c>
      <c r="C168" s="20" t="str">
        <f aca="false">'Raw Data'!C168</f>
        <v>female</v>
      </c>
      <c r="D168" s="20" t="n">
        <f aca="false">'Raw Data'!D168</f>
        <v>2</v>
      </c>
      <c r="E168" s="20" t="str">
        <f aca="false">'Raw Data'!E168</f>
        <v>own</v>
      </c>
      <c r="F168" s="20" t="str">
        <f aca="false">'Raw Data'!F168</f>
        <v>little</v>
      </c>
      <c r="G168" s="20" t="str">
        <f aca="false">'Raw Data'!G168</f>
        <v>little</v>
      </c>
      <c r="H168" s="20" t="n">
        <f aca="false">'Raw Data'!H168</f>
        <v>1131</v>
      </c>
      <c r="I168" s="20" t="n">
        <f aca="false">'Raw Data'!I168</f>
        <v>18</v>
      </c>
      <c r="J168" s="20" t="str">
        <f aca="false">'Raw Data'!J168</f>
        <v>furniture/equipment</v>
      </c>
      <c r="K168" s="21" t="n">
        <f aca="false">H168/I168</f>
        <v>62.8333333333333</v>
      </c>
      <c r="L168" s="21" t="n">
        <f aca="false">100-MIN(K168/Assumptions!$B$14,1)*100</f>
        <v>84.2916666666667</v>
      </c>
      <c r="M168" s="21" t="n">
        <f aca="false">VLOOKUP(F168,Assumptions!$A$19:$B$23,2,0)</f>
        <v>25</v>
      </c>
      <c r="N168" s="21" t="n">
        <f aca="false">VLOOKUP(G168,Assumptions!$A$27:$B$30,2,0)</f>
        <v>25</v>
      </c>
      <c r="O168" s="21" t="n">
        <f aca="false">VLOOKUP(D168,Assumptions!$A$34:$B$37,2,0)</f>
        <v>66</v>
      </c>
      <c r="P168" s="21" t="n">
        <f aca="false">VLOOKUP(E168,Assumptions!$A$41:$B$43,2,0)</f>
        <v>100</v>
      </c>
      <c r="Q168" s="22" t="n">
        <f aca="false">L168*Assumptions!$B$7+M168*Assumptions!$B$8+N168*Assumptions!$B$9+O168*Assumptions!$B$10+P168*Assumptions!$B$11</f>
        <v>56.4375</v>
      </c>
      <c r="R168" s="11" t="str">
        <f aca="false">IF(Q168&lt;=33,"High Risk",IF(Q168&lt;=66,"Medium Risk","Low Risk"))</f>
        <v>Medium Risk</v>
      </c>
    </row>
    <row r="169" customFormat="false" ht="15" hidden="false" customHeight="true" outlineLevel="0" collapsed="false">
      <c r="A169" s="20" t="n">
        <f aca="false">'Raw Data'!A169</f>
        <v>168</v>
      </c>
      <c r="B169" s="20" t="n">
        <f aca="false">'Raw Data'!B169</f>
        <v>20</v>
      </c>
      <c r="C169" s="20" t="str">
        <f aca="false">'Raw Data'!C169</f>
        <v>female</v>
      </c>
      <c r="D169" s="20" t="n">
        <f aca="false">'Raw Data'!D169</f>
        <v>2</v>
      </c>
      <c r="E169" s="20" t="str">
        <f aca="false">'Raw Data'!E169</f>
        <v>own</v>
      </c>
      <c r="F169" s="20" t="str">
        <f aca="false">'Raw Data'!F169</f>
        <v>rich</v>
      </c>
      <c r="G169" s="20" t="str">
        <f aca="false">'Raw Data'!G169</f>
        <v>moderate</v>
      </c>
      <c r="H169" s="20" t="n">
        <f aca="false">'Raw Data'!H169</f>
        <v>1577</v>
      </c>
      <c r="I169" s="20" t="n">
        <f aca="false">'Raw Data'!I169</f>
        <v>11</v>
      </c>
      <c r="J169" s="20" t="str">
        <f aca="false">'Raw Data'!J169</f>
        <v>furniture/equipment</v>
      </c>
      <c r="K169" s="21" t="n">
        <f aca="false">H169/I169</f>
        <v>143.363636363636</v>
      </c>
      <c r="L169" s="21" t="n">
        <f aca="false">100-MIN(K169/Assumptions!$B$14,1)*100</f>
        <v>64.1590909090909</v>
      </c>
      <c r="M169" s="21" t="n">
        <f aca="false">VLOOKUP(F169,Assumptions!$A$19:$B$23,2,0)</f>
        <v>100</v>
      </c>
      <c r="N169" s="21" t="n">
        <f aca="false">VLOOKUP(G169,Assumptions!$A$27:$B$30,2,0)</f>
        <v>60</v>
      </c>
      <c r="O169" s="21" t="n">
        <f aca="false">VLOOKUP(D169,Assumptions!$A$34:$B$37,2,0)</f>
        <v>66</v>
      </c>
      <c r="P169" s="21" t="n">
        <f aca="false">VLOOKUP(E169,Assumptions!$A$41:$B$43,2,0)</f>
        <v>100</v>
      </c>
      <c r="Q169" s="22" t="n">
        <f aca="false">L169*Assumptions!$B$7+M169*Assumptions!$B$8+N169*Assumptions!$B$9+O169*Assumptions!$B$10+P169*Assumptions!$B$11</f>
        <v>76.1477272727273</v>
      </c>
      <c r="R169" s="11" t="str">
        <f aca="false">IF(Q169&lt;=33,"High Risk",IF(Q169&lt;=66,"Medium Risk","Low Risk"))</f>
        <v>Low Risk</v>
      </c>
    </row>
    <row r="170" customFormat="false" ht="15" hidden="false" customHeight="true" outlineLevel="0" collapsed="false">
      <c r="A170" s="20" t="n">
        <f aca="false">'Raw Data'!A170</f>
        <v>169</v>
      </c>
      <c r="B170" s="20" t="n">
        <f aca="false">'Raw Data'!B170</f>
        <v>25</v>
      </c>
      <c r="C170" s="20" t="str">
        <f aca="false">'Raw Data'!C170</f>
        <v>female</v>
      </c>
      <c r="D170" s="20" t="n">
        <f aca="false">'Raw Data'!D170</f>
        <v>2</v>
      </c>
      <c r="E170" s="20" t="str">
        <f aca="false">'Raw Data'!E170</f>
        <v>rent</v>
      </c>
      <c r="F170" s="20" t="str">
        <f aca="false">'Raw Data'!F170</f>
        <v>little</v>
      </c>
      <c r="G170" s="20" t="str">
        <f aca="false">'Raw Data'!G170</f>
        <v>none</v>
      </c>
      <c r="H170" s="20" t="n">
        <f aca="false">'Raw Data'!H170</f>
        <v>3972</v>
      </c>
      <c r="I170" s="20" t="n">
        <f aca="false">'Raw Data'!I170</f>
        <v>24</v>
      </c>
      <c r="J170" s="20" t="str">
        <f aca="false">'Raw Data'!J170</f>
        <v>furniture/equipment</v>
      </c>
      <c r="K170" s="21" t="n">
        <f aca="false">H170/I170</f>
        <v>165.5</v>
      </c>
      <c r="L170" s="21" t="n">
        <f aca="false">100-MIN(K170/Assumptions!$B$14,1)*100</f>
        <v>58.625</v>
      </c>
      <c r="M170" s="21" t="n">
        <f aca="false">VLOOKUP(F170,Assumptions!$A$19:$B$23,2,0)</f>
        <v>25</v>
      </c>
      <c r="N170" s="21" t="n">
        <f aca="false">VLOOKUP(G170,Assumptions!$A$27:$B$30,2,0)</f>
        <v>50</v>
      </c>
      <c r="O170" s="21" t="n">
        <f aca="false">VLOOKUP(D170,Assumptions!$A$34:$B$37,2,0)</f>
        <v>66</v>
      </c>
      <c r="P170" s="21" t="n">
        <f aca="false">VLOOKUP(E170,Assumptions!$A$41:$B$43,2,0)</f>
        <v>30</v>
      </c>
      <c r="Q170" s="22" t="n">
        <f aca="false">L170*Assumptions!$B$7+M170*Assumptions!$B$8+N170*Assumptions!$B$9+O170*Assumptions!$B$10+P170*Assumptions!$B$11</f>
        <v>46.7375</v>
      </c>
      <c r="R170" s="11" t="str">
        <f aca="false">IF(Q170&lt;=33,"High Risk",IF(Q170&lt;=66,"Medium Risk","Low Risk"))</f>
        <v>Medium Risk</v>
      </c>
    </row>
    <row r="171" customFormat="false" ht="15" hidden="false" customHeight="true" outlineLevel="0" collapsed="false">
      <c r="A171" s="20" t="n">
        <f aca="false">'Raw Data'!A171</f>
        <v>170</v>
      </c>
      <c r="B171" s="20" t="n">
        <f aca="false">'Raw Data'!B171</f>
        <v>31</v>
      </c>
      <c r="C171" s="20" t="str">
        <f aca="false">'Raw Data'!C171</f>
        <v>male</v>
      </c>
      <c r="D171" s="20" t="n">
        <f aca="false">'Raw Data'!D171</f>
        <v>2</v>
      </c>
      <c r="E171" s="20" t="str">
        <f aca="false">'Raw Data'!E171</f>
        <v>own</v>
      </c>
      <c r="F171" s="20" t="str">
        <f aca="false">'Raw Data'!F171</f>
        <v>little</v>
      </c>
      <c r="G171" s="20" t="str">
        <f aca="false">'Raw Data'!G171</f>
        <v>moderate</v>
      </c>
      <c r="H171" s="20" t="n">
        <f aca="false">'Raw Data'!H171</f>
        <v>1935</v>
      </c>
      <c r="I171" s="20" t="n">
        <f aca="false">'Raw Data'!I171</f>
        <v>24</v>
      </c>
      <c r="J171" s="20" t="str">
        <f aca="false">'Raw Data'!J171</f>
        <v>business</v>
      </c>
      <c r="K171" s="21" t="n">
        <f aca="false">H171/I171</f>
        <v>80.625</v>
      </c>
      <c r="L171" s="21" t="n">
        <f aca="false">100-MIN(K171/Assumptions!$B$14,1)*100</f>
        <v>79.84375</v>
      </c>
      <c r="M171" s="21" t="n">
        <f aca="false">VLOOKUP(F171,Assumptions!$A$19:$B$23,2,0)</f>
        <v>25</v>
      </c>
      <c r="N171" s="21" t="n">
        <f aca="false">VLOOKUP(G171,Assumptions!$A$27:$B$30,2,0)</f>
        <v>60</v>
      </c>
      <c r="O171" s="21" t="n">
        <f aca="false">VLOOKUP(D171,Assumptions!$A$34:$B$37,2,0)</f>
        <v>66</v>
      </c>
      <c r="P171" s="21" t="n">
        <f aca="false">VLOOKUP(E171,Assumptions!$A$41:$B$43,2,0)</f>
        <v>100</v>
      </c>
      <c r="Q171" s="22" t="n">
        <f aca="false">L171*Assumptions!$B$7+M171*Assumptions!$B$8+N171*Assumptions!$B$9+O171*Assumptions!$B$10+P171*Assumptions!$B$11</f>
        <v>62.103125</v>
      </c>
      <c r="R171" s="11" t="str">
        <f aca="false">IF(Q171&lt;=33,"High Risk",IF(Q171&lt;=66,"Medium Risk","Low Risk"))</f>
        <v>Medium Risk</v>
      </c>
    </row>
    <row r="172" customFormat="false" ht="15" hidden="false" customHeight="true" outlineLevel="0" collapsed="false">
      <c r="A172" s="20" t="n">
        <f aca="false">'Raw Data'!A172</f>
        <v>171</v>
      </c>
      <c r="B172" s="20" t="n">
        <f aca="false">'Raw Data'!B172</f>
        <v>33</v>
      </c>
      <c r="C172" s="20" t="str">
        <f aca="false">'Raw Data'!C172</f>
        <v>male</v>
      </c>
      <c r="D172" s="20" t="n">
        <f aca="false">'Raw Data'!D172</f>
        <v>2</v>
      </c>
      <c r="E172" s="20" t="str">
        <f aca="false">'Raw Data'!E172</f>
        <v>rent</v>
      </c>
      <c r="F172" s="20" t="str">
        <f aca="false">'Raw Data'!F172</f>
        <v>little</v>
      </c>
      <c r="G172" s="20" t="str">
        <f aca="false">'Raw Data'!G172</f>
        <v>little</v>
      </c>
      <c r="H172" s="20" t="n">
        <f aca="false">'Raw Data'!H172</f>
        <v>950</v>
      </c>
      <c r="I172" s="20" t="n">
        <f aca="false">'Raw Data'!I172</f>
        <v>15</v>
      </c>
      <c r="J172" s="20" t="str">
        <f aca="false">'Raw Data'!J172</f>
        <v>car</v>
      </c>
      <c r="K172" s="21" t="n">
        <f aca="false">H172/I172</f>
        <v>63.3333333333333</v>
      </c>
      <c r="L172" s="21" t="n">
        <f aca="false">100-MIN(K172/Assumptions!$B$14,1)*100</f>
        <v>84.1666666666667</v>
      </c>
      <c r="M172" s="21" t="n">
        <f aca="false">VLOOKUP(F172,Assumptions!$A$19:$B$23,2,0)</f>
        <v>25</v>
      </c>
      <c r="N172" s="21" t="n">
        <f aca="false">VLOOKUP(G172,Assumptions!$A$27:$B$30,2,0)</f>
        <v>25</v>
      </c>
      <c r="O172" s="21" t="n">
        <f aca="false">VLOOKUP(D172,Assumptions!$A$34:$B$37,2,0)</f>
        <v>66</v>
      </c>
      <c r="P172" s="21" t="n">
        <f aca="false">VLOOKUP(E172,Assumptions!$A$41:$B$43,2,0)</f>
        <v>30</v>
      </c>
      <c r="Q172" s="22" t="n">
        <f aca="false">L172*Assumptions!$B$7+M172*Assumptions!$B$8+N172*Assumptions!$B$9+O172*Assumptions!$B$10+P172*Assumptions!$B$11</f>
        <v>49.4</v>
      </c>
      <c r="R172" s="11" t="str">
        <f aca="false">IF(Q172&lt;=33,"High Risk",IF(Q172&lt;=66,"Medium Risk","Low Risk"))</f>
        <v>Medium Risk</v>
      </c>
    </row>
    <row r="173" customFormat="false" ht="15" hidden="false" customHeight="true" outlineLevel="0" collapsed="false">
      <c r="A173" s="20" t="n">
        <f aca="false">'Raw Data'!A173</f>
        <v>172</v>
      </c>
      <c r="B173" s="20" t="n">
        <f aca="false">'Raw Data'!B173</f>
        <v>26</v>
      </c>
      <c r="C173" s="20" t="str">
        <f aca="false">'Raw Data'!C173</f>
        <v>female</v>
      </c>
      <c r="D173" s="20" t="n">
        <f aca="false">'Raw Data'!D173</f>
        <v>2</v>
      </c>
      <c r="E173" s="20" t="str">
        <f aca="false">'Raw Data'!E173</f>
        <v>own</v>
      </c>
      <c r="F173" s="20" t="str">
        <f aca="false">'Raw Data'!F173</f>
        <v>little</v>
      </c>
      <c r="G173" s="20" t="str">
        <f aca="false">'Raw Data'!G173</f>
        <v>none</v>
      </c>
      <c r="H173" s="20" t="n">
        <f aca="false">'Raw Data'!H173</f>
        <v>763</v>
      </c>
      <c r="I173" s="20" t="n">
        <f aca="false">'Raw Data'!I173</f>
        <v>12</v>
      </c>
      <c r="J173" s="20" t="str">
        <f aca="false">'Raw Data'!J173</f>
        <v>furniture/equipment</v>
      </c>
      <c r="K173" s="21" t="n">
        <f aca="false">H173/I173</f>
        <v>63.5833333333333</v>
      </c>
      <c r="L173" s="21" t="n">
        <f aca="false">100-MIN(K173/Assumptions!$B$14,1)*100</f>
        <v>84.1041666666667</v>
      </c>
      <c r="M173" s="21" t="n">
        <f aca="false">VLOOKUP(F173,Assumptions!$A$19:$B$23,2,0)</f>
        <v>25</v>
      </c>
      <c r="N173" s="21" t="n">
        <f aca="false">VLOOKUP(G173,Assumptions!$A$27:$B$30,2,0)</f>
        <v>50</v>
      </c>
      <c r="O173" s="21" t="n">
        <f aca="false">VLOOKUP(D173,Assumptions!$A$34:$B$37,2,0)</f>
        <v>66</v>
      </c>
      <c r="P173" s="21" t="n">
        <f aca="false">VLOOKUP(E173,Assumptions!$A$41:$B$43,2,0)</f>
        <v>100</v>
      </c>
      <c r="Q173" s="22" t="n">
        <f aca="false">L173*Assumptions!$B$7+M173*Assumptions!$B$8+N173*Assumptions!$B$9+O173*Assumptions!$B$10+P173*Assumptions!$B$11</f>
        <v>61.38125</v>
      </c>
      <c r="R173" s="11" t="str">
        <f aca="false">IF(Q173&lt;=33,"High Risk",IF(Q173&lt;=66,"Medium Risk","Low Risk"))</f>
        <v>Medium Risk</v>
      </c>
    </row>
    <row r="174" customFormat="false" ht="15" hidden="false" customHeight="true" outlineLevel="0" collapsed="false">
      <c r="A174" s="20" t="n">
        <f aca="false">'Raw Data'!A174</f>
        <v>173</v>
      </c>
      <c r="B174" s="20" t="n">
        <f aca="false">'Raw Data'!B174</f>
        <v>34</v>
      </c>
      <c r="C174" s="20" t="str">
        <f aca="false">'Raw Data'!C174</f>
        <v>female</v>
      </c>
      <c r="D174" s="20" t="n">
        <f aca="false">'Raw Data'!D174</f>
        <v>3</v>
      </c>
      <c r="E174" s="20" t="str">
        <f aca="false">'Raw Data'!E174</f>
        <v>own</v>
      </c>
      <c r="F174" s="20" t="str">
        <f aca="false">'Raw Data'!F174</f>
        <v>little</v>
      </c>
      <c r="G174" s="20" t="str">
        <f aca="false">'Raw Data'!G174</f>
        <v>moderate</v>
      </c>
      <c r="H174" s="20" t="n">
        <f aca="false">'Raw Data'!H174</f>
        <v>2064</v>
      </c>
      <c r="I174" s="20" t="n">
        <f aca="false">'Raw Data'!I174</f>
        <v>24</v>
      </c>
      <c r="J174" s="20" t="str">
        <f aca="false">'Raw Data'!J174</f>
        <v>furniture/equipment</v>
      </c>
      <c r="K174" s="21" t="n">
        <f aca="false">H174/I174</f>
        <v>86</v>
      </c>
      <c r="L174" s="21" t="n">
        <f aca="false">100-MIN(K174/Assumptions!$B$14,1)*100</f>
        <v>78.5</v>
      </c>
      <c r="M174" s="21" t="n">
        <f aca="false">VLOOKUP(F174,Assumptions!$A$19:$B$23,2,0)</f>
        <v>25</v>
      </c>
      <c r="N174" s="21" t="n">
        <f aca="false">VLOOKUP(G174,Assumptions!$A$27:$B$30,2,0)</f>
        <v>60</v>
      </c>
      <c r="O174" s="21" t="n">
        <f aca="false">VLOOKUP(D174,Assumptions!$A$34:$B$37,2,0)</f>
        <v>100</v>
      </c>
      <c r="P174" s="21" t="n">
        <f aca="false">VLOOKUP(E174,Assumptions!$A$41:$B$43,2,0)</f>
        <v>100</v>
      </c>
      <c r="Q174" s="22" t="n">
        <f aca="false">L174*Assumptions!$B$7+M174*Assumptions!$B$8+N174*Assumptions!$B$9+O174*Assumptions!$B$10+P174*Assumptions!$B$11</f>
        <v>66.8</v>
      </c>
      <c r="R174" s="11" t="str">
        <f aca="false">IF(Q174&lt;=33,"High Risk",IF(Q174&lt;=66,"Medium Risk","Low Risk"))</f>
        <v>Low Risk</v>
      </c>
    </row>
    <row r="175" customFormat="false" ht="15" hidden="false" customHeight="true" outlineLevel="0" collapsed="false">
      <c r="A175" s="20" t="n">
        <f aca="false">'Raw Data'!A175</f>
        <v>174</v>
      </c>
      <c r="B175" s="20" t="n">
        <f aca="false">'Raw Data'!B175</f>
        <v>33</v>
      </c>
      <c r="C175" s="20" t="str">
        <f aca="false">'Raw Data'!C175</f>
        <v>male</v>
      </c>
      <c r="D175" s="20" t="n">
        <f aca="false">'Raw Data'!D175</f>
        <v>2</v>
      </c>
      <c r="E175" s="20" t="str">
        <f aca="false">'Raw Data'!E175</f>
        <v>own</v>
      </c>
      <c r="F175" s="20" t="str">
        <f aca="false">'Raw Data'!F175</f>
        <v>little</v>
      </c>
      <c r="G175" s="20" t="str">
        <f aca="false">'Raw Data'!G175</f>
        <v>moderate</v>
      </c>
      <c r="H175" s="20" t="n">
        <f aca="false">'Raw Data'!H175</f>
        <v>1414</v>
      </c>
      <c r="I175" s="20" t="n">
        <f aca="false">'Raw Data'!I175</f>
        <v>8</v>
      </c>
      <c r="J175" s="20" t="str">
        <f aca="false">'Raw Data'!J175</f>
        <v>radio/TV</v>
      </c>
      <c r="K175" s="21" t="n">
        <f aca="false">H175/I175</f>
        <v>176.75</v>
      </c>
      <c r="L175" s="21" t="n">
        <f aca="false">100-MIN(K175/Assumptions!$B$14,1)*100</f>
        <v>55.8125</v>
      </c>
      <c r="M175" s="21" t="n">
        <f aca="false">VLOOKUP(F175,Assumptions!$A$19:$B$23,2,0)</f>
        <v>25</v>
      </c>
      <c r="N175" s="21" t="n">
        <f aca="false">VLOOKUP(G175,Assumptions!$A$27:$B$30,2,0)</f>
        <v>60</v>
      </c>
      <c r="O175" s="21" t="n">
        <f aca="false">VLOOKUP(D175,Assumptions!$A$34:$B$37,2,0)</f>
        <v>66</v>
      </c>
      <c r="P175" s="21" t="n">
        <f aca="false">VLOOKUP(E175,Assumptions!$A$41:$B$43,2,0)</f>
        <v>100</v>
      </c>
      <c r="Q175" s="22" t="n">
        <f aca="false">L175*Assumptions!$B$7+M175*Assumptions!$B$8+N175*Assumptions!$B$9+O175*Assumptions!$B$10+P175*Assumptions!$B$11</f>
        <v>54.89375</v>
      </c>
      <c r="R175" s="11" t="str">
        <f aca="false">IF(Q175&lt;=33,"High Risk",IF(Q175&lt;=66,"Medium Risk","Low Risk"))</f>
        <v>Medium Risk</v>
      </c>
    </row>
    <row r="176" customFormat="false" ht="15" hidden="false" customHeight="true" outlineLevel="0" collapsed="false">
      <c r="A176" s="20" t="n">
        <f aca="false">'Raw Data'!A176</f>
        <v>175</v>
      </c>
      <c r="B176" s="20" t="n">
        <f aca="false">'Raw Data'!B176</f>
        <v>26</v>
      </c>
      <c r="C176" s="20" t="str">
        <f aca="false">'Raw Data'!C176</f>
        <v>male</v>
      </c>
      <c r="D176" s="20" t="n">
        <f aca="false">'Raw Data'!D176</f>
        <v>2</v>
      </c>
      <c r="E176" s="20" t="str">
        <f aca="false">'Raw Data'!E176</f>
        <v>own</v>
      </c>
      <c r="F176" s="20" t="str">
        <f aca="false">'Raw Data'!F176</f>
        <v>little</v>
      </c>
      <c r="G176" s="20" t="str">
        <f aca="false">'Raw Data'!G176</f>
        <v>little</v>
      </c>
      <c r="H176" s="20" t="n">
        <f aca="false">'Raw Data'!H176</f>
        <v>3414</v>
      </c>
      <c r="I176" s="20" t="n">
        <f aca="false">'Raw Data'!I176</f>
        <v>21</v>
      </c>
      <c r="J176" s="20" t="str">
        <f aca="false">'Raw Data'!J176</f>
        <v>education</v>
      </c>
      <c r="K176" s="21" t="n">
        <f aca="false">H176/I176</f>
        <v>162.571428571429</v>
      </c>
      <c r="L176" s="21" t="n">
        <f aca="false">100-MIN(K176/Assumptions!$B$14,1)*100</f>
        <v>59.3571428571429</v>
      </c>
      <c r="M176" s="21" t="n">
        <f aca="false">VLOOKUP(F176,Assumptions!$A$19:$B$23,2,0)</f>
        <v>25</v>
      </c>
      <c r="N176" s="21" t="n">
        <f aca="false">VLOOKUP(G176,Assumptions!$A$27:$B$30,2,0)</f>
        <v>25</v>
      </c>
      <c r="O176" s="21" t="n">
        <f aca="false">VLOOKUP(D176,Assumptions!$A$34:$B$37,2,0)</f>
        <v>66</v>
      </c>
      <c r="P176" s="21" t="n">
        <f aca="false">VLOOKUP(E176,Assumptions!$A$41:$B$43,2,0)</f>
        <v>100</v>
      </c>
      <c r="Q176" s="22" t="n">
        <f aca="false">L176*Assumptions!$B$7+M176*Assumptions!$B$8+N176*Assumptions!$B$9+O176*Assumptions!$B$10+P176*Assumptions!$B$11</f>
        <v>48.9571428571429</v>
      </c>
      <c r="R176" s="11" t="str">
        <f aca="false">IF(Q176&lt;=33,"High Risk",IF(Q176&lt;=66,"Medium Risk","Low Risk"))</f>
        <v>Medium Risk</v>
      </c>
    </row>
    <row r="177" customFormat="false" ht="15" hidden="false" customHeight="true" outlineLevel="0" collapsed="false">
      <c r="A177" s="20" t="n">
        <f aca="false">'Raw Data'!A177</f>
        <v>176</v>
      </c>
      <c r="B177" s="20" t="n">
        <f aca="false">'Raw Data'!B177</f>
        <v>53</v>
      </c>
      <c r="C177" s="20" t="str">
        <f aca="false">'Raw Data'!C177</f>
        <v>female</v>
      </c>
      <c r="D177" s="20" t="n">
        <f aca="false">'Raw Data'!D177</f>
        <v>3</v>
      </c>
      <c r="E177" s="20" t="str">
        <f aca="false">'Raw Data'!E177</f>
        <v>own</v>
      </c>
      <c r="F177" s="20" t="str">
        <f aca="false">'Raw Data'!F177</f>
        <v>none</v>
      </c>
      <c r="G177" s="20" t="str">
        <f aca="false">'Raw Data'!G177</f>
        <v>none</v>
      </c>
      <c r="H177" s="20" t="n">
        <f aca="false">'Raw Data'!H177</f>
        <v>7485</v>
      </c>
      <c r="I177" s="20" t="n">
        <f aca="false">'Raw Data'!I177</f>
        <v>30</v>
      </c>
      <c r="J177" s="20" t="str">
        <f aca="false">'Raw Data'!J177</f>
        <v>car</v>
      </c>
      <c r="K177" s="21" t="n">
        <f aca="false">H177/I177</f>
        <v>249.5</v>
      </c>
      <c r="L177" s="21" t="n">
        <f aca="false">100-MIN(K177/Assumptions!$B$14,1)*100</f>
        <v>37.625</v>
      </c>
      <c r="M177" s="21" t="n">
        <f aca="false">VLOOKUP(F177,Assumptions!$A$19:$B$23,2,0)</f>
        <v>40</v>
      </c>
      <c r="N177" s="21" t="n">
        <f aca="false">VLOOKUP(G177,Assumptions!$A$27:$B$30,2,0)</f>
        <v>50</v>
      </c>
      <c r="O177" s="21" t="n">
        <f aca="false">VLOOKUP(D177,Assumptions!$A$34:$B$37,2,0)</f>
        <v>100</v>
      </c>
      <c r="P177" s="21" t="n">
        <f aca="false">VLOOKUP(E177,Assumptions!$A$41:$B$43,2,0)</f>
        <v>100</v>
      </c>
      <c r="Q177" s="22" t="n">
        <f aca="false">L177*Assumptions!$B$7+M177*Assumptions!$B$8+N177*Assumptions!$B$9+O177*Assumptions!$B$10+P177*Assumptions!$B$11</f>
        <v>56.2875</v>
      </c>
      <c r="R177" s="11" t="str">
        <f aca="false">IF(Q177&lt;=33,"High Risk",IF(Q177&lt;=66,"Medium Risk","Low Risk"))</f>
        <v>Medium Risk</v>
      </c>
    </row>
    <row r="178" customFormat="false" ht="15" hidden="false" customHeight="true" outlineLevel="0" collapsed="false">
      <c r="A178" s="20" t="n">
        <f aca="false">'Raw Data'!A178</f>
        <v>177</v>
      </c>
      <c r="B178" s="20" t="n">
        <f aca="false">'Raw Data'!B178</f>
        <v>42</v>
      </c>
      <c r="C178" s="20" t="str">
        <f aca="false">'Raw Data'!C178</f>
        <v>male</v>
      </c>
      <c r="D178" s="20" t="n">
        <f aca="false">'Raw Data'!D178</f>
        <v>2</v>
      </c>
      <c r="E178" s="20" t="str">
        <f aca="false">'Raw Data'!E178</f>
        <v>own</v>
      </c>
      <c r="F178" s="20" t="str">
        <f aca="false">'Raw Data'!F178</f>
        <v>little</v>
      </c>
      <c r="G178" s="20" t="str">
        <f aca="false">'Raw Data'!G178</f>
        <v>little</v>
      </c>
      <c r="H178" s="20" t="n">
        <f aca="false">'Raw Data'!H178</f>
        <v>2577</v>
      </c>
      <c r="I178" s="20" t="n">
        <f aca="false">'Raw Data'!I178</f>
        <v>12</v>
      </c>
      <c r="J178" s="20" t="str">
        <f aca="false">'Raw Data'!J178</f>
        <v>furniture/equipment</v>
      </c>
      <c r="K178" s="21" t="n">
        <f aca="false">H178/I178</f>
        <v>214.75</v>
      </c>
      <c r="L178" s="21" t="n">
        <f aca="false">100-MIN(K178/Assumptions!$B$14,1)*100</f>
        <v>46.3125</v>
      </c>
      <c r="M178" s="21" t="n">
        <f aca="false">VLOOKUP(F178,Assumptions!$A$19:$B$23,2,0)</f>
        <v>25</v>
      </c>
      <c r="N178" s="21" t="n">
        <f aca="false">VLOOKUP(G178,Assumptions!$A$27:$B$30,2,0)</f>
        <v>25</v>
      </c>
      <c r="O178" s="21" t="n">
        <f aca="false">VLOOKUP(D178,Assumptions!$A$34:$B$37,2,0)</f>
        <v>66</v>
      </c>
      <c r="P178" s="21" t="n">
        <f aca="false">VLOOKUP(E178,Assumptions!$A$41:$B$43,2,0)</f>
        <v>100</v>
      </c>
      <c r="Q178" s="22" t="n">
        <f aca="false">L178*Assumptions!$B$7+M178*Assumptions!$B$8+N178*Assumptions!$B$9+O178*Assumptions!$B$10+P178*Assumptions!$B$11</f>
        <v>45.04375</v>
      </c>
      <c r="R178" s="11" t="str">
        <f aca="false">IF(Q178&lt;=33,"High Risk",IF(Q178&lt;=66,"Medium Risk","Low Risk"))</f>
        <v>Medium Risk</v>
      </c>
    </row>
    <row r="179" customFormat="false" ht="15" hidden="false" customHeight="true" outlineLevel="0" collapsed="false">
      <c r="A179" s="20" t="n">
        <f aca="false">'Raw Data'!A179</f>
        <v>178</v>
      </c>
      <c r="B179" s="20" t="n">
        <f aca="false">'Raw Data'!B179</f>
        <v>52</v>
      </c>
      <c r="C179" s="20" t="str">
        <f aca="false">'Raw Data'!C179</f>
        <v>male</v>
      </c>
      <c r="D179" s="20" t="n">
        <f aca="false">'Raw Data'!D179</f>
        <v>2</v>
      </c>
      <c r="E179" s="20" t="str">
        <f aca="false">'Raw Data'!E179</f>
        <v>own</v>
      </c>
      <c r="F179" s="20" t="str">
        <f aca="false">'Raw Data'!F179</f>
        <v>quite rich</v>
      </c>
      <c r="G179" s="20" t="str">
        <f aca="false">'Raw Data'!G179</f>
        <v>little</v>
      </c>
      <c r="H179" s="20" t="n">
        <f aca="false">'Raw Data'!H179</f>
        <v>338</v>
      </c>
      <c r="I179" s="20" t="n">
        <f aca="false">'Raw Data'!I179</f>
        <v>6</v>
      </c>
      <c r="J179" s="20" t="str">
        <f aca="false">'Raw Data'!J179</f>
        <v>radio/TV</v>
      </c>
      <c r="K179" s="21" t="n">
        <f aca="false">H179/I179</f>
        <v>56.3333333333333</v>
      </c>
      <c r="L179" s="21" t="n">
        <f aca="false">100-MIN(K179/Assumptions!$B$14,1)*100</f>
        <v>85.9166666666667</v>
      </c>
      <c r="M179" s="21" t="n">
        <f aca="false">VLOOKUP(F179,Assumptions!$A$19:$B$23,2,0)</f>
        <v>75</v>
      </c>
      <c r="N179" s="21" t="n">
        <f aca="false">VLOOKUP(G179,Assumptions!$A$27:$B$30,2,0)</f>
        <v>25</v>
      </c>
      <c r="O179" s="21" t="n">
        <f aca="false">VLOOKUP(D179,Assumptions!$A$34:$B$37,2,0)</f>
        <v>66</v>
      </c>
      <c r="P179" s="21" t="n">
        <f aca="false">VLOOKUP(E179,Assumptions!$A$41:$B$43,2,0)</f>
        <v>100</v>
      </c>
      <c r="Q179" s="22" t="n">
        <f aca="false">L179*Assumptions!$B$7+M179*Assumptions!$B$8+N179*Assumptions!$B$9+O179*Assumptions!$B$10+P179*Assumptions!$B$11</f>
        <v>69.425</v>
      </c>
      <c r="R179" s="11" t="str">
        <f aca="false">IF(Q179&lt;=33,"High Risk",IF(Q179&lt;=66,"Medium Risk","Low Risk"))</f>
        <v>Low Risk</v>
      </c>
    </row>
    <row r="180" customFormat="false" ht="15" hidden="false" customHeight="true" outlineLevel="0" collapsed="false">
      <c r="A180" s="20" t="n">
        <f aca="false">'Raw Data'!A180</f>
        <v>179</v>
      </c>
      <c r="B180" s="20" t="n">
        <f aca="false">'Raw Data'!B180</f>
        <v>31</v>
      </c>
      <c r="C180" s="20" t="str">
        <f aca="false">'Raw Data'!C180</f>
        <v>male</v>
      </c>
      <c r="D180" s="20" t="n">
        <f aca="false">'Raw Data'!D180</f>
        <v>3</v>
      </c>
      <c r="E180" s="20" t="str">
        <f aca="false">'Raw Data'!E180</f>
        <v>rent</v>
      </c>
      <c r="F180" s="20" t="str">
        <f aca="false">'Raw Data'!F180</f>
        <v>little</v>
      </c>
      <c r="G180" s="20" t="str">
        <f aca="false">'Raw Data'!G180</f>
        <v>none</v>
      </c>
      <c r="H180" s="20" t="n">
        <f aca="false">'Raw Data'!H180</f>
        <v>1963</v>
      </c>
      <c r="I180" s="20" t="n">
        <f aca="false">'Raw Data'!I180</f>
        <v>12</v>
      </c>
      <c r="J180" s="20" t="str">
        <f aca="false">'Raw Data'!J180</f>
        <v>radio/TV</v>
      </c>
      <c r="K180" s="21" t="n">
        <f aca="false">H180/I180</f>
        <v>163.583333333333</v>
      </c>
      <c r="L180" s="21" t="n">
        <f aca="false">100-MIN(K180/Assumptions!$B$14,1)*100</f>
        <v>59.1041666666667</v>
      </c>
      <c r="M180" s="21" t="n">
        <f aca="false">VLOOKUP(F180,Assumptions!$A$19:$B$23,2,0)</f>
        <v>25</v>
      </c>
      <c r="N180" s="21" t="n">
        <f aca="false">VLOOKUP(G180,Assumptions!$A$27:$B$30,2,0)</f>
        <v>50</v>
      </c>
      <c r="O180" s="21" t="n">
        <f aca="false">VLOOKUP(D180,Assumptions!$A$34:$B$37,2,0)</f>
        <v>100</v>
      </c>
      <c r="P180" s="21" t="n">
        <f aca="false">VLOOKUP(E180,Assumptions!$A$41:$B$43,2,0)</f>
        <v>30</v>
      </c>
      <c r="Q180" s="22" t="n">
        <f aca="false">L180*Assumptions!$B$7+M180*Assumptions!$B$8+N180*Assumptions!$B$9+O180*Assumptions!$B$10+P180*Assumptions!$B$11</f>
        <v>51.98125</v>
      </c>
      <c r="R180" s="11" t="str">
        <f aca="false">IF(Q180&lt;=33,"High Risk",IF(Q180&lt;=66,"Medium Risk","Low Risk"))</f>
        <v>Medium Risk</v>
      </c>
    </row>
    <row r="181" customFormat="false" ht="15" hidden="false" customHeight="true" outlineLevel="0" collapsed="false">
      <c r="A181" s="20" t="n">
        <f aca="false">'Raw Data'!A181</f>
        <v>180</v>
      </c>
      <c r="B181" s="20" t="n">
        <f aca="false">'Raw Data'!B181</f>
        <v>65</v>
      </c>
      <c r="C181" s="20" t="str">
        <f aca="false">'Raw Data'!C181</f>
        <v>male</v>
      </c>
      <c r="D181" s="20" t="n">
        <f aca="false">'Raw Data'!D181</f>
        <v>2</v>
      </c>
      <c r="E181" s="20" t="str">
        <f aca="false">'Raw Data'!E181</f>
        <v>own</v>
      </c>
      <c r="F181" s="20" t="str">
        <f aca="false">'Raw Data'!F181</f>
        <v>little</v>
      </c>
      <c r="G181" s="20" t="str">
        <f aca="false">'Raw Data'!G181</f>
        <v>little</v>
      </c>
      <c r="H181" s="20" t="n">
        <f aca="false">'Raw Data'!H181</f>
        <v>571</v>
      </c>
      <c r="I181" s="20" t="n">
        <f aca="false">'Raw Data'!I181</f>
        <v>21</v>
      </c>
      <c r="J181" s="20" t="str">
        <f aca="false">'Raw Data'!J181</f>
        <v>car</v>
      </c>
      <c r="K181" s="21" t="n">
        <f aca="false">H181/I181</f>
        <v>27.1904761904762</v>
      </c>
      <c r="L181" s="21" t="n">
        <f aca="false">100-MIN(K181/Assumptions!$B$14,1)*100</f>
        <v>93.202380952381</v>
      </c>
      <c r="M181" s="21" t="n">
        <f aca="false">VLOOKUP(F181,Assumptions!$A$19:$B$23,2,0)</f>
        <v>25</v>
      </c>
      <c r="N181" s="21" t="n">
        <f aca="false">VLOOKUP(G181,Assumptions!$A$27:$B$30,2,0)</f>
        <v>25</v>
      </c>
      <c r="O181" s="21" t="n">
        <f aca="false">VLOOKUP(D181,Assumptions!$A$34:$B$37,2,0)</f>
        <v>66</v>
      </c>
      <c r="P181" s="21" t="n">
        <f aca="false">VLOOKUP(E181,Assumptions!$A$41:$B$43,2,0)</f>
        <v>100</v>
      </c>
      <c r="Q181" s="22" t="n">
        <f aca="false">L181*Assumptions!$B$7+M181*Assumptions!$B$8+N181*Assumptions!$B$9+O181*Assumptions!$B$10+P181*Assumptions!$B$11</f>
        <v>59.1107142857143</v>
      </c>
      <c r="R181" s="11" t="str">
        <f aca="false">IF(Q181&lt;=33,"High Risk",IF(Q181&lt;=66,"Medium Risk","Low Risk"))</f>
        <v>Medium Risk</v>
      </c>
    </row>
    <row r="182" customFormat="false" ht="15" hidden="false" customHeight="true" outlineLevel="0" collapsed="false">
      <c r="A182" s="20" t="n">
        <f aca="false">'Raw Data'!A182</f>
        <v>181</v>
      </c>
      <c r="B182" s="20" t="n">
        <f aca="false">'Raw Data'!B182</f>
        <v>28</v>
      </c>
      <c r="C182" s="20" t="str">
        <f aca="false">'Raw Data'!C182</f>
        <v>male</v>
      </c>
      <c r="D182" s="20" t="n">
        <f aca="false">'Raw Data'!D182</f>
        <v>2</v>
      </c>
      <c r="E182" s="20" t="str">
        <f aca="false">'Raw Data'!E182</f>
        <v>own</v>
      </c>
      <c r="F182" s="20" t="str">
        <f aca="false">'Raw Data'!F182</f>
        <v>little</v>
      </c>
      <c r="G182" s="20" t="str">
        <f aca="false">'Raw Data'!G182</f>
        <v>none</v>
      </c>
      <c r="H182" s="20" t="n">
        <f aca="false">'Raw Data'!H182</f>
        <v>9572</v>
      </c>
      <c r="I182" s="20" t="n">
        <f aca="false">'Raw Data'!I182</f>
        <v>36</v>
      </c>
      <c r="J182" s="20" t="str">
        <f aca="false">'Raw Data'!J182</f>
        <v>business</v>
      </c>
      <c r="K182" s="21" t="n">
        <f aca="false">H182/I182</f>
        <v>265.888888888889</v>
      </c>
      <c r="L182" s="21" t="n">
        <f aca="false">100-MIN(K182/Assumptions!$B$14,1)*100</f>
        <v>33.5277777777778</v>
      </c>
      <c r="M182" s="21" t="n">
        <f aca="false">VLOOKUP(F182,Assumptions!$A$19:$B$23,2,0)</f>
        <v>25</v>
      </c>
      <c r="N182" s="21" t="n">
        <f aca="false">VLOOKUP(G182,Assumptions!$A$27:$B$30,2,0)</f>
        <v>50</v>
      </c>
      <c r="O182" s="21" t="n">
        <f aca="false">VLOOKUP(D182,Assumptions!$A$34:$B$37,2,0)</f>
        <v>66</v>
      </c>
      <c r="P182" s="21" t="n">
        <f aca="false">VLOOKUP(E182,Assumptions!$A$41:$B$43,2,0)</f>
        <v>100</v>
      </c>
      <c r="Q182" s="22" t="n">
        <f aca="false">L182*Assumptions!$B$7+M182*Assumptions!$B$8+N182*Assumptions!$B$9+O182*Assumptions!$B$10+P182*Assumptions!$B$11</f>
        <v>46.2083333333333</v>
      </c>
      <c r="R182" s="11" t="str">
        <f aca="false">IF(Q182&lt;=33,"High Risk",IF(Q182&lt;=66,"Medium Risk","Low Risk"))</f>
        <v>Medium Risk</v>
      </c>
    </row>
    <row r="183" customFormat="false" ht="15" hidden="false" customHeight="true" outlineLevel="0" collapsed="false">
      <c r="A183" s="20" t="n">
        <f aca="false">'Raw Data'!A183</f>
        <v>182</v>
      </c>
      <c r="B183" s="20" t="n">
        <f aca="false">'Raw Data'!B183</f>
        <v>30</v>
      </c>
      <c r="C183" s="20" t="str">
        <f aca="false">'Raw Data'!C183</f>
        <v>male</v>
      </c>
      <c r="D183" s="20" t="n">
        <f aca="false">'Raw Data'!D183</f>
        <v>3</v>
      </c>
      <c r="E183" s="20" t="str">
        <f aca="false">'Raw Data'!E183</f>
        <v>own</v>
      </c>
      <c r="F183" s="20" t="str">
        <f aca="false">'Raw Data'!F183</f>
        <v>little</v>
      </c>
      <c r="G183" s="20" t="str">
        <f aca="false">'Raw Data'!G183</f>
        <v>moderate</v>
      </c>
      <c r="H183" s="20" t="n">
        <f aca="false">'Raw Data'!H183</f>
        <v>4455</v>
      </c>
      <c r="I183" s="20" t="n">
        <f aca="false">'Raw Data'!I183</f>
        <v>36</v>
      </c>
      <c r="J183" s="20" t="str">
        <f aca="false">'Raw Data'!J183</f>
        <v>business</v>
      </c>
      <c r="K183" s="21" t="n">
        <f aca="false">H183/I183</f>
        <v>123.75</v>
      </c>
      <c r="L183" s="21" t="n">
        <f aca="false">100-MIN(K183/Assumptions!$B$14,1)*100</f>
        <v>69.0625</v>
      </c>
      <c r="M183" s="21" t="n">
        <f aca="false">VLOOKUP(F183,Assumptions!$A$19:$B$23,2,0)</f>
        <v>25</v>
      </c>
      <c r="N183" s="21" t="n">
        <f aca="false">VLOOKUP(G183,Assumptions!$A$27:$B$30,2,0)</f>
        <v>60</v>
      </c>
      <c r="O183" s="21" t="n">
        <f aca="false">VLOOKUP(D183,Assumptions!$A$34:$B$37,2,0)</f>
        <v>100</v>
      </c>
      <c r="P183" s="21" t="n">
        <f aca="false">VLOOKUP(E183,Assumptions!$A$41:$B$43,2,0)</f>
        <v>100</v>
      </c>
      <c r="Q183" s="22" t="n">
        <f aca="false">L183*Assumptions!$B$7+M183*Assumptions!$B$8+N183*Assumptions!$B$9+O183*Assumptions!$B$10+P183*Assumptions!$B$11</f>
        <v>63.96875</v>
      </c>
      <c r="R183" s="11" t="str">
        <f aca="false">IF(Q183&lt;=33,"High Risk",IF(Q183&lt;=66,"Medium Risk","Low Risk"))</f>
        <v>Medium Risk</v>
      </c>
    </row>
    <row r="184" customFormat="false" ht="15" hidden="false" customHeight="true" outlineLevel="0" collapsed="false">
      <c r="A184" s="20" t="n">
        <f aca="false">'Raw Data'!A184</f>
        <v>183</v>
      </c>
      <c r="B184" s="20" t="n">
        <f aca="false">'Raw Data'!B184</f>
        <v>40</v>
      </c>
      <c r="C184" s="20" t="str">
        <f aca="false">'Raw Data'!C184</f>
        <v>male</v>
      </c>
      <c r="D184" s="20" t="n">
        <f aca="false">'Raw Data'!D184</f>
        <v>1</v>
      </c>
      <c r="E184" s="20" t="str">
        <f aca="false">'Raw Data'!E184</f>
        <v>own</v>
      </c>
      <c r="F184" s="20" t="str">
        <f aca="false">'Raw Data'!F184</f>
        <v>none</v>
      </c>
      <c r="G184" s="20" t="str">
        <f aca="false">'Raw Data'!G184</f>
        <v>little</v>
      </c>
      <c r="H184" s="20" t="n">
        <f aca="false">'Raw Data'!H184</f>
        <v>1647</v>
      </c>
      <c r="I184" s="20" t="n">
        <f aca="false">'Raw Data'!I184</f>
        <v>21</v>
      </c>
      <c r="J184" s="20" t="str">
        <f aca="false">'Raw Data'!J184</f>
        <v>car</v>
      </c>
      <c r="K184" s="21" t="n">
        <f aca="false">H184/I184</f>
        <v>78.4285714285714</v>
      </c>
      <c r="L184" s="21" t="n">
        <f aca="false">100-MIN(K184/Assumptions!$B$14,1)*100</f>
        <v>80.3928571428571</v>
      </c>
      <c r="M184" s="21" t="n">
        <f aca="false">VLOOKUP(F184,Assumptions!$A$19:$B$23,2,0)</f>
        <v>40</v>
      </c>
      <c r="N184" s="21" t="n">
        <f aca="false">VLOOKUP(G184,Assumptions!$A$27:$B$30,2,0)</f>
        <v>25</v>
      </c>
      <c r="O184" s="21" t="n">
        <f aca="false">VLOOKUP(D184,Assumptions!$A$34:$B$37,2,0)</f>
        <v>33</v>
      </c>
      <c r="P184" s="21" t="n">
        <f aca="false">VLOOKUP(E184,Assumptions!$A$41:$B$43,2,0)</f>
        <v>100</v>
      </c>
      <c r="Q184" s="22" t="n">
        <f aca="false">L184*Assumptions!$B$7+M184*Assumptions!$B$8+N184*Assumptions!$B$9+O184*Assumptions!$B$10+P184*Assumptions!$B$11</f>
        <v>54.0678571428571</v>
      </c>
      <c r="R184" s="11" t="str">
        <f aca="false">IF(Q184&lt;=33,"High Risk",IF(Q184&lt;=66,"Medium Risk","Low Risk"))</f>
        <v>Medium Risk</v>
      </c>
    </row>
    <row r="185" customFormat="false" ht="15" hidden="false" customHeight="true" outlineLevel="0" collapsed="false">
      <c r="A185" s="20" t="n">
        <f aca="false">'Raw Data'!A185</f>
        <v>184</v>
      </c>
      <c r="B185" s="20" t="n">
        <f aca="false">'Raw Data'!B185</f>
        <v>50</v>
      </c>
      <c r="C185" s="20" t="str">
        <f aca="false">'Raw Data'!C185</f>
        <v>male</v>
      </c>
      <c r="D185" s="20" t="n">
        <f aca="false">'Raw Data'!D185</f>
        <v>2</v>
      </c>
      <c r="E185" s="20" t="str">
        <f aca="false">'Raw Data'!E185</f>
        <v>own</v>
      </c>
      <c r="F185" s="20" t="str">
        <f aca="false">'Raw Data'!F185</f>
        <v>rich</v>
      </c>
      <c r="G185" s="20" t="str">
        <f aca="false">'Raw Data'!G185</f>
        <v>none</v>
      </c>
      <c r="H185" s="20" t="n">
        <f aca="false">'Raw Data'!H185</f>
        <v>3777</v>
      </c>
      <c r="I185" s="20" t="n">
        <f aca="false">'Raw Data'!I185</f>
        <v>24</v>
      </c>
      <c r="J185" s="20" t="str">
        <f aca="false">'Raw Data'!J185</f>
        <v>furniture/equipment</v>
      </c>
      <c r="K185" s="21" t="n">
        <f aca="false">H185/I185</f>
        <v>157.375</v>
      </c>
      <c r="L185" s="21" t="n">
        <f aca="false">100-MIN(K185/Assumptions!$B$14,1)*100</f>
        <v>60.65625</v>
      </c>
      <c r="M185" s="21" t="n">
        <f aca="false">VLOOKUP(F185,Assumptions!$A$19:$B$23,2,0)</f>
        <v>100</v>
      </c>
      <c r="N185" s="21" t="n">
        <f aca="false">VLOOKUP(G185,Assumptions!$A$27:$B$30,2,0)</f>
        <v>50</v>
      </c>
      <c r="O185" s="21" t="n">
        <f aca="false">VLOOKUP(D185,Assumptions!$A$34:$B$37,2,0)</f>
        <v>66</v>
      </c>
      <c r="P185" s="21" t="n">
        <f aca="false">VLOOKUP(E185,Assumptions!$A$41:$B$43,2,0)</f>
        <v>100</v>
      </c>
      <c r="Q185" s="22" t="n">
        <f aca="false">L185*Assumptions!$B$7+M185*Assumptions!$B$8+N185*Assumptions!$B$9+O185*Assumptions!$B$10+P185*Assumptions!$B$11</f>
        <v>73.096875</v>
      </c>
      <c r="R185" s="11" t="str">
        <f aca="false">IF(Q185&lt;=33,"High Risk",IF(Q185&lt;=66,"Medium Risk","Low Risk"))</f>
        <v>Low Risk</v>
      </c>
    </row>
    <row r="186" customFormat="false" ht="15" hidden="false" customHeight="true" outlineLevel="0" collapsed="false">
      <c r="A186" s="20" t="n">
        <f aca="false">'Raw Data'!A186</f>
        <v>185</v>
      </c>
      <c r="B186" s="20" t="n">
        <f aca="false">'Raw Data'!B186</f>
        <v>36</v>
      </c>
      <c r="C186" s="20" t="str">
        <f aca="false">'Raw Data'!C186</f>
        <v>male</v>
      </c>
      <c r="D186" s="20" t="n">
        <f aca="false">'Raw Data'!D186</f>
        <v>2</v>
      </c>
      <c r="E186" s="20" t="str">
        <f aca="false">'Raw Data'!E186</f>
        <v>own</v>
      </c>
      <c r="F186" s="20" t="str">
        <f aca="false">'Raw Data'!F186</f>
        <v>little</v>
      </c>
      <c r="G186" s="20" t="str">
        <f aca="false">'Raw Data'!G186</f>
        <v>moderate</v>
      </c>
      <c r="H186" s="20" t="n">
        <f aca="false">'Raw Data'!H186</f>
        <v>884</v>
      </c>
      <c r="I186" s="20" t="n">
        <f aca="false">'Raw Data'!I186</f>
        <v>18</v>
      </c>
      <c r="J186" s="20" t="str">
        <f aca="false">'Raw Data'!J186</f>
        <v>car</v>
      </c>
      <c r="K186" s="21" t="n">
        <f aca="false">H186/I186</f>
        <v>49.1111111111111</v>
      </c>
      <c r="L186" s="21" t="n">
        <f aca="false">100-MIN(K186/Assumptions!$B$14,1)*100</f>
        <v>87.7222222222222</v>
      </c>
      <c r="M186" s="21" t="n">
        <f aca="false">VLOOKUP(F186,Assumptions!$A$19:$B$23,2,0)</f>
        <v>25</v>
      </c>
      <c r="N186" s="21" t="n">
        <f aca="false">VLOOKUP(G186,Assumptions!$A$27:$B$30,2,0)</f>
        <v>60</v>
      </c>
      <c r="O186" s="21" t="n">
        <f aca="false">VLOOKUP(D186,Assumptions!$A$34:$B$37,2,0)</f>
        <v>66</v>
      </c>
      <c r="P186" s="21" t="n">
        <f aca="false">VLOOKUP(E186,Assumptions!$A$41:$B$43,2,0)</f>
        <v>100</v>
      </c>
      <c r="Q186" s="22" t="n">
        <f aca="false">L186*Assumptions!$B$7+M186*Assumptions!$B$8+N186*Assumptions!$B$9+O186*Assumptions!$B$10+P186*Assumptions!$B$11</f>
        <v>64.4666666666667</v>
      </c>
      <c r="R186" s="11" t="str">
        <f aca="false">IF(Q186&lt;=33,"High Risk",IF(Q186&lt;=66,"Medium Risk","Low Risk"))</f>
        <v>Medium Risk</v>
      </c>
    </row>
    <row r="187" customFormat="false" ht="15" hidden="false" customHeight="true" outlineLevel="0" collapsed="false">
      <c r="A187" s="20" t="n">
        <f aca="false">'Raw Data'!A187</f>
        <v>186</v>
      </c>
      <c r="B187" s="20" t="n">
        <f aca="false">'Raw Data'!B187</f>
        <v>31</v>
      </c>
      <c r="C187" s="20" t="str">
        <f aca="false">'Raw Data'!C187</f>
        <v>male</v>
      </c>
      <c r="D187" s="20" t="n">
        <f aca="false">'Raw Data'!D187</f>
        <v>2</v>
      </c>
      <c r="E187" s="20" t="str">
        <f aca="false">'Raw Data'!E187</f>
        <v>own</v>
      </c>
      <c r="F187" s="20" t="str">
        <f aca="false">'Raw Data'!F187</f>
        <v>little</v>
      </c>
      <c r="G187" s="20" t="str">
        <f aca="false">'Raw Data'!G187</f>
        <v>none</v>
      </c>
      <c r="H187" s="20" t="n">
        <f aca="false">'Raw Data'!H187</f>
        <v>1360</v>
      </c>
      <c r="I187" s="20" t="n">
        <f aca="false">'Raw Data'!I187</f>
        <v>15</v>
      </c>
      <c r="J187" s="20" t="str">
        <f aca="false">'Raw Data'!J187</f>
        <v>radio/TV</v>
      </c>
      <c r="K187" s="21" t="n">
        <f aca="false">H187/I187</f>
        <v>90.6666666666667</v>
      </c>
      <c r="L187" s="21" t="n">
        <f aca="false">100-MIN(K187/Assumptions!$B$14,1)*100</f>
        <v>77.3333333333333</v>
      </c>
      <c r="M187" s="21" t="n">
        <f aca="false">VLOOKUP(F187,Assumptions!$A$19:$B$23,2,0)</f>
        <v>25</v>
      </c>
      <c r="N187" s="21" t="n">
        <f aca="false">VLOOKUP(G187,Assumptions!$A$27:$B$30,2,0)</f>
        <v>50</v>
      </c>
      <c r="O187" s="21" t="n">
        <f aca="false">VLOOKUP(D187,Assumptions!$A$34:$B$37,2,0)</f>
        <v>66</v>
      </c>
      <c r="P187" s="21" t="n">
        <f aca="false">VLOOKUP(E187,Assumptions!$A$41:$B$43,2,0)</f>
        <v>100</v>
      </c>
      <c r="Q187" s="22" t="n">
        <f aca="false">L187*Assumptions!$B$7+M187*Assumptions!$B$8+N187*Assumptions!$B$9+O187*Assumptions!$B$10+P187*Assumptions!$B$11</f>
        <v>59.35</v>
      </c>
      <c r="R187" s="11" t="str">
        <f aca="false">IF(Q187&lt;=33,"High Risk",IF(Q187&lt;=66,"Medium Risk","Low Risk"))</f>
        <v>Medium Risk</v>
      </c>
    </row>
    <row r="188" customFormat="false" ht="15" hidden="false" customHeight="true" outlineLevel="0" collapsed="false">
      <c r="A188" s="20" t="n">
        <f aca="false">'Raw Data'!A188</f>
        <v>187</v>
      </c>
      <c r="B188" s="20" t="n">
        <f aca="false">'Raw Data'!B188</f>
        <v>74</v>
      </c>
      <c r="C188" s="20" t="str">
        <f aca="false">'Raw Data'!C188</f>
        <v>female</v>
      </c>
      <c r="D188" s="20" t="n">
        <f aca="false">'Raw Data'!D188</f>
        <v>3</v>
      </c>
      <c r="E188" s="20" t="str">
        <f aca="false">'Raw Data'!E188</f>
        <v>free</v>
      </c>
      <c r="F188" s="20" t="str">
        <f aca="false">'Raw Data'!F188</f>
        <v>little</v>
      </c>
      <c r="G188" s="20" t="str">
        <f aca="false">'Raw Data'!G188</f>
        <v>moderate</v>
      </c>
      <c r="H188" s="20" t="n">
        <f aca="false">'Raw Data'!H188</f>
        <v>5129</v>
      </c>
      <c r="I188" s="20" t="n">
        <f aca="false">'Raw Data'!I188</f>
        <v>9</v>
      </c>
      <c r="J188" s="20" t="str">
        <f aca="false">'Raw Data'!J188</f>
        <v>car</v>
      </c>
      <c r="K188" s="21" t="n">
        <f aca="false">H188/I188</f>
        <v>569.888888888889</v>
      </c>
      <c r="L188" s="21" t="n">
        <f aca="false">100-MIN(K188/Assumptions!$B$14,1)*100</f>
        <v>0</v>
      </c>
      <c r="M188" s="21" t="n">
        <f aca="false">VLOOKUP(F188,Assumptions!$A$19:$B$23,2,0)</f>
        <v>25</v>
      </c>
      <c r="N188" s="21" t="n">
        <f aca="false">VLOOKUP(G188,Assumptions!$A$27:$B$30,2,0)</f>
        <v>60</v>
      </c>
      <c r="O188" s="21" t="n">
        <f aca="false">VLOOKUP(D188,Assumptions!$A$34:$B$37,2,0)</f>
        <v>100</v>
      </c>
      <c r="P188" s="21" t="n">
        <f aca="false">VLOOKUP(E188,Assumptions!$A$41:$B$43,2,0)</f>
        <v>60</v>
      </c>
      <c r="Q188" s="22" t="n">
        <f aca="false">L188*Assumptions!$B$7+M188*Assumptions!$B$8+N188*Assumptions!$B$9+O188*Assumptions!$B$10+P188*Assumptions!$B$11</f>
        <v>39.25</v>
      </c>
      <c r="R188" s="11" t="str">
        <f aca="false">IF(Q188&lt;=33,"High Risk",IF(Q188&lt;=66,"Medium Risk","Low Risk"))</f>
        <v>Medium Risk</v>
      </c>
    </row>
    <row r="189" customFormat="false" ht="15" hidden="false" customHeight="true" outlineLevel="0" collapsed="false">
      <c r="A189" s="20" t="n">
        <f aca="false">'Raw Data'!A189</f>
        <v>188</v>
      </c>
      <c r="B189" s="20" t="n">
        <f aca="false">'Raw Data'!B189</f>
        <v>68</v>
      </c>
      <c r="C189" s="20" t="str">
        <f aca="false">'Raw Data'!C189</f>
        <v>male</v>
      </c>
      <c r="D189" s="20" t="n">
        <f aca="false">'Raw Data'!D189</f>
        <v>0</v>
      </c>
      <c r="E189" s="20" t="str">
        <f aca="false">'Raw Data'!E189</f>
        <v>free</v>
      </c>
      <c r="F189" s="20" t="str">
        <f aca="false">'Raw Data'!F189</f>
        <v>little</v>
      </c>
      <c r="G189" s="20" t="str">
        <f aca="false">'Raw Data'!G189</f>
        <v>moderate</v>
      </c>
      <c r="H189" s="20" t="n">
        <f aca="false">'Raw Data'!H189</f>
        <v>1175</v>
      </c>
      <c r="I189" s="20" t="n">
        <f aca="false">'Raw Data'!I189</f>
        <v>16</v>
      </c>
      <c r="J189" s="20" t="str">
        <f aca="false">'Raw Data'!J189</f>
        <v>car</v>
      </c>
      <c r="K189" s="21" t="n">
        <f aca="false">H189/I189</f>
        <v>73.4375</v>
      </c>
      <c r="L189" s="21" t="n">
        <f aca="false">100-MIN(K189/Assumptions!$B$14,1)*100</f>
        <v>81.640625</v>
      </c>
      <c r="M189" s="21" t="n">
        <f aca="false">VLOOKUP(F189,Assumptions!$A$19:$B$23,2,0)</f>
        <v>25</v>
      </c>
      <c r="N189" s="21" t="n">
        <f aca="false">VLOOKUP(G189,Assumptions!$A$27:$B$30,2,0)</f>
        <v>60</v>
      </c>
      <c r="O189" s="21" t="n">
        <f aca="false">VLOOKUP(D189,Assumptions!$A$34:$B$37,2,0)</f>
        <v>0</v>
      </c>
      <c r="P189" s="21" t="n">
        <f aca="false">VLOOKUP(E189,Assumptions!$A$41:$B$43,2,0)</f>
        <v>60</v>
      </c>
      <c r="Q189" s="22" t="n">
        <f aca="false">L189*Assumptions!$B$7+M189*Assumptions!$B$8+N189*Assumptions!$B$9+O189*Assumptions!$B$10+P189*Assumptions!$B$11</f>
        <v>48.7421875</v>
      </c>
      <c r="R189" s="11" t="str">
        <f aca="false">IF(Q189&lt;=33,"High Risk",IF(Q189&lt;=66,"Medium Risk","Low Risk"))</f>
        <v>Medium Risk</v>
      </c>
    </row>
    <row r="190" customFormat="false" ht="15" hidden="false" customHeight="true" outlineLevel="0" collapsed="false">
      <c r="A190" s="20" t="n">
        <f aca="false">'Raw Data'!A190</f>
        <v>189</v>
      </c>
      <c r="B190" s="20" t="n">
        <f aca="false">'Raw Data'!B190</f>
        <v>20</v>
      </c>
      <c r="C190" s="20" t="str">
        <f aca="false">'Raw Data'!C190</f>
        <v>male</v>
      </c>
      <c r="D190" s="20" t="n">
        <f aca="false">'Raw Data'!D190</f>
        <v>2</v>
      </c>
      <c r="E190" s="20" t="str">
        <f aca="false">'Raw Data'!E190</f>
        <v>own</v>
      </c>
      <c r="F190" s="20" t="str">
        <f aca="false">'Raw Data'!F190</f>
        <v>moderate</v>
      </c>
      <c r="G190" s="20" t="str">
        <f aca="false">'Raw Data'!G190</f>
        <v>little</v>
      </c>
      <c r="H190" s="20" t="n">
        <f aca="false">'Raw Data'!H190</f>
        <v>674</v>
      </c>
      <c r="I190" s="20" t="n">
        <f aca="false">'Raw Data'!I190</f>
        <v>12</v>
      </c>
      <c r="J190" s="20" t="str">
        <f aca="false">'Raw Data'!J190</f>
        <v>radio/TV</v>
      </c>
      <c r="K190" s="21" t="n">
        <f aca="false">H190/I190</f>
        <v>56.1666666666667</v>
      </c>
      <c r="L190" s="21" t="n">
        <f aca="false">100-MIN(K190/Assumptions!$B$14,1)*100</f>
        <v>85.9583333333333</v>
      </c>
      <c r="M190" s="21" t="n">
        <f aca="false">VLOOKUP(F190,Assumptions!$A$19:$B$23,2,0)</f>
        <v>50</v>
      </c>
      <c r="N190" s="21" t="n">
        <f aca="false">VLOOKUP(G190,Assumptions!$A$27:$B$30,2,0)</f>
        <v>25</v>
      </c>
      <c r="O190" s="21" t="n">
        <f aca="false">VLOOKUP(D190,Assumptions!$A$34:$B$37,2,0)</f>
        <v>66</v>
      </c>
      <c r="P190" s="21" t="n">
        <f aca="false">VLOOKUP(E190,Assumptions!$A$41:$B$43,2,0)</f>
        <v>100</v>
      </c>
      <c r="Q190" s="22" t="n">
        <f aca="false">L190*Assumptions!$B$7+M190*Assumptions!$B$8+N190*Assumptions!$B$9+O190*Assumptions!$B$10+P190*Assumptions!$B$11</f>
        <v>63.1875</v>
      </c>
      <c r="R190" s="11" t="str">
        <f aca="false">IF(Q190&lt;=33,"High Risk",IF(Q190&lt;=66,"Medium Risk","Low Risk"))</f>
        <v>Medium Risk</v>
      </c>
    </row>
    <row r="191" customFormat="false" ht="15" hidden="false" customHeight="true" outlineLevel="0" collapsed="false">
      <c r="A191" s="20" t="n">
        <f aca="false">'Raw Data'!A191</f>
        <v>190</v>
      </c>
      <c r="B191" s="20" t="n">
        <f aca="false">'Raw Data'!B191</f>
        <v>33</v>
      </c>
      <c r="C191" s="20" t="str">
        <f aca="false">'Raw Data'!C191</f>
        <v>female</v>
      </c>
      <c r="D191" s="20" t="n">
        <f aca="false">'Raw Data'!D191</f>
        <v>2</v>
      </c>
      <c r="E191" s="20" t="str">
        <f aca="false">'Raw Data'!E191</f>
        <v>own</v>
      </c>
      <c r="F191" s="20" t="str">
        <f aca="false">'Raw Data'!F191</f>
        <v>little</v>
      </c>
      <c r="G191" s="20" t="str">
        <f aca="false">'Raw Data'!G191</f>
        <v>moderate</v>
      </c>
      <c r="H191" s="20" t="n">
        <f aca="false">'Raw Data'!H191</f>
        <v>3244</v>
      </c>
      <c r="I191" s="20" t="n">
        <f aca="false">'Raw Data'!I191</f>
        <v>18</v>
      </c>
      <c r="J191" s="20" t="str">
        <f aca="false">'Raw Data'!J191</f>
        <v>furniture/equipment</v>
      </c>
      <c r="K191" s="21" t="n">
        <f aca="false">H191/I191</f>
        <v>180.222222222222</v>
      </c>
      <c r="L191" s="21" t="n">
        <f aca="false">100-MIN(K191/Assumptions!$B$14,1)*100</f>
        <v>54.9444444444444</v>
      </c>
      <c r="M191" s="21" t="n">
        <f aca="false">VLOOKUP(F191,Assumptions!$A$19:$B$23,2,0)</f>
        <v>25</v>
      </c>
      <c r="N191" s="21" t="n">
        <f aca="false">VLOOKUP(G191,Assumptions!$A$27:$B$30,2,0)</f>
        <v>60</v>
      </c>
      <c r="O191" s="21" t="n">
        <f aca="false">VLOOKUP(D191,Assumptions!$A$34:$B$37,2,0)</f>
        <v>66</v>
      </c>
      <c r="P191" s="21" t="n">
        <f aca="false">VLOOKUP(E191,Assumptions!$A$41:$B$43,2,0)</f>
        <v>100</v>
      </c>
      <c r="Q191" s="22" t="n">
        <f aca="false">L191*Assumptions!$B$7+M191*Assumptions!$B$8+N191*Assumptions!$B$9+O191*Assumptions!$B$10+P191*Assumptions!$B$11</f>
        <v>54.6333333333333</v>
      </c>
      <c r="R191" s="11" t="str">
        <f aca="false">IF(Q191&lt;=33,"High Risk",IF(Q191&lt;=66,"Medium Risk","Low Risk"))</f>
        <v>Medium Risk</v>
      </c>
    </row>
    <row r="192" customFormat="false" ht="15" hidden="false" customHeight="true" outlineLevel="0" collapsed="false">
      <c r="A192" s="20" t="n">
        <f aca="false">'Raw Data'!A192</f>
        <v>191</v>
      </c>
      <c r="B192" s="20" t="n">
        <f aca="false">'Raw Data'!B192</f>
        <v>54</v>
      </c>
      <c r="C192" s="20" t="str">
        <f aca="false">'Raw Data'!C192</f>
        <v>male</v>
      </c>
      <c r="D192" s="20" t="n">
        <f aca="false">'Raw Data'!D192</f>
        <v>3</v>
      </c>
      <c r="E192" s="20" t="str">
        <f aca="false">'Raw Data'!E192</f>
        <v>own</v>
      </c>
      <c r="F192" s="20" t="str">
        <f aca="false">'Raw Data'!F192</f>
        <v>rich</v>
      </c>
      <c r="G192" s="20" t="str">
        <f aca="false">'Raw Data'!G192</f>
        <v>none</v>
      </c>
      <c r="H192" s="20" t="n">
        <f aca="false">'Raw Data'!H192</f>
        <v>4591</v>
      </c>
      <c r="I192" s="20" t="n">
        <f aca="false">'Raw Data'!I192</f>
        <v>24</v>
      </c>
      <c r="J192" s="20" t="str">
        <f aca="false">'Raw Data'!J192</f>
        <v>business</v>
      </c>
      <c r="K192" s="21" t="n">
        <f aca="false">H192/I192</f>
        <v>191.291666666667</v>
      </c>
      <c r="L192" s="21" t="n">
        <f aca="false">100-MIN(K192/Assumptions!$B$14,1)*100</f>
        <v>52.1770833333333</v>
      </c>
      <c r="M192" s="21" t="n">
        <f aca="false">VLOOKUP(F192,Assumptions!$A$19:$B$23,2,0)</f>
        <v>100</v>
      </c>
      <c r="N192" s="21" t="n">
        <f aca="false">VLOOKUP(G192,Assumptions!$A$27:$B$30,2,0)</f>
        <v>50</v>
      </c>
      <c r="O192" s="21" t="n">
        <f aca="false">VLOOKUP(D192,Assumptions!$A$34:$B$37,2,0)</f>
        <v>100</v>
      </c>
      <c r="P192" s="21" t="n">
        <f aca="false">VLOOKUP(E192,Assumptions!$A$41:$B$43,2,0)</f>
        <v>100</v>
      </c>
      <c r="Q192" s="22" t="n">
        <f aca="false">L192*Assumptions!$B$7+M192*Assumptions!$B$8+N192*Assumptions!$B$9+O192*Assumptions!$B$10+P192*Assumptions!$B$11</f>
        <v>75.653125</v>
      </c>
      <c r="R192" s="11" t="str">
        <f aca="false">IF(Q192&lt;=33,"High Risk",IF(Q192&lt;=66,"Medium Risk","Low Risk"))</f>
        <v>Low Risk</v>
      </c>
    </row>
    <row r="193" customFormat="false" ht="15" hidden="false" customHeight="true" outlineLevel="0" collapsed="false">
      <c r="A193" s="20" t="n">
        <f aca="false">'Raw Data'!A193</f>
        <v>192</v>
      </c>
      <c r="B193" s="20" t="n">
        <f aca="false">'Raw Data'!B193</f>
        <v>34</v>
      </c>
      <c r="C193" s="20" t="str">
        <f aca="false">'Raw Data'!C193</f>
        <v>male</v>
      </c>
      <c r="D193" s="20" t="n">
        <f aca="false">'Raw Data'!D193</f>
        <v>1</v>
      </c>
      <c r="E193" s="20" t="str">
        <f aca="false">'Raw Data'!E193</f>
        <v>free</v>
      </c>
      <c r="F193" s="20" t="str">
        <f aca="false">'Raw Data'!F193</f>
        <v>moderate</v>
      </c>
      <c r="G193" s="20" t="str">
        <f aca="false">'Raw Data'!G193</f>
        <v>moderate</v>
      </c>
      <c r="H193" s="20" t="n">
        <f aca="false">'Raw Data'!H193</f>
        <v>3844</v>
      </c>
      <c r="I193" s="20" t="n">
        <f aca="false">'Raw Data'!I193</f>
        <v>48</v>
      </c>
      <c r="J193" s="20" t="str">
        <f aca="false">'Raw Data'!J193</f>
        <v>business</v>
      </c>
      <c r="K193" s="21" t="n">
        <f aca="false">H193/I193</f>
        <v>80.0833333333333</v>
      </c>
      <c r="L193" s="21" t="n">
        <f aca="false">100-MIN(K193/Assumptions!$B$14,1)*100</f>
        <v>79.9791666666667</v>
      </c>
      <c r="M193" s="21" t="n">
        <f aca="false">VLOOKUP(F193,Assumptions!$A$19:$B$23,2,0)</f>
        <v>50</v>
      </c>
      <c r="N193" s="21" t="n">
        <f aca="false">VLOOKUP(G193,Assumptions!$A$27:$B$30,2,0)</f>
        <v>60</v>
      </c>
      <c r="O193" s="21" t="n">
        <f aca="false">VLOOKUP(D193,Assumptions!$A$34:$B$37,2,0)</f>
        <v>33</v>
      </c>
      <c r="P193" s="21" t="n">
        <f aca="false">VLOOKUP(E193,Assumptions!$A$41:$B$43,2,0)</f>
        <v>60</v>
      </c>
      <c r="Q193" s="22" t="n">
        <f aca="false">L193*Assumptions!$B$7+M193*Assumptions!$B$8+N193*Assumptions!$B$9+O193*Assumptions!$B$10+P193*Assumptions!$B$11</f>
        <v>59.44375</v>
      </c>
      <c r="R193" s="11" t="str">
        <f aca="false">IF(Q193&lt;=33,"High Risk",IF(Q193&lt;=66,"Medium Risk","Low Risk"))</f>
        <v>Medium Risk</v>
      </c>
    </row>
    <row r="194" customFormat="false" ht="15" hidden="false" customHeight="true" outlineLevel="0" collapsed="false">
      <c r="A194" s="20" t="n">
        <f aca="false">'Raw Data'!A194</f>
        <v>193</v>
      </c>
      <c r="B194" s="20" t="n">
        <f aca="false">'Raw Data'!B194</f>
        <v>36</v>
      </c>
      <c r="C194" s="20" t="str">
        <f aca="false">'Raw Data'!C194</f>
        <v>male</v>
      </c>
      <c r="D194" s="20" t="n">
        <f aca="false">'Raw Data'!D194</f>
        <v>2</v>
      </c>
      <c r="E194" s="20" t="str">
        <f aca="false">'Raw Data'!E194</f>
        <v>own</v>
      </c>
      <c r="F194" s="20" t="str">
        <f aca="false">'Raw Data'!F194</f>
        <v>little</v>
      </c>
      <c r="G194" s="20" t="str">
        <f aca="false">'Raw Data'!G194</f>
        <v>moderate</v>
      </c>
      <c r="H194" s="20" t="n">
        <f aca="false">'Raw Data'!H194</f>
        <v>3915</v>
      </c>
      <c r="I194" s="20" t="n">
        <f aca="false">'Raw Data'!I194</f>
        <v>27</v>
      </c>
      <c r="J194" s="20" t="str">
        <f aca="false">'Raw Data'!J194</f>
        <v>business</v>
      </c>
      <c r="K194" s="21" t="n">
        <f aca="false">H194/I194</f>
        <v>145</v>
      </c>
      <c r="L194" s="21" t="n">
        <f aca="false">100-MIN(K194/Assumptions!$B$14,1)*100</f>
        <v>63.75</v>
      </c>
      <c r="M194" s="21" t="n">
        <f aca="false">VLOOKUP(F194,Assumptions!$A$19:$B$23,2,0)</f>
        <v>25</v>
      </c>
      <c r="N194" s="21" t="n">
        <f aca="false">VLOOKUP(G194,Assumptions!$A$27:$B$30,2,0)</f>
        <v>60</v>
      </c>
      <c r="O194" s="21" t="n">
        <f aca="false">VLOOKUP(D194,Assumptions!$A$34:$B$37,2,0)</f>
        <v>66</v>
      </c>
      <c r="P194" s="21" t="n">
        <f aca="false">VLOOKUP(E194,Assumptions!$A$41:$B$43,2,0)</f>
        <v>100</v>
      </c>
      <c r="Q194" s="22" t="n">
        <f aca="false">L194*Assumptions!$B$7+M194*Assumptions!$B$8+N194*Assumptions!$B$9+O194*Assumptions!$B$10+P194*Assumptions!$B$11</f>
        <v>57.275</v>
      </c>
      <c r="R194" s="11" t="str">
        <f aca="false">IF(Q194&lt;=33,"High Risk",IF(Q194&lt;=66,"Medium Risk","Low Risk"))</f>
        <v>Medium Risk</v>
      </c>
    </row>
    <row r="195" customFormat="false" ht="15" hidden="false" customHeight="true" outlineLevel="0" collapsed="false">
      <c r="A195" s="20" t="n">
        <f aca="false">'Raw Data'!A195</f>
        <v>194</v>
      </c>
      <c r="B195" s="20" t="n">
        <f aca="false">'Raw Data'!B195</f>
        <v>29</v>
      </c>
      <c r="C195" s="20" t="str">
        <f aca="false">'Raw Data'!C195</f>
        <v>male</v>
      </c>
      <c r="D195" s="20" t="n">
        <f aca="false">'Raw Data'!D195</f>
        <v>2</v>
      </c>
      <c r="E195" s="20" t="str">
        <f aca="false">'Raw Data'!E195</f>
        <v>rent</v>
      </c>
      <c r="F195" s="20" t="str">
        <f aca="false">'Raw Data'!F195</f>
        <v>little</v>
      </c>
      <c r="G195" s="20" t="str">
        <f aca="false">'Raw Data'!G195</f>
        <v>none</v>
      </c>
      <c r="H195" s="20" t="n">
        <f aca="false">'Raw Data'!H195</f>
        <v>2108</v>
      </c>
      <c r="I195" s="20" t="n">
        <f aca="false">'Raw Data'!I195</f>
        <v>6</v>
      </c>
      <c r="J195" s="20" t="str">
        <f aca="false">'Raw Data'!J195</f>
        <v>radio/TV</v>
      </c>
      <c r="K195" s="21" t="n">
        <f aca="false">H195/I195</f>
        <v>351.333333333333</v>
      </c>
      <c r="L195" s="21" t="n">
        <f aca="false">100-MIN(K195/Assumptions!$B$14,1)*100</f>
        <v>12.1666666666667</v>
      </c>
      <c r="M195" s="21" t="n">
        <f aca="false">VLOOKUP(F195,Assumptions!$A$19:$B$23,2,0)</f>
        <v>25</v>
      </c>
      <c r="N195" s="21" t="n">
        <f aca="false">VLOOKUP(G195,Assumptions!$A$27:$B$30,2,0)</f>
        <v>50</v>
      </c>
      <c r="O195" s="21" t="n">
        <f aca="false">VLOOKUP(D195,Assumptions!$A$34:$B$37,2,0)</f>
        <v>66</v>
      </c>
      <c r="P195" s="21" t="n">
        <f aca="false">VLOOKUP(E195,Assumptions!$A$41:$B$43,2,0)</f>
        <v>30</v>
      </c>
      <c r="Q195" s="22" t="n">
        <f aca="false">L195*Assumptions!$B$7+M195*Assumptions!$B$8+N195*Assumptions!$B$9+O195*Assumptions!$B$10+P195*Assumptions!$B$11</f>
        <v>32.8</v>
      </c>
      <c r="R195" s="11" t="str">
        <f aca="false">IF(Q195&lt;=33,"High Risk",IF(Q195&lt;=66,"Medium Risk","Low Risk"))</f>
        <v>High Risk</v>
      </c>
    </row>
    <row r="196" customFormat="false" ht="15" hidden="false" customHeight="true" outlineLevel="0" collapsed="false">
      <c r="A196" s="20" t="n">
        <f aca="false">'Raw Data'!A196</f>
        <v>195</v>
      </c>
      <c r="B196" s="20" t="n">
        <f aca="false">'Raw Data'!B196</f>
        <v>21</v>
      </c>
      <c r="C196" s="20" t="str">
        <f aca="false">'Raw Data'!C196</f>
        <v>male</v>
      </c>
      <c r="D196" s="20" t="n">
        <f aca="false">'Raw Data'!D196</f>
        <v>2</v>
      </c>
      <c r="E196" s="20" t="str">
        <f aca="false">'Raw Data'!E196</f>
        <v>rent</v>
      </c>
      <c r="F196" s="20" t="str">
        <f aca="false">'Raw Data'!F196</f>
        <v>moderate</v>
      </c>
      <c r="G196" s="20" t="str">
        <f aca="false">'Raw Data'!G196</f>
        <v>moderate</v>
      </c>
      <c r="H196" s="20" t="n">
        <f aca="false">'Raw Data'!H196</f>
        <v>3031</v>
      </c>
      <c r="I196" s="20" t="n">
        <f aca="false">'Raw Data'!I196</f>
        <v>45</v>
      </c>
      <c r="J196" s="20" t="str">
        <f aca="false">'Raw Data'!J196</f>
        <v>radio/TV</v>
      </c>
      <c r="K196" s="21" t="n">
        <f aca="false">H196/I196</f>
        <v>67.3555555555556</v>
      </c>
      <c r="L196" s="21" t="n">
        <f aca="false">100-MIN(K196/Assumptions!$B$14,1)*100</f>
        <v>83.1611111111111</v>
      </c>
      <c r="M196" s="21" t="n">
        <f aca="false">VLOOKUP(F196,Assumptions!$A$19:$B$23,2,0)</f>
        <v>50</v>
      </c>
      <c r="N196" s="21" t="n">
        <f aca="false">VLOOKUP(G196,Assumptions!$A$27:$B$30,2,0)</f>
        <v>60</v>
      </c>
      <c r="O196" s="21" t="n">
        <f aca="false">VLOOKUP(D196,Assumptions!$A$34:$B$37,2,0)</f>
        <v>66</v>
      </c>
      <c r="P196" s="21" t="n">
        <f aca="false">VLOOKUP(E196,Assumptions!$A$41:$B$43,2,0)</f>
        <v>30</v>
      </c>
      <c r="Q196" s="22" t="n">
        <f aca="false">L196*Assumptions!$B$7+M196*Assumptions!$B$8+N196*Assumptions!$B$9+O196*Assumptions!$B$10+P196*Assumptions!$B$11</f>
        <v>62.3483333333333</v>
      </c>
      <c r="R196" s="11" t="str">
        <f aca="false">IF(Q196&lt;=33,"High Risk",IF(Q196&lt;=66,"Medium Risk","Low Risk"))</f>
        <v>Medium Risk</v>
      </c>
    </row>
    <row r="197" customFormat="false" ht="15" hidden="false" customHeight="true" outlineLevel="0" collapsed="false">
      <c r="A197" s="20" t="n">
        <f aca="false">'Raw Data'!A197</f>
        <v>196</v>
      </c>
      <c r="B197" s="20" t="n">
        <f aca="false">'Raw Data'!B197</f>
        <v>34</v>
      </c>
      <c r="C197" s="20" t="str">
        <f aca="false">'Raw Data'!C197</f>
        <v>female</v>
      </c>
      <c r="D197" s="20" t="n">
        <f aca="false">'Raw Data'!D197</f>
        <v>3</v>
      </c>
      <c r="E197" s="20" t="str">
        <f aca="false">'Raw Data'!E197</f>
        <v>own</v>
      </c>
      <c r="F197" s="20" t="str">
        <f aca="false">'Raw Data'!F197</f>
        <v>little</v>
      </c>
      <c r="G197" s="20" t="str">
        <f aca="false">'Raw Data'!G197</f>
        <v>moderate</v>
      </c>
      <c r="H197" s="20" t="n">
        <f aca="false">'Raw Data'!H197</f>
        <v>1501</v>
      </c>
      <c r="I197" s="20" t="n">
        <f aca="false">'Raw Data'!I197</f>
        <v>9</v>
      </c>
      <c r="J197" s="20" t="str">
        <f aca="false">'Raw Data'!J197</f>
        <v>education</v>
      </c>
      <c r="K197" s="21" t="n">
        <f aca="false">H197/I197</f>
        <v>166.777777777778</v>
      </c>
      <c r="L197" s="21" t="n">
        <f aca="false">100-MIN(K197/Assumptions!$B$14,1)*100</f>
        <v>58.3055555555556</v>
      </c>
      <c r="M197" s="21" t="n">
        <f aca="false">VLOOKUP(F197,Assumptions!$A$19:$B$23,2,0)</f>
        <v>25</v>
      </c>
      <c r="N197" s="21" t="n">
        <f aca="false">VLOOKUP(G197,Assumptions!$A$27:$B$30,2,0)</f>
        <v>60</v>
      </c>
      <c r="O197" s="21" t="n">
        <f aca="false">VLOOKUP(D197,Assumptions!$A$34:$B$37,2,0)</f>
        <v>100</v>
      </c>
      <c r="P197" s="21" t="n">
        <f aca="false">VLOOKUP(E197,Assumptions!$A$41:$B$43,2,0)</f>
        <v>100</v>
      </c>
      <c r="Q197" s="22" t="n">
        <f aca="false">L197*Assumptions!$B$7+M197*Assumptions!$B$8+N197*Assumptions!$B$9+O197*Assumptions!$B$10+P197*Assumptions!$B$11</f>
        <v>60.7416666666667</v>
      </c>
      <c r="R197" s="11" t="str">
        <f aca="false">IF(Q197&lt;=33,"High Risk",IF(Q197&lt;=66,"Medium Risk","Low Risk"))</f>
        <v>Medium Risk</v>
      </c>
    </row>
    <row r="198" customFormat="false" ht="15" hidden="false" customHeight="true" outlineLevel="0" collapsed="false">
      <c r="A198" s="20" t="n">
        <f aca="false">'Raw Data'!A198</f>
        <v>197</v>
      </c>
      <c r="B198" s="20" t="n">
        <f aca="false">'Raw Data'!B198</f>
        <v>28</v>
      </c>
      <c r="C198" s="20" t="str">
        <f aca="false">'Raw Data'!C198</f>
        <v>female</v>
      </c>
      <c r="D198" s="20" t="n">
        <f aca="false">'Raw Data'!D198</f>
        <v>2</v>
      </c>
      <c r="E198" s="20" t="str">
        <f aca="false">'Raw Data'!E198</f>
        <v>own</v>
      </c>
      <c r="F198" s="20" t="str">
        <f aca="false">'Raw Data'!F198</f>
        <v>little</v>
      </c>
      <c r="G198" s="20" t="str">
        <f aca="false">'Raw Data'!G198</f>
        <v>none</v>
      </c>
      <c r="H198" s="20" t="n">
        <f aca="false">'Raw Data'!H198</f>
        <v>1382</v>
      </c>
      <c r="I198" s="20" t="n">
        <f aca="false">'Raw Data'!I198</f>
        <v>6</v>
      </c>
      <c r="J198" s="20" t="str">
        <f aca="false">'Raw Data'!J198</f>
        <v>radio/TV</v>
      </c>
      <c r="K198" s="21" t="n">
        <f aca="false">H198/I198</f>
        <v>230.333333333333</v>
      </c>
      <c r="L198" s="21" t="n">
        <f aca="false">100-MIN(K198/Assumptions!$B$14,1)*100</f>
        <v>42.4166666666667</v>
      </c>
      <c r="M198" s="21" t="n">
        <f aca="false">VLOOKUP(F198,Assumptions!$A$19:$B$23,2,0)</f>
        <v>25</v>
      </c>
      <c r="N198" s="21" t="n">
        <f aca="false">VLOOKUP(G198,Assumptions!$A$27:$B$30,2,0)</f>
        <v>50</v>
      </c>
      <c r="O198" s="21" t="n">
        <f aca="false">VLOOKUP(D198,Assumptions!$A$34:$B$37,2,0)</f>
        <v>66</v>
      </c>
      <c r="P198" s="21" t="n">
        <f aca="false">VLOOKUP(E198,Assumptions!$A$41:$B$43,2,0)</f>
        <v>100</v>
      </c>
      <c r="Q198" s="22" t="n">
        <f aca="false">L198*Assumptions!$B$7+M198*Assumptions!$B$8+N198*Assumptions!$B$9+O198*Assumptions!$B$10+P198*Assumptions!$B$11</f>
        <v>48.875</v>
      </c>
      <c r="R198" s="11" t="str">
        <f aca="false">IF(Q198&lt;=33,"High Risk",IF(Q198&lt;=66,"Medium Risk","Low Risk"))</f>
        <v>Medium Risk</v>
      </c>
    </row>
    <row r="199" customFormat="false" ht="15" hidden="false" customHeight="true" outlineLevel="0" collapsed="false">
      <c r="A199" s="20" t="n">
        <f aca="false">'Raw Data'!A199</f>
        <v>198</v>
      </c>
      <c r="B199" s="20" t="n">
        <f aca="false">'Raw Data'!B199</f>
        <v>27</v>
      </c>
      <c r="C199" s="20" t="str">
        <f aca="false">'Raw Data'!C199</f>
        <v>female</v>
      </c>
      <c r="D199" s="20" t="n">
        <f aca="false">'Raw Data'!D199</f>
        <v>2</v>
      </c>
      <c r="E199" s="20" t="str">
        <f aca="false">'Raw Data'!E199</f>
        <v>rent</v>
      </c>
      <c r="F199" s="20" t="str">
        <f aca="false">'Raw Data'!F199</f>
        <v>moderate</v>
      </c>
      <c r="G199" s="20" t="str">
        <f aca="false">'Raw Data'!G199</f>
        <v>moderate</v>
      </c>
      <c r="H199" s="20" t="n">
        <f aca="false">'Raw Data'!H199</f>
        <v>951</v>
      </c>
      <c r="I199" s="20" t="n">
        <f aca="false">'Raw Data'!I199</f>
        <v>12</v>
      </c>
      <c r="J199" s="20" t="str">
        <f aca="false">'Raw Data'!J199</f>
        <v>furniture/equipment</v>
      </c>
      <c r="K199" s="21" t="n">
        <f aca="false">H199/I199</f>
        <v>79.25</v>
      </c>
      <c r="L199" s="21" t="n">
        <f aca="false">100-MIN(K199/Assumptions!$B$14,1)*100</f>
        <v>80.1875</v>
      </c>
      <c r="M199" s="21" t="n">
        <f aca="false">VLOOKUP(F199,Assumptions!$A$19:$B$23,2,0)</f>
        <v>50</v>
      </c>
      <c r="N199" s="21" t="n">
        <f aca="false">VLOOKUP(G199,Assumptions!$A$27:$B$30,2,0)</f>
        <v>60</v>
      </c>
      <c r="O199" s="21" t="n">
        <f aca="false">VLOOKUP(D199,Assumptions!$A$34:$B$37,2,0)</f>
        <v>66</v>
      </c>
      <c r="P199" s="21" t="n">
        <f aca="false">VLOOKUP(E199,Assumptions!$A$41:$B$43,2,0)</f>
        <v>30</v>
      </c>
      <c r="Q199" s="22" t="n">
        <f aca="false">L199*Assumptions!$B$7+M199*Assumptions!$B$8+N199*Assumptions!$B$9+O199*Assumptions!$B$10+P199*Assumptions!$B$11</f>
        <v>61.45625</v>
      </c>
      <c r="R199" s="11" t="str">
        <f aca="false">IF(Q199&lt;=33,"High Risk",IF(Q199&lt;=66,"Medium Risk","Low Risk"))</f>
        <v>Medium Risk</v>
      </c>
    </row>
    <row r="200" customFormat="false" ht="15" hidden="false" customHeight="true" outlineLevel="0" collapsed="false">
      <c r="A200" s="20" t="n">
        <f aca="false">'Raw Data'!A200</f>
        <v>199</v>
      </c>
      <c r="B200" s="20" t="n">
        <f aca="false">'Raw Data'!B200</f>
        <v>36</v>
      </c>
      <c r="C200" s="20" t="str">
        <f aca="false">'Raw Data'!C200</f>
        <v>male</v>
      </c>
      <c r="D200" s="20" t="n">
        <f aca="false">'Raw Data'!D200</f>
        <v>2</v>
      </c>
      <c r="E200" s="20" t="str">
        <f aca="false">'Raw Data'!E200</f>
        <v>free</v>
      </c>
      <c r="F200" s="20" t="str">
        <f aca="false">'Raw Data'!F200</f>
        <v>none</v>
      </c>
      <c r="G200" s="20" t="str">
        <f aca="false">'Raw Data'!G200</f>
        <v>moderate</v>
      </c>
      <c r="H200" s="20" t="n">
        <f aca="false">'Raw Data'!H200</f>
        <v>2760</v>
      </c>
      <c r="I200" s="20" t="n">
        <f aca="false">'Raw Data'!I200</f>
        <v>24</v>
      </c>
      <c r="J200" s="20" t="str">
        <f aca="false">'Raw Data'!J200</f>
        <v>car</v>
      </c>
      <c r="K200" s="21" t="n">
        <f aca="false">H200/I200</f>
        <v>115</v>
      </c>
      <c r="L200" s="21" t="n">
        <f aca="false">100-MIN(K200/Assumptions!$B$14,1)*100</f>
        <v>71.25</v>
      </c>
      <c r="M200" s="21" t="n">
        <f aca="false">VLOOKUP(F200,Assumptions!$A$19:$B$23,2,0)</f>
        <v>40</v>
      </c>
      <c r="N200" s="21" t="n">
        <f aca="false">VLOOKUP(G200,Assumptions!$A$27:$B$30,2,0)</f>
        <v>60</v>
      </c>
      <c r="O200" s="21" t="n">
        <f aca="false">VLOOKUP(D200,Assumptions!$A$34:$B$37,2,0)</f>
        <v>66</v>
      </c>
      <c r="P200" s="21" t="n">
        <f aca="false">VLOOKUP(E200,Assumptions!$A$41:$B$43,2,0)</f>
        <v>60</v>
      </c>
      <c r="Q200" s="22" t="n">
        <f aca="false">L200*Assumptions!$B$7+M200*Assumptions!$B$8+N200*Assumptions!$B$9+O200*Assumptions!$B$10+P200*Assumptions!$B$11</f>
        <v>59.275</v>
      </c>
      <c r="R200" s="11" t="str">
        <f aca="false">IF(Q200&lt;=33,"High Risk",IF(Q200&lt;=66,"Medium Risk","Low Risk"))</f>
        <v>Medium Risk</v>
      </c>
    </row>
    <row r="201" customFormat="false" ht="15" hidden="false" customHeight="true" outlineLevel="0" collapsed="false">
      <c r="A201" s="20" t="n">
        <f aca="false">'Raw Data'!A201</f>
        <v>200</v>
      </c>
      <c r="B201" s="20" t="n">
        <f aca="false">'Raw Data'!B201</f>
        <v>40</v>
      </c>
      <c r="C201" s="20" t="str">
        <f aca="false">'Raw Data'!C201</f>
        <v>male</v>
      </c>
      <c r="D201" s="20" t="n">
        <f aca="false">'Raw Data'!D201</f>
        <v>3</v>
      </c>
      <c r="E201" s="20" t="str">
        <f aca="false">'Raw Data'!E201</f>
        <v>own</v>
      </c>
      <c r="F201" s="20" t="str">
        <f aca="false">'Raw Data'!F201</f>
        <v>little</v>
      </c>
      <c r="G201" s="20" t="str">
        <f aca="false">'Raw Data'!G201</f>
        <v>moderate</v>
      </c>
      <c r="H201" s="20" t="n">
        <f aca="false">'Raw Data'!H201</f>
        <v>4297</v>
      </c>
      <c r="I201" s="20" t="n">
        <f aca="false">'Raw Data'!I201</f>
        <v>18</v>
      </c>
      <c r="J201" s="20" t="str">
        <f aca="false">'Raw Data'!J201</f>
        <v>furniture/equipment</v>
      </c>
      <c r="K201" s="21" t="n">
        <f aca="false">H201/I201</f>
        <v>238.722222222222</v>
      </c>
      <c r="L201" s="21" t="n">
        <f aca="false">100-MIN(K201/Assumptions!$B$14,1)*100</f>
        <v>40.3194444444444</v>
      </c>
      <c r="M201" s="21" t="n">
        <f aca="false">VLOOKUP(F201,Assumptions!$A$19:$B$23,2,0)</f>
        <v>25</v>
      </c>
      <c r="N201" s="21" t="n">
        <f aca="false">VLOOKUP(G201,Assumptions!$A$27:$B$30,2,0)</f>
        <v>60</v>
      </c>
      <c r="O201" s="21" t="n">
        <f aca="false">VLOOKUP(D201,Assumptions!$A$34:$B$37,2,0)</f>
        <v>100</v>
      </c>
      <c r="P201" s="21" t="n">
        <f aca="false">VLOOKUP(E201,Assumptions!$A$41:$B$43,2,0)</f>
        <v>100</v>
      </c>
      <c r="Q201" s="22" t="n">
        <f aca="false">L201*Assumptions!$B$7+M201*Assumptions!$B$8+N201*Assumptions!$B$9+O201*Assumptions!$B$10+P201*Assumptions!$B$11</f>
        <v>55.3458333333333</v>
      </c>
      <c r="R201" s="11" t="str">
        <f aca="false">IF(Q201&lt;=33,"High Risk",IF(Q201&lt;=66,"Medium Risk","Low Risk"))</f>
        <v>Medium Risk</v>
      </c>
    </row>
    <row r="202" customFormat="false" ht="15" hidden="false" customHeight="true" outlineLevel="0" collapsed="false">
      <c r="A202" s="20" t="n">
        <f aca="false">'Raw Data'!A202</f>
        <v>201</v>
      </c>
      <c r="B202" s="20" t="n">
        <f aca="false">'Raw Data'!B202</f>
        <v>52</v>
      </c>
      <c r="C202" s="20" t="str">
        <f aca="false">'Raw Data'!C202</f>
        <v>male</v>
      </c>
      <c r="D202" s="20" t="n">
        <f aca="false">'Raw Data'!D202</f>
        <v>2</v>
      </c>
      <c r="E202" s="20" t="str">
        <f aca="false">'Raw Data'!E202</f>
        <v>own</v>
      </c>
      <c r="F202" s="20" t="str">
        <f aca="false">'Raw Data'!F202</f>
        <v>quite rich</v>
      </c>
      <c r="G202" s="20" t="str">
        <f aca="false">'Raw Data'!G202</f>
        <v>none</v>
      </c>
      <c r="H202" s="20" t="n">
        <f aca="false">'Raw Data'!H202</f>
        <v>936</v>
      </c>
      <c r="I202" s="20" t="n">
        <f aca="false">'Raw Data'!I202</f>
        <v>9</v>
      </c>
      <c r="J202" s="20" t="str">
        <f aca="false">'Raw Data'!J202</f>
        <v>education</v>
      </c>
      <c r="K202" s="21" t="n">
        <f aca="false">H202/I202</f>
        <v>104</v>
      </c>
      <c r="L202" s="21" t="n">
        <f aca="false">100-MIN(K202/Assumptions!$B$14,1)*100</f>
        <v>74</v>
      </c>
      <c r="M202" s="21" t="n">
        <f aca="false">VLOOKUP(F202,Assumptions!$A$19:$B$23,2,0)</f>
        <v>75</v>
      </c>
      <c r="N202" s="21" t="n">
        <f aca="false">VLOOKUP(G202,Assumptions!$A$27:$B$30,2,0)</f>
        <v>50</v>
      </c>
      <c r="O202" s="21" t="n">
        <f aca="false">VLOOKUP(D202,Assumptions!$A$34:$B$37,2,0)</f>
        <v>66</v>
      </c>
      <c r="P202" s="21" t="n">
        <f aca="false">VLOOKUP(E202,Assumptions!$A$41:$B$43,2,0)</f>
        <v>100</v>
      </c>
      <c r="Q202" s="22" t="n">
        <f aca="false">L202*Assumptions!$B$7+M202*Assumptions!$B$8+N202*Assumptions!$B$9+O202*Assumptions!$B$10+P202*Assumptions!$B$11</f>
        <v>70.85</v>
      </c>
      <c r="R202" s="11" t="str">
        <f aca="false">IF(Q202&lt;=33,"High Risk",IF(Q202&lt;=66,"Medium Risk","Low Risk"))</f>
        <v>Low Risk</v>
      </c>
    </row>
    <row r="203" customFormat="false" ht="15" hidden="false" customHeight="true" outlineLevel="0" collapsed="false">
      <c r="A203" s="20" t="n">
        <f aca="false">'Raw Data'!A203</f>
        <v>202</v>
      </c>
      <c r="B203" s="20" t="n">
        <f aca="false">'Raw Data'!B203</f>
        <v>27</v>
      </c>
      <c r="C203" s="20" t="str">
        <f aca="false">'Raw Data'!C203</f>
        <v>male</v>
      </c>
      <c r="D203" s="20" t="n">
        <f aca="false">'Raw Data'!D203</f>
        <v>1</v>
      </c>
      <c r="E203" s="20" t="str">
        <f aca="false">'Raw Data'!E203</f>
        <v>own</v>
      </c>
      <c r="F203" s="20" t="str">
        <f aca="false">'Raw Data'!F203</f>
        <v>little</v>
      </c>
      <c r="G203" s="20" t="str">
        <f aca="false">'Raw Data'!G203</f>
        <v>little</v>
      </c>
      <c r="H203" s="20" t="n">
        <f aca="false">'Raw Data'!H203</f>
        <v>1168</v>
      </c>
      <c r="I203" s="20" t="n">
        <f aca="false">'Raw Data'!I203</f>
        <v>12</v>
      </c>
      <c r="J203" s="20" t="str">
        <f aca="false">'Raw Data'!J203</f>
        <v>car</v>
      </c>
      <c r="K203" s="21" t="n">
        <f aca="false">H203/I203</f>
        <v>97.3333333333333</v>
      </c>
      <c r="L203" s="21" t="n">
        <f aca="false">100-MIN(K203/Assumptions!$B$14,1)*100</f>
        <v>75.6666666666667</v>
      </c>
      <c r="M203" s="21" t="n">
        <f aca="false">VLOOKUP(F203,Assumptions!$A$19:$B$23,2,0)</f>
        <v>25</v>
      </c>
      <c r="N203" s="21" t="n">
        <f aca="false">VLOOKUP(G203,Assumptions!$A$27:$B$30,2,0)</f>
        <v>25</v>
      </c>
      <c r="O203" s="21" t="n">
        <f aca="false">VLOOKUP(D203,Assumptions!$A$34:$B$37,2,0)</f>
        <v>33</v>
      </c>
      <c r="P203" s="21" t="n">
        <f aca="false">VLOOKUP(E203,Assumptions!$A$41:$B$43,2,0)</f>
        <v>100</v>
      </c>
      <c r="Q203" s="22" t="n">
        <f aca="false">L203*Assumptions!$B$7+M203*Assumptions!$B$8+N203*Assumptions!$B$9+O203*Assumptions!$B$10+P203*Assumptions!$B$11</f>
        <v>48.9</v>
      </c>
      <c r="R203" s="11" t="str">
        <f aca="false">IF(Q203&lt;=33,"High Risk",IF(Q203&lt;=66,"Medium Risk","Low Risk"))</f>
        <v>Medium Risk</v>
      </c>
    </row>
    <row r="204" customFormat="false" ht="15" hidden="false" customHeight="true" outlineLevel="0" collapsed="false">
      <c r="A204" s="20" t="n">
        <f aca="false">'Raw Data'!A204</f>
        <v>203</v>
      </c>
      <c r="B204" s="20" t="n">
        <f aca="false">'Raw Data'!B204</f>
        <v>26</v>
      </c>
      <c r="C204" s="20" t="str">
        <f aca="false">'Raw Data'!C204</f>
        <v>male</v>
      </c>
      <c r="D204" s="20" t="n">
        <f aca="false">'Raw Data'!D204</f>
        <v>2</v>
      </c>
      <c r="E204" s="20" t="str">
        <f aca="false">'Raw Data'!E204</f>
        <v>own</v>
      </c>
      <c r="F204" s="20" t="str">
        <f aca="false">'Raw Data'!F204</f>
        <v>little</v>
      </c>
      <c r="G204" s="20" t="str">
        <f aca="false">'Raw Data'!G204</f>
        <v>none</v>
      </c>
      <c r="H204" s="20" t="n">
        <f aca="false">'Raw Data'!H204</f>
        <v>5117</v>
      </c>
      <c r="I204" s="20" t="n">
        <f aca="false">'Raw Data'!I204</f>
        <v>27</v>
      </c>
      <c r="J204" s="20" t="str">
        <f aca="false">'Raw Data'!J204</f>
        <v>business</v>
      </c>
      <c r="K204" s="21" t="n">
        <f aca="false">H204/I204</f>
        <v>189.518518518519</v>
      </c>
      <c r="L204" s="21" t="n">
        <f aca="false">100-MIN(K204/Assumptions!$B$14,1)*100</f>
        <v>52.6203703703704</v>
      </c>
      <c r="M204" s="21" t="n">
        <f aca="false">VLOOKUP(F204,Assumptions!$A$19:$B$23,2,0)</f>
        <v>25</v>
      </c>
      <c r="N204" s="21" t="n">
        <f aca="false">VLOOKUP(G204,Assumptions!$A$27:$B$30,2,0)</f>
        <v>50</v>
      </c>
      <c r="O204" s="21" t="n">
        <f aca="false">VLOOKUP(D204,Assumptions!$A$34:$B$37,2,0)</f>
        <v>66</v>
      </c>
      <c r="P204" s="21" t="n">
        <f aca="false">VLOOKUP(E204,Assumptions!$A$41:$B$43,2,0)</f>
        <v>100</v>
      </c>
      <c r="Q204" s="22" t="n">
        <f aca="false">L204*Assumptions!$B$7+M204*Assumptions!$B$8+N204*Assumptions!$B$9+O204*Assumptions!$B$10+P204*Assumptions!$B$11</f>
        <v>51.9361111111111</v>
      </c>
      <c r="R204" s="11" t="str">
        <f aca="false">IF(Q204&lt;=33,"High Risk",IF(Q204&lt;=66,"Medium Risk","Low Risk"))</f>
        <v>Medium Risk</v>
      </c>
    </row>
    <row r="205" customFormat="false" ht="15" hidden="false" customHeight="true" outlineLevel="0" collapsed="false">
      <c r="A205" s="20" t="n">
        <f aca="false">'Raw Data'!A205</f>
        <v>204</v>
      </c>
      <c r="B205" s="20" t="n">
        <f aca="false">'Raw Data'!B205</f>
        <v>21</v>
      </c>
      <c r="C205" s="20" t="str">
        <f aca="false">'Raw Data'!C205</f>
        <v>male</v>
      </c>
      <c r="D205" s="20" t="n">
        <f aca="false">'Raw Data'!D205</f>
        <v>2</v>
      </c>
      <c r="E205" s="20" t="str">
        <f aca="false">'Raw Data'!E205</f>
        <v>rent</v>
      </c>
      <c r="F205" s="20" t="str">
        <f aca="false">'Raw Data'!F205</f>
        <v>little</v>
      </c>
      <c r="G205" s="20" t="str">
        <f aca="false">'Raw Data'!G205</f>
        <v>little</v>
      </c>
      <c r="H205" s="20" t="n">
        <f aca="false">'Raw Data'!H205</f>
        <v>902</v>
      </c>
      <c r="I205" s="20" t="n">
        <f aca="false">'Raw Data'!I205</f>
        <v>12</v>
      </c>
      <c r="J205" s="20" t="str">
        <f aca="false">'Raw Data'!J205</f>
        <v>education</v>
      </c>
      <c r="K205" s="21" t="n">
        <f aca="false">H205/I205</f>
        <v>75.1666666666667</v>
      </c>
      <c r="L205" s="21" t="n">
        <f aca="false">100-MIN(K205/Assumptions!$B$14,1)*100</f>
        <v>81.2083333333333</v>
      </c>
      <c r="M205" s="21" t="n">
        <f aca="false">VLOOKUP(F205,Assumptions!$A$19:$B$23,2,0)</f>
        <v>25</v>
      </c>
      <c r="N205" s="21" t="n">
        <f aca="false">VLOOKUP(G205,Assumptions!$A$27:$B$30,2,0)</f>
        <v>25</v>
      </c>
      <c r="O205" s="21" t="n">
        <f aca="false">VLOOKUP(D205,Assumptions!$A$34:$B$37,2,0)</f>
        <v>66</v>
      </c>
      <c r="P205" s="21" t="n">
        <f aca="false">VLOOKUP(E205,Assumptions!$A$41:$B$43,2,0)</f>
        <v>30</v>
      </c>
      <c r="Q205" s="22" t="n">
        <f aca="false">L205*Assumptions!$B$7+M205*Assumptions!$B$8+N205*Assumptions!$B$9+O205*Assumptions!$B$10+P205*Assumptions!$B$11</f>
        <v>48.5125</v>
      </c>
      <c r="R205" s="11" t="str">
        <f aca="false">IF(Q205&lt;=33,"High Risk",IF(Q205&lt;=66,"Medium Risk","Low Risk"))</f>
        <v>Medium Risk</v>
      </c>
    </row>
    <row r="206" customFormat="false" ht="15" hidden="false" customHeight="true" outlineLevel="0" collapsed="false">
      <c r="A206" s="20" t="n">
        <f aca="false">'Raw Data'!A206</f>
        <v>205</v>
      </c>
      <c r="B206" s="20" t="n">
        <f aca="false">'Raw Data'!B206</f>
        <v>38</v>
      </c>
      <c r="C206" s="20" t="str">
        <f aca="false">'Raw Data'!C206</f>
        <v>male</v>
      </c>
      <c r="D206" s="20" t="n">
        <f aca="false">'Raw Data'!D206</f>
        <v>1</v>
      </c>
      <c r="E206" s="20" t="str">
        <f aca="false">'Raw Data'!E206</f>
        <v>own</v>
      </c>
      <c r="F206" s="20" t="str">
        <f aca="false">'Raw Data'!F206</f>
        <v>little</v>
      </c>
      <c r="G206" s="20" t="str">
        <f aca="false">'Raw Data'!G206</f>
        <v>none</v>
      </c>
      <c r="H206" s="20" t="n">
        <f aca="false">'Raw Data'!H206</f>
        <v>1495</v>
      </c>
      <c r="I206" s="20" t="n">
        <f aca="false">'Raw Data'!I206</f>
        <v>12</v>
      </c>
      <c r="J206" s="20" t="str">
        <f aca="false">'Raw Data'!J206</f>
        <v>car</v>
      </c>
      <c r="K206" s="21" t="n">
        <f aca="false">H206/I206</f>
        <v>124.583333333333</v>
      </c>
      <c r="L206" s="21" t="n">
        <f aca="false">100-MIN(K206/Assumptions!$B$14,1)*100</f>
        <v>68.8541666666667</v>
      </c>
      <c r="M206" s="21" t="n">
        <f aca="false">VLOOKUP(F206,Assumptions!$A$19:$B$23,2,0)</f>
        <v>25</v>
      </c>
      <c r="N206" s="21" t="n">
        <f aca="false">VLOOKUP(G206,Assumptions!$A$27:$B$30,2,0)</f>
        <v>50</v>
      </c>
      <c r="O206" s="21" t="n">
        <f aca="false">VLOOKUP(D206,Assumptions!$A$34:$B$37,2,0)</f>
        <v>33</v>
      </c>
      <c r="P206" s="21" t="n">
        <f aca="false">VLOOKUP(E206,Assumptions!$A$41:$B$43,2,0)</f>
        <v>100</v>
      </c>
      <c r="Q206" s="22" t="n">
        <f aca="false">L206*Assumptions!$B$7+M206*Assumptions!$B$8+N206*Assumptions!$B$9+O206*Assumptions!$B$10+P206*Assumptions!$B$11</f>
        <v>51.85625</v>
      </c>
      <c r="R206" s="11" t="str">
        <f aca="false">IF(Q206&lt;=33,"High Risk",IF(Q206&lt;=66,"Medium Risk","Low Risk"))</f>
        <v>Medium Risk</v>
      </c>
    </row>
    <row r="207" customFormat="false" ht="15" hidden="false" customHeight="true" outlineLevel="0" collapsed="false">
      <c r="A207" s="20" t="n">
        <f aca="false">'Raw Data'!A207</f>
        <v>206</v>
      </c>
      <c r="B207" s="20" t="n">
        <f aca="false">'Raw Data'!B207</f>
        <v>38</v>
      </c>
      <c r="C207" s="20" t="str">
        <f aca="false">'Raw Data'!C207</f>
        <v>male</v>
      </c>
      <c r="D207" s="20" t="n">
        <f aca="false">'Raw Data'!D207</f>
        <v>3</v>
      </c>
      <c r="E207" s="20" t="str">
        <f aca="false">'Raw Data'!E207</f>
        <v>free</v>
      </c>
      <c r="F207" s="20" t="str">
        <f aca="false">'Raw Data'!F207</f>
        <v>little</v>
      </c>
      <c r="G207" s="20" t="str">
        <f aca="false">'Raw Data'!G207</f>
        <v>little</v>
      </c>
      <c r="H207" s="20" t="n">
        <f aca="false">'Raw Data'!H207</f>
        <v>10623</v>
      </c>
      <c r="I207" s="20" t="n">
        <f aca="false">'Raw Data'!I207</f>
        <v>30</v>
      </c>
      <c r="J207" s="20" t="str">
        <f aca="false">'Raw Data'!J207</f>
        <v>car</v>
      </c>
      <c r="K207" s="21" t="n">
        <f aca="false">H207/I207</f>
        <v>354.1</v>
      </c>
      <c r="L207" s="21" t="n">
        <f aca="false">100-MIN(K207/Assumptions!$B$14,1)*100</f>
        <v>11.475</v>
      </c>
      <c r="M207" s="21" t="n">
        <f aca="false">VLOOKUP(F207,Assumptions!$A$19:$B$23,2,0)</f>
        <v>25</v>
      </c>
      <c r="N207" s="21" t="n">
        <f aca="false">VLOOKUP(G207,Assumptions!$A$27:$B$30,2,0)</f>
        <v>25</v>
      </c>
      <c r="O207" s="21" t="n">
        <f aca="false">VLOOKUP(D207,Assumptions!$A$34:$B$37,2,0)</f>
        <v>100</v>
      </c>
      <c r="P207" s="21" t="n">
        <f aca="false">VLOOKUP(E207,Assumptions!$A$41:$B$43,2,0)</f>
        <v>60</v>
      </c>
      <c r="Q207" s="22" t="n">
        <f aca="false">L207*Assumptions!$B$7+M207*Assumptions!$B$8+N207*Assumptions!$B$9+O207*Assumptions!$B$10+P207*Assumptions!$B$11</f>
        <v>35.6925</v>
      </c>
      <c r="R207" s="11" t="str">
        <f aca="false">IF(Q207&lt;=33,"High Risk",IF(Q207&lt;=66,"Medium Risk","Low Risk"))</f>
        <v>Medium Risk</v>
      </c>
    </row>
    <row r="208" customFormat="false" ht="15" hidden="false" customHeight="true" outlineLevel="0" collapsed="false">
      <c r="A208" s="20" t="n">
        <f aca="false">'Raw Data'!A208</f>
        <v>207</v>
      </c>
      <c r="B208" s="20" t="n">
        <f aca="false">'Raw Data'!B208</f>
        <v>43</v>
      </c>
      <c r="C208" s="20" t="str">
        <f aca="false">'Raw Data'!C208</f>
        <v>male</v>
      </c>
      <c r="D208" s="20" t="n">
        <f aca="false">'Raw Data'!D208</f>
        <v>2</v>
      </c>
      <c r="E208" s="20" t="str">
        <f aca="false">'Raw Data'!E208</f>
        <v>own</v>
      </c>
      <c r="F208" s="20" t="str">
        <f aca="false">'Raw Data'!F208</f>
        <v>little</v>
      </c>
      <c r="G208" s="20" t="str">
        <f aca="false">'Raw Data'!G208</f>
        <v>none</v>
      </c>
      <c r="H208" s="20" t="n">
        <f aca="false">'Raw Data'!H208</f>
        <v>1935</v>
      </c>
      <c r="I208" s="20" t="n">
        <f aca="false">'Raw Data'!I208</f>
        <v>12</v>
      </c>
      <c r="J208" s="20" t="str">
        <f aca="false">'Raw Data'!J208</f>
        <v>furniture/equipment</v>
      </c>
      <c r="K208" s="21" t="n">
        <f aca="false">H208/I208</f>
        <v>161.25</v>
      </c>
      <c r="L208" s="21" t="n">
        <f aca="false">100-MIN(K208/Assumptions!$B$14,1)*100</f>
        <v>59.6875</v>
      </c>
      <c r="M208" s="21" t="n">
        <f aca="false">VLOOKUP(F208,Assumptions!$A$19:$B$23,2,0)</f>
        <v>25</v>
      </c>
      <c r="N208" s="21" t="n">
        <f aca="false">VLOOKUP(G208,Assumptions!$A$27:$B$30,2,0)</f>
        <v>50</v>
      </c>
      <c r="O208" s="21" t="n">
        <f aca="false">VLOOKUP(D208,Assumptions!$A$34:$B$37,2,0)</f>
        <v>66</v>
      </c>
      <c r="P208" s="21" t="n">
        <f aca="false">VLOOKUP(E208,Assumptions!$A$41:$B$43,2,0)</f>
        <v>100</v>
      </c>
      <c r="Q208" s="22" t="n">
        <f aca="false">L208*Assumptions!$B$7+M208*Assumptions!$B$8+N208*Assumptions!$B$9+O208*Assumptions!$B$10+P208*Assumptions!$B$11</f>
        <v>54.05625</v>
      </c>
      <c r="R208" s="11" t="str">
        <f aca="false">IF(Q208&lt;=33,"High Risk",IF(Q208&lt;=66,"Medium Risk","Low Risk"))</f>
        <v>Medium Risk</v>
      </c>
    </row>
    <row r="209" customFormat="false" ht="15" hidden="false" customHeight="true" outlineLevel="0" collapsed="false">
      <c r="A209" s="20" t="n">
        <f aca="false">'Raw Data'!A209</f>
        <v>208</v>
      </c>
      <c r="B209" s="20" t="n">
        <f aca="false">'Raw Data'!B209</f>
        <v>26</v>
      </c>
      <c r="C209" s="20" t="str">
        <f aca="false">'Raw Data'!C209</f>
        <v>male</v>
      </c>
      <c r="D209" s="20" t="n">
        <f aca="false">'Raw Data'!D209</f>
        <v>2</v>
      </c>
      <c r="E209" s="20" t="str">
        <f aca="false">'Raw Data'!E209</f>
        <v>own</v>
      </c>
      <c r="F209" s="20" t="str">
        <f aca="false">'Raw Data'!F209</f>
        <v>little</v>
      </c>
      <c r="G209" s="20" t="str">
        <f aca="false">'Raw Data'!G209</f>
        <v>moderate</v>
      </c>
      <c r="H209" s="20" t="n">
        <f aca="false">'Raw Data'!H209</f>
        <v>1424</v>
      </c>
      <c r="I209" s="20" t="n">
        <f aca="false">'Raw Data'!I209</f>
        <v>12</v>
      </c>
      <c r="J209" s="20" t="str">
        <f aca="false">'Raw Data'!J209</f>
        <v>domestic appliances</v>
      </c>
      <c r="K209" s="21" t="n">
        <f aca="false">H209/I209</f>
        <v>118.666666666667</v>
      </c>
      <c r="L209" s="21" t="n">
        <f aca="false">100-MIN(K209/Assumptions!$B$14,1)*100</f>
        <v>70.3333333333333</v>
      </c>
      <c r="M209" s="21" t="n">
        <f aca="false">VLOOKUP(F209,Assumptions!$A$19:$B$23,2,0)</f>
        <v>25</v>
      </c>
      <c r="N209" s="21" t="n">
        <f aca="false">VLOOKUP(G209,Assumptions!$A$27:$B$30,2,0)</f>
        <v>60</v>
      </c>
      <c r="O209" s="21" t="n">
        <f aca="false">VLOOKUP(D209,Assumptions!$A$34:$B$37,2,0)</f>
        <v>66</v>
      </c>
      <c r="P209" s="21" t="n">
        <f aca="false">VLOOKUP(E209,Assumptions!$A$41:$B$43,2,0)</f>
        <v>100</v>
      </c>
      <c r="Q209" s="22" t="n">
        <f aca="false">L209*Assumptions!$B$7+M209*Assumptions!$B$8+N209*Assumptions!$B$9+O209*Assumptions!$B$10+P209*Assumptions!$B$11</f>
        <v>59.25</v>
      </c>
      <c r="R209" s="11" t="str">
        <f aca="false">IF(Q209&lt;=33,"High Risk",IF(Q209&lt;=66,"Medium Risk","Low Risk"))</f>
        <v>Medium Risk</v>
      </c>
    </row>
    <row r="210" customFormat="false" ht="15" hidden="false" customHeight="true" outlineLevel="0" collapsed="false">
      <c r="A210" s="20" t="n">
        <f aca="false">'Raw Data'!A210</f>
        <v>209</v>
      </c>
      <c r="B210" s="20" t="n">
        <f aca="false">'Raw Data'!B210</f>
        <v>21</v>
      </c>
      <c r="C210" s="20" t="str">
        <f aca="false">'Raw Data'!C210</f>
        <v>male</v>
      </c>
      <c r="D210" s="20" t="n">
        <f aca="false">'Raw Data'!D210</f>
        <v>1</v>
      </c>
      <c r="E210" s="20" t="str">
        <f aca="false">'Raw Data'!E210</f>
        <v>own</v>
      </c>
      <c r="F210" s="20" t="str">
        <f aca="false">'Raw Data'!F210</f>
        <v>little</v>
      </c>
      <c r="G210" s="20" t="str">
        <f aca="false">'Raw Data'!G210</f>
        <v>little</v>
      </c>
      <c r="H210" s="20" t="n">
        <f aca="false">'Raw Data'!H210</f>
        <v>6568</v>
      </c>
      <c r="I210" s="20" t="n">
        <f aca="false">'Raw Data'!I210</f>
        <v>24</v>
      </c>
      <c r="J210" s="20" t="str">
        <f aca="false">'Raw Data'!J210</f>
        <v>business</v>
      </c>
      <c r="K210" s="21" t="n">
        <f aca="false">H210/I210</f>
        <v>273.666666666667</v>
      </c>
      <c r="L210" s="21" t="n">
        <f aca="false">100-MIN(K210/Assumptions!$B$14,1)*100</f>
        <v>31.5833333333333</v>
      </c>
      <c r="M210" s="21" t="n">
        <f aca="false">VLOOKUP(F210,Assumptions!$A$19:$B$23,2,0)</f>
        <v>25</v>
      </c>
      <c r="N210" s="21" t="n">
        <f aca="false">VLOOKUP(G210,Assumptions!$A$27:$B$30,2,0)</f>
        <v>25</v>
      </c>
      <c r="O210" s="21" t="n">
        <f aca="false">VLOOKUP(D210,Assumptions!$A$34:$B$37,2,0)</f>
        <v>33</v>
      </c>
      <c r="P210" s="21" t="n">
        <f aca="false">VLOOKUP(E210,Assumptions!$A$41:$B$43,2,0)</f>
        <v>100</v>
      </c>
      <c r="Q210" s="22" t="n">
        <f aca="false">L210*Assumptions!$B$7+M210*Assumptions!$B$8+N210*Assumptions!$B$9+O210*Assumptions!$B$10+P210*Assumptions!$B$11</f>
        <v>35.675</v>
      </c>
      <c r="R210" s="11" t="str">
        <f aca="false">IF(Q210&lt;=33,"High Risk",IF(Q210&lt;=66,"Medium Risk","Low Risk"))</f>
        <v>Medium Risk</v>
      </c>
    </row>
    <row r="211" customFormat="false" ht="15" hidden="false" customHeight="true" outlineLevel="0" collapsed="false">
      <c r="A211" s="20" t="n">
        <f aca="false">'Raw Data'!A211</f>
        <v>210</v>
      </c>
      <c r="B211" s="20" t="n">
        <f aca="false">'Raw Data'!B211</f>
        <v>55</v>
      </c>
      <c r="C211" s="20" t="str">
        <f aca="false">'Raw Data'!C211</f>
        <v>male</v>
      </c>
      <c r="D211" s="20" t="n">
        <f aca="false">'Raw Data'!D211</f>
        <v>2</v>
      </c>
      <c r="E211" s="20" t="str">
        <f aca="false">'Raw Data'!E211</f>
        <v>own</v>
      </c>
      <c r="F211" s="20" t="str">
        <f aca="false">'Raw Data'!F211</f>
        <v>rich</v>
      </c>
      <c r="G211" s="20" t="str">
        <f aca="false">'Raw Data'!G211</f>
        <v>none</v>
      </c>
      <c r="H211" s="20" t="n">
        <f aca="false">'Raw Data'!H211</f>
        <v>1413</v>
      </c>
      <c r="I211" s="20" t="n">
        <f aca="false">'Raw Data'!I211</f>
        <v>12</v>
      </c>
      <c r="J211" s="20" t="str">
        <f aca="false">'Raw Data'!J211</f>
        <v>car</v>
      </c>
      <c r="K211" s="21" t="n">
        <f aca="false">H211/I211</f>
        <v>117.75</v>
      </c>
      <c r="L211" s="21" t="n">
        <f aca="false">100-MIN(K211/Assumptions!$B$14,1)*100</f>
        <v>70.5625</v>
      </c>
      <c r="M211" s="21" t="n">
        <f aca="false">VLOOKUP(F211,Assumptions!$A$19:$B$23,2,0)</f>
        <v>100</v>
      </c>
      <c r="N211" s="21" t="n">
        <f aca="false">VLOOKUP(G211,Assumptions!$A$27:$B$30,2,0)</f>
        <v>50</v>
      </c>
      <c r="O211" s="21" t="n">
        <f aca="false">VLOOKUP(D211,Assumptions!$A$34:$B$37,2,0)</f>
        <v>66</v>
      </c>
      <c r="P211" s="21" t="n">
        <f aca="false">VLOOKUP(E211,Assumptions!$A$41:$B$43,2,0)</f>
        <v>100</v>
      </c>
      <c r="Q211" s="22" t="n">
        <f aca="false">L211*Assumptions!$B$7+M211*Assumptions!$B$8+N211*Assumptions!$B$9+O211*Assumptions!$B$10+P211*Assumptions!$B$11</f>
        <v>76.06875</v>
      </c>
      <c r="R211" s="11" t="str">
        <f aca="false">IF(Q211&lt;=33,"High Risk",IF(Q211&lt;=66,"Medium Risk","Low Risk"))</f>
        <v>Low Risk</v>
      </c>
    </row>
    <row r="212" customFormat="false" ht="15" hidden="false" customHeight="true" outlineLevel="0" collapsed="false">
      <c r="A212" s="20" t="n">
        <f aca="false">'Raw Data'!A212</f>
        <v>211</v>
      </c>
      <c r="B212" s="20" t="n">
        <f aca="false">'Raw Data'!B212</f>
        <v>33</v>
      </c>
      <c r="C212" s="20" t="str">
        <f aca="false">'Raw Data'!C212</f>
        <v>male</v>
      </c>
      <c r="D212" s="20" t="n">
        <f aca="false">'Raw Data'!D212</f>
        <v>2</v>
      </c>
      <c r="E212" s="20" t="str">
        <f aca="false">'Raw Data'!E212</f>
        <v>own</v>
      </c>
      <c r="F212" s="20" t="str">
        <f aca="false">'Raw Data'!F212</f>
        <v>none</v>
      </c>
      <c r="G212" s="20" t="str">
        <f aca="false">'Raw Data'!G212</f>
        <v>none</v>
      </c>
      <c r="H212" s="20" t="n">
        <f aca="false">'Raw Data'!H212</f>
        <v>3074</v>
      </c>
      <c r="I212" s="20" t="n">
        <f aca="false">'Raw Data'!I212</f>
        <v>9</v>
      </c>
      <c r="J212" s="20" t="str">
        <f aca="false">'Raw Data'!J212</f>
        <v>radio/TV</v>
      </c>
      <c r="K212" s="21" t="n">
        <f aca="false">H212/I212</f>
        <v>341.555555555556</v>
      </c>
      <c r="L212" s="21" t="n">
        <f aca="false">100-MIN(K212/Assumptions!$B$14,1)*100</f>
        <v>14.6111111111111</v>
      </c>
      <c r="M212" s="21" t="n">
        <f aca="false">VLOOKUP(F212,Assumptions!$A$19:$B$23,2,0)</f>
        <v>40</v>
      </c>
      <c r="N212" s="21" t="n">
        <f aca="false">VLOOKUP(G212,Assumptions!$A$27:$B$30,2,0)</f>
        <v>50</v>
      </c>
      <c r="O212" s="21" t="n">
        <f aca="false">VLOOKUP(D212,Assumptions!$A$34:$B$37,2,0)</f>
        <v>66</v>
      </c>
      <c r="P212" s="21" t="n">
        <f aca="false">VLOOKUP(E212,Assumptions!$A$41:$B$43,2,0)</f>
        <v>100</v>
      </c>
      <c r="Q212" s="22" t="n">
        <f aca="false">L212*Assumptions!$B$7+M212*Assumptions!$B$8+N212*Assumptions!$B$9+O212*Assumptions!$B$10+P212*Assumptions!$B$11</f>
        <v>44.2833333333333</v>
      </c>
      <c r="R212" s="11" t="str">
        <f aca="false">IF(Q212&lt;=33,"High Risk",IF(Q212&lt;=66,"Medium Risk","Low Risk"))</f>
        <v>Medium Risk</v>
      </c>
    </row>
    <row r="213" customFormat="false" ht="15" hidden="false" customHeight="true" outlineLevel="0" collapsed="false">
      <c r="A213" s="20" t="n">
        <f aca="false">'Raw Data'!A213</f>
        <v>212</v>
      </c>
      <c r="B213" s="20" t="n">
        <f aca="false">'Raw Data'!B213</f>
        <v>45</v>
      </c>
      <c r="C213" s="20" t="str">
        <f aca="false">'Raw Data'!C213</f>
        <v>female</v>
      </c>
      <c r="D213" s="20" t="n">
        <f aca="false">'Raw Data'!D213</f>
        <v>1</v>
      </c>
      <c r="E213" s="20" t="str">
        <f aca="false">'Raw Data'!E213</f>
        <v>own</v>
      </c>
      <c r="F213" s="20" t="str">
        <f aca="false">'Raw Data'!F213</f>
        <v>none</v>
      </c>
      <c r="G213" s="20" t="str">
        <f aca="false">'Raw Data'!G213</f>
        <v>none</v>
      </c>
      <c r="H213" s="20" t="n">
        <f aca="false">'Raw Data'!H213</f>
        <v>3835</v>
      </c>
      <c r="I213" s="20" t="n">
        <f aca="false">'Raw Data'!I213</f>
        <v>36</v>
      </c>
      <c r="J213" s="20" t="str">
        <f aca="false">'Raw Data'!J213</f>
        <v>radio/TV</v>
      </c>
      <c r="K213" s="21" t="n">
        <f aca="false">H213/I213</f>
        <v>106.527777777778</v>
      </c>
      <c r="L213" s="21" t="n">
        <f aca="false">100-MIN(K213/Assumptions!$B$14,1)*100</f>
        <v>73.3680555555556</v>
      </c>
      <c r="M213" s="21" t="n">
        <f aca="false">VLOOKUP(F213,Assumptions!$A$19:$B$23,2,0)</f>
        <v>40</v>
      </c>
      <c r="N213" s="21" t="n">
        <f aca="false">VLOOKUP(G213,Assumptions!$A$27:$B$30,2,0)</f>
        <v>50</v>
      </c>
      <c r="O213" s="21" t="n">
        <f aca="false">VLOOKUP(D213,Assumptions!$A$34:$B$37,2,0)</f>
        <v>33</v>
      </c>
      <c r="P213" s="21" t="n">
        <f aca="false">VLOOKUP(E213,Assumptions!$A$41:$B$43,2,0)</f>
        <v>100</v>
      </c>
      <c r="Q213" s="22" t="n">
        <f aca="false">L213*Assumptions!$B$7+M213*Assumptions!$B$8+N213*Assumptions!$B$9+O213*Assumptions!$B$10+P213*Assumptions!$B$11</f>
        <v>56.9604166666667</v>
      </c>
      <c r="R213" s="11" t="str">
        <f aca="false">IF(Q213&lt;=33,"High Risk",IF(Q213&lt;=66,"Medium Risk","Low Risk"))</f>
        <v>Medium Risk</v>
      </c>
    </row>
    <row r="214" customFormat="false" ht="15" hidden="false" customHeight="true" outlineLevel="0" collapsed="false">
      <c r="A214" s="20" t="n">
        <f aca="false">'Raw Data'!A214</f>
        <v>213</v>
      </c>
      <c r="B214" s="20" t="n">
        <f aca="false">'Raw Data'!B214</f>
        <v>50</v>
      </c>
      <c r="C214" s="20" t="str">
        <f aca="false">'Raw Data'!C214</f>
        <v>male</v>
      </c>
      <c r="D214" s="20" t="n">
        <f aca="false">'Raw Data'!D214</f>
        <v>2</v>
      </c>
      <c r="E214" s="20" t="str">
        <f aca="false">'Raw Data'!E214</f>
        <v>own</v>
      </c>
      <c r="F214" s="20" t="str">
        <f aca="false">'Raw Data'!F214</f>
        <v>little</v>
      </c>
      <c r="G214" s="20" t="str">
        <f aca="false">'Raw Data'!G214</f>
        <v>little</v>
      </c>
      <c r="H214" s="20" t="n">
        <f aca="false">'Raw Data'!H214</f>
        <v>5293</v>
      </c>
      <c r="I214" s="20" t="n">
        <f aca="false">'Raw Data'!I214</f>
        <v>27</v>
      </c>
      <c r="J214" s="20" t="str">
        <f aca="false">'Raw Data'!J214</f>
        <v>business</v>
      </c>
      <c r="K214" s="21" t="n">
        <f aca="false">H214/I214</f>
        <v>196.037037037037</v>
      </c>
      <c r="L214" s="21" t="n">
        <f aca="false">100-MIN(K214/Assumptions!$B$14,1)*100</f>
        <v>50.9907407407407</v>
      </c>
      <c r="M214" s="21" t="n">
        <f aca="false">VLOOKUP(F214,Assumptions!$A$19:$B$23,2,0)</f>
        <v>25</v>
      </c>
      <c r="N214" s="21" t="n">
        <f aca="false">VLOOKUP(G214,Assumptions!$A$27:$B$30,2,0)</f>
        <v>25</v>
      </c>
      <c r="O214" s="21" t="n">
        <f aca="false">VLOOKUP(D214,Assumptions!$A$34:$B$37,2,0)</f>
        <v>66</v>
      </c>
      <c r="P214" s="21" t="n">
        <f aca="false">VLOOKUP(E214,Assumptions!$A$41:$B$43,2,0)</f>
        <v>100</v>
      </c>
      <c r="Q214" s="22" t="n">
        <f aca="false">L214*Assumptions!$B$7+M214*Assumptions!$B$8+N214*Assumptions!$B$9+O214*Assumptions!$B$10+P214*Assumptions!$B$11</f>
        <v>46.4472222222222</v>
      </c>
      <c r="R214" s="11" t="str">
        <f aca="false">IF(Q214&lt;=33,"High Risk",IF(Q214&lt;=66,"Medium Risk","Low Risk"))</f>
        <v>Medium Risk</v>
      </c>
    </row>
    <row r="215" customFormat="false" ht="15" hidden="false" customHeight="true" outlineLevel="0" collapsed="false">
      <c r="A215" s="20" t="n">
        <f aca="false">'Raw Data'!A215</f>
        <v>214</v>
      </c>
      <c r="B215" s="20" t="n">
        <f aca="false">'Raw Data'!B215</f>
        <v>66</v>
      </c>
      <c r="C215" s="20" t="str">
        <f aca="false">'Raw Data'!C215</f>
        <v>male</v>
      </c>
      <c r="D215" s="20" t="n">
        <f aca="false">'Raw Data'!D215</f>
        <v>3</v>
      </c>
      <c r="E215" s="20" t="str">
        <f aca="false">'Raw Data'!E215</f>
        <v>own</v>
      </c>
      <c r="F215" s="20" t="str">
        <f aca="false">'Raw Data'!F215</f>
        <v>little</v>
      </c>
      <c r="G215" s="20" t="str">
        <f aca="false">'Raw Data'!G215</f>
        <v>rich</v>
      </c>
      <c r="H215" s="20" t="n">
        <f aca="false">'Raw Data'!H215</f>
        <v>1908</v>
      </c>
      <c r="I215" s="20" t="n">
        <f aca="false">'Raw Data'!I215</f>
        <v>30</v>
      </c>
      <c r="J215" s="20" t="str">
        <f aca="false">'Raw Data'!J215</f>
        <v>business</v>
      </c>
      <c r="K215" s="21" t="n">
        <f aca="false">H215/I215</f>
        <v>63.6</v>
      </c>
      <c r="L215" s="21" t="n">
        <f aca="false">100-MIN(K215/Assumptions!$B$14,1)*100</f>
        <v>84.1</v>
      </c>
      <c r="M215" s="21" t="n">
        <f aca="false">VLOOKUP(F215,Assumptions!$A$19:$B$23,2,0)</f>
        <v>25</v>
      </c>
      <c r="N215" s="21" t="n">
        <f aca="false">VLOOKUP(G215,Assumptions!$A$27:$B$30,2,0)</f>
        <v>100</v>
      </c>
      <c r="O215" s="21" t="n">
        <f aca="false">VLOOKUP(D215,Assumptions!$A$34:$B$37,2,0)</f>
        <v>100</v>
      </c>
      <c r="P215" s="21" t="n">
        <f aca="false">VLOOKUP(E215,Assumptions!$A$41:$B$43,2,0)</f>
        <v>100</v>
      </c>
      <c r="Q215" s="22" t="n">
        <f aca="false">L215*Assumptions!$B$7+M215*Assumptions!$B$8+N215*Assumptions!$B$9+O215*Assumptions!$B$10+P215*Assumptions!$B$11</f>
        <v>76.48</v>
      </c>
      <c r="R215" s="11" t="str">
        <f aca="false">IF(Q215&lt;=33,"High Risk",IF(Q215&lt;=66,"Medium Risk","Low Risk"))</f>
        <v>Low Risk</v>
      </c>
    </row>
    <row r="216" customFormat="false" ht="15" hidden="false" customHeight="true" outlineLevel="0" collapsed="false">
      <c r="A216" s="20" t="n">
        <f aca="false">'Raw Data'!A216</f>
        <v>215</v>
      </c>
      <c r="B216" s="20" t="n">
        <f aca="false">'Raw Data'!B216</f>
        <v>51</v>
      </c>
      <c r="C216" s="20" t="str">
        <f aca="false">'Raw Data'!C216</f>
        <v>male</v>
      </c>
      <c r="D216" s="20" t="n">
        <f aca="false">'Raw Data'!D216</f>
        <v>2</v>
      </c>
      <c r="E216" s="20" t="str">
        <f aca="false">'Raw Data'!E216</f>
        <v>own</v>
      </c>
      <c r="F216" s="20" t="str">
        <f aca="false">'Raw Data'!F216</f>
        <v>none</v>
      </c>
      <c r="G216" s="20" t="str">
        <f aca="false">'Raw Data'!G216</f>
        <v>none</v>
      </c>
      <c r="H216" s="20" t="n">
        <f aca="false">'Raw Data'!H216</f>
        <v>3342</v>
      </c>
      <c r="I216" s="20" t="n">
        <f aca="false">'Raw Data'!I216</f>
        <v>36</v>
      </c>
      <c r="J216" s="20" t="str">
        <f aca="false">'Raw Data'!J216</f>
        <v>radio/TV</v>
      </c>
      <c r="K216" s="21" t="n">
        <f aca="false">H216/I216</f>
        <v>92.8333333333333</v>
      </c>
      <c r="L216" s="21" t="n">
        <f aca="false">100-MIN(K216/Assumptions!$B$14,1)*100</f>
        <v>76.7916666666667</v>
      </c>
      <c r="M216" s="21" t="n">
        <f aca="false">VLOOKUP(F216,Assumptions!$A$19:$B$23,2,0)</f>
        <v>40</v>
      </c>
      <c r="N216" s="21" t="n">
        <f aca="false">VLOOKUP(G216,Assumptions!$A$27:$B$30,2,0)</f>
        <v>50</v>
      </c>
      <c r="O216" s="21" t="n">
        <f aca="false">VLOOKUP(D216,Assumptions!$A$34:$B$37,2,0)</f>
        <v>66</v>
      </c>
      <c r="P216" s="21" t="n">
        <f aca="false">VLOOKUP(E216,Assumptions!$A$41:$B$43,2,0)</f>
        <v>100</v>
      </c>
      <c r="Q216" s="22" t="n">
        <f aca="false">L216*Assumptions!$B$7+M216*Assumptions!$B$8+N216*Assumptions!$B$9+O216*Assumptions!$B$10+P216*Assumptions!$B$11</f>
        <v>62.9375</v>
      </c>
      <c r="R216" s="11" t="str">
        <f aca="false">IF(Q216&lt;=33,"High Risk",IF(Q216&lt;=66,"Medium Risk","Low Risk"))</f>
        <v>Medium Risk</v>
      </c>
    </row>
    <row r="217" customFormat="false" ht="15" hidden="false" customHeight="true" outlineLevel="0" collapsed="false">
      <c r="A217" s="20" t="n">
        <f aca="false">'Raw Data'!A217</f>
        <v>216</v>
      </c>
      <c r="B217" s="20" t="n">
        <f aca="false">'Raw Data'!B217</f>
        <v>39</v>
      </c>
      <c r="C217" s="20" t="str">
        <f aca="false">'Raw Data'!C217</f>
        <v>female</v>
      </c>
      <c r="D217" s="20" t="n">
        <f aca="false">'Raw Data'!D217</f>
        <v>1</v>
      </c>
      <c r="E217" s="20" t="str">
        <f aca="false">'Raw Data'!E217</f>
        <v>own</v>
      </c>
      <c r="F217" s="20" t="str">
        <f aca="false">'Raw Data'!F217</f>
        <v>none</v>
      </c>
      <c r="G217" s="20" t="str">
        <f aca="false">'Raw Data'!G217</f>
        <v>moderate</v>
      </c>
      <c r="H217" s="20" t="n">
        <f aca="false">'Raw Data'!H217</f>
        <v>932</v>
      </c>
      <c r="I217" s="20" t="n">
        <f aca="false">'Raw Data'!I217</f>
        <v>6</v>
      </c>
      <c r="J217" s="20" t="str">
        <f aca="false">'Raw Data'!J217</f>
        <v>education</v>
      </c>
      <c r="K217" s="21" t="n">
        <f aca="false">H217/I217</f>
        <v>155.333333333333</v>
      </c>
      <c r="L217" s="21" t="n">
        <f aca="false">100-MIN(K217/Assumptions!$B$14,1)*100</f>
        <v>61.1666666666667</v>
      </c>
      <c r="M217" s="21" t="n">
        <f aca="false">VLOOKUP(F217,Assumptions!$A$19:$B$23,2,0)</f>
        <v>40</v>
      </c>
      <c r="N217" s="21" t="n">
        <f aca="false">VLOOKUP(G217,Assumptions!$A$27:$B$30,2,0)</f>
        <v>60</v>
      </c>
      <c r="O217" s="21" t="n">
        <f aca="false">VLOOKUP(D217,Assumptions!$A$34:$B$37,2,0)</f>
        <v>33</v>
      </c>
      <c r="P217" s="21" t="n">
        <f aca="false">VLOOKUP(E217,Assumptions!$A$41:$B$43,2,0)</f>
        <v>100</v>
      </c>
      <c r="Q217" s="22" t="n">
        <f aca="false">L217*Assumptions!$B$7+M217*Assumptions!$B$8+N217*Assumptions!$B$9+O217*Assumptions!$B$10+P217*Assumptions!$B$11</f>
        <v>55.3</v>
      </c>
      <c r="R217" s="11" t="str">
        <f aca="false">IF(Q217&lt;=33,"High Risk",IF(Q217&lt;=66,"Medium Risk","Low Risk"))</f>
        <v>Medium Risk</v>
      </c>
    </row>
    <row r="218" customFormat="false" ht="15" hidden="false" customHeight="true" outlineLevel="0" collapsed="false">
      <c r="A218" s="20" t="n">
        <f aca="false">'Raw Data'!A218</f>
        <v>217</v>
      </c>
      <c r="B218" s="20" t="n">
        <f aca="false">'Raw Data'!B218</f>
        <v>31</v>
      </c>
      <c r="C218" s="20" t="str">
        <f aca="false">'Raw Data'!C218</f>
        <v>male</v>
      </c>
      <c r="D218" s="20" t="n">
        <f aca="false">'Raw Data'!D218</f>
        <v>2</v>
      </c>
      <c r="E218" s="20" t="str">
        <f aca="false">'Raw Data'!E218</f>
        <v>own</v>
      </c>
      <c r="F218" s="20" t="str">
        <f aca="false">'Raw Data'!F218</f>
        <v>little</v>
      </c>
      <c r="G218" s="20" t="str">
        <f aca="false">'Raw Data'!G218</f>
        <v>little</v>
      </c>
      <c r="H218" s="20" t="n">
        <f aca="false">'Raw Data'!H218</f>
        <v>3104</v>
      </c>
      <c r="I218" s="20" t="n">
        <f aca="false">'Raw Data'!I218</f>
        <v>18</v>
      </c>
      <c r="J218" s="20" t="str">
        <f aca="false">'Raw Data'!J218</f>
        <v>business</v>
      </c>
      <c r="K218" s="21" t="n">
        <f aca="false">H218/I218</f>
        <v>172.444444444444</v>
      </c>
      <c r="L218" s="21" t="n">
        <f aca="false">100-MIN(K218/Assumptions!$B$14,1)*100</f>
        <v>56.8888888888889</v>
      </c>
      <c r="M218" s="21" t="n">
        <f aca="false">VLOOKUP(F218,Assumptions!$A$19:$B$23,2,0)</f>
        <v>25</v>
      </c>
      <c r="N218" s="21" t="n">
        <f aca="false">VLOOKUP(G218,Assumptions!$A$27:$B$30,2,0)</f>
        <v>25</v>
      </c>
      <c r="O218" s="21" t="n">
        <f aca="false">VLOOKUP(D218,Assumptions!$A$34:$B$37,2,0)</f>
        <v>66</v>
      </c>
      <c r="P218" s="21" t="n">
        <f aca="false">VLOOKUP(E218,Assumptions!$A$41:$B$43,2,0)</f>
        <v>100</v>
      </c>
      <c r="Q218" s="22" t="n">
        <f aca="false">L218*Assumptions!$B$7+M218*Assumptions!$B$8+N218*Assumptions!$B$9+O218*Assumptions!$B$10+P218*Assumptions!$B$11</f>
        <v>48.2166666666667</v>
      </c>
      <c r="R218" s="11" t="str">
        <f aca="false">IF(Q218&lt;=33,"High Risk",IF(Q218&lt;=66,"Medium Risk","Low Risk"))</f>
        <v>Medium Risk</v>
      </c>
    </row>
    <row r="219" customFormat="false" ht="15" hidden="false" customHeight="true" outlineLevel="0" collapsed="false">
      <c r="A219" s="20" t="n">
        <f aca="false">'Raw Data'!A219</f>
        <v>218</v>
      </c>
      <c r="B219" s="20" t="n">
        <f aca="false">'Raw Data'!B219</f>
        <v>23</v>
      </c>
      <c r="C219" s="20" t="str">
        <f aca="false">'Raw Data'!C219</f>
        <v>male</v>
      </c>
      <c r="D219" s="20" t="n">
        <f aca="false">'Raw Data'!D219</f>
        <v>2</v>
      </c>
      <c r="E219" s="20" t="str">
        <f aca="false">'Raw Data'!E219</f>
        <v>own</v>
      </c>
      <c r="F219" s="20" t="str">
        <f aca="false">'Raw Data'!F219</f>
        <v>little</v>
      </c>
      <c r="G219" s="20" t="str">
        <f aca="false">'Raw Data'!G219</f>
        <v>rich</v>
      </c>
      <c r="H219" s="20" t="n">
        <f aca="false">'Raw Data'!H219</f>
        <v>3913</v>
      </c>
      <c r="I219" s="20" t="n">
        <f aca="false">'Raw Data'!I219</f>
        <v>36</v>
      </c>
      <c r="J219" s="20" t="str">
        <f aca="false">'Raw Data'!J219</f>
        <v>radio/TV</v>
      </c>
      <c r="K219" s="21" t="n">
        <f aca="false">H219/I219</f>
        <v>108.694444444444</v>
      </c>
      <c r="L219" s="21" t="n">
        <f aca="false">100-MIN(K219/Assumptions!$B$14,1)*100</f>
        <v>72.8263888888889</v>
      </c>
      <c r="M219" s="21" t="n">
        <f aca="false">VLOOKUP(F219,Assumptions!$A$19:$B$23,2,0)</f>
        <v>25</v>
      </c>
      <c r="N219" s="21" t="n">
        <f aca="false">VLOOKUP(G219,Assumptions!$A$27:$B$30,2,0)</f>
        <v>100</v>
      </c>
      <c r="O219" s="21" t="n">
        <f aca="false">VLOOKUP(D219,Assumptions!$A$34:$B$37,2,0)</f>
        <v>66</v>
      </c>
      <c r="P219" s="21" t="n">
        <f aca="false">VLOOKUP(E219,Assumptions!$A$41:$B$43,2,0)</f>
        <v>100</v>
      </c>
      <c r="Q219" s="22" t="n">
        <f aca="false">L219*Assumptions!$B$7+M219*Assumptions!$B$8+N219*Assumptions!$B$9+O219*Assumptions!$B$10+P219*Assumptions!$B$11</f>
        <v>67.9979166666667</v>
      </c>
      <c r="R219" s="11" t="str">
        <f aca="false">IF(Q219&lt;=33,"High Risk",IF(Q219&lt;=66,"Medium Risk","Low Risk"))</f>
        <v>Low Risk</v>
      </c>
    </row>
    <row r="220" customFormat="false" ht="15" hidden="false" customHeight="true" outlineLevel="0" collapsed="false">
      <c r="A220" s="20" t="n">
        <f aca="false">'Raw Data'!A220</f>
        <v>219</v>
      </c>
      <c r="B220" s="20" t="n">
        <f aca="false">'Raw Data'!B220</f>
        <v>24</v>
      </c>
      <c r="C220" s="20" t="str">
        <f aca="false">'Raw Data'!C220</f>
        <v>male</v>
      </c>
      <c r="D220" s="20" t="n">
        <f aca="false">'Raw Data'!D220</f>
        <v>1</v>
      </c>
      <c r="E220" s="20" t="str">
        <f aca="false">'Raw Data'!E220</f>
        <v>rent</v>
      </c>
      <c r="F220" s="20" t="str">
        <f aca="false">'Raw Data'!F220</f>
        <v>little</v>
      </c>
      <c r="G220" s="20" t="str">
        <f aca="false">'Raw Data'!G220</f>
        <v>little</v>
      </c>
      <c r="H220" s="20" t="n">
        <f aca="false">'Raw Data'!H220</f>
        <v>3021</v>
      </c>
      <c r="I220" s="20" t="n">
        <f aca="false">'Raw Data'!I220</f>
        <v>24</v>
      </c>
      <c r="J220" s="20" t="str">
        <f aca="false">'Raw Data'!J220</f>
        <v>furniture/equipment</v>
      </c>
      <c r="K220" s="21" t="n">
        <f aca="false">H220/I220</f>
        <v>125.875</v>
      </c>
      <c r="L220" s="21" t="n">
        <f aca="false">100-MIN(K220/Assumptions!$B$14,1)*100</f>
        <v>68.53125</v>
      </c>
      <c r="M220" s="21" t="n">
        <f aca="false">VLOOKUP(F220,Assumptions!$A$19:$B$23,2,0)</f>
        <v>25</v>
      </c>
      <c r="N220" s="21" t="n">
        <f aca="false">VLOOKUP(G220,Assumptions!$A$27:$B$30,2,0)</f>
        <v>25</v>
      </c>
      <c r="O220" s="21" t="n">
        <f aca="false">VLOOKUP(D220,Assumptions!$A$34:$B$37,2,0)</f>
        <v>33</v>
      </c>
      <c r="P220" s="21" t="n">
        <f aca="false">VLOOKUP(E220,Assumptions!$A$41:$B$43,2,0)</f>
        <v>30</v>
      </c>
      <c r="Q220" s="22" t="n">
        <f aca="false">L220*Assumptions!$B$7+M220*Assumptions!$B$8+N220*Assumptions!$B$9+O220*Assumptions!$B$10+P220*Assumptions!$B$11</f>
        <v>39.759375</v>
      </c>
      <c r="R220" s="11" t="str">
        <f aca="false">IF(Q220&lt;=33,"High Risk",IF(Q220&lt;=66,"Medium Risk","Low Risk"))</f>
        <v>Medium Risk</v>
      </c>
    </row>
    <row r="221" customFormat="false" ht="15" hidden="false" customHeight="true" outlineLevel="0" collapsed="false">
      <c r="A221" s="20" t="n">
        <f aca="false">'Raw Data'!A221</f>
        <v>220</v>
      </c>
      <c r="B221" s="20" t="n">
        <f aca="false">'Raw Data'!B221</f>
        <v>64</v>
      </c>
      <c r="C221" s="20" t="str">
        <f aca="false">'Raw Data'!C221</f>
        <v>female</v>
      </c>
      <c r="D221" s="20" t="n">
        <f aca="false">'Raw Data'!D221</f>
        <v>2</v>
      </c>
      <c r="E221" s="20" t="str">
        <f aca="false">'Raw Data'!E221</f>
        <v>own</v>
      </c>
      <c r="F221" s="20" t="str">
        <f aca="false">'Raw Data'!F221</f>
        <v>little</v>
      </c>
      <c r="G221" s="20" t="str">
        <f aca="false">'Raw Data'!G221</f>
        <v>none</v>
      </c>
      <c r="H221" s="20" t="n">
        <f aca="false">'Raw Data'!H221</f>
        <v>1364</v>
      </c>
      <c r="I221" s="20" t="n">
        <f aca="false">'Raw Data'!I221</f>
        <v>10</v>
      </c>
      <c r="J221" s="20" t="str">
        <f aca="false">'Raw Data'!J221</f>
        <v>car</v>
      </c>
      <c r="K221" s="21" t="n">
        <f aca="false">H221/I221</f>
        <v>136.4</v>
      </c>
      <c r="L221" s="21" t="n">
        <f aca="false">100-MIN(K221/Assumptions!$B$14,1)*100</f>
        <v>65.9</v>
      </c>
      <c r="M221" s="21" t="n">
        <f aca="false">VLOOKUP(F221,Assumptions!$A$19:$B$23,2,0)</f>
        <v>25</v>
      </c>
      <c r="N221" s="21" t="n">
        <f aca="false">VLOOKUP(G221,Assumptions!$A$27:$B$30,2,0)</f>
        <v>50</v>
      </c>
      <c r="O221" s="21" t="n">
        <f aca="false">VLOOKUP(D221,Assumptions!$A$34:$B$37,2,0)</f>
        <v>66</v>
      </c>
      <c r="P221" s="21" t="n">
        <f aca="false">VLOOKUP(E221,Assumptions!$A$41:$B$43,2,0)</f>
        <v>100</v>
      </c>
      <c r="Q221" s="22" t="n">
        <f aca="false">L221*Assumptions!$B$7+M221*Assumptions!$B$8+N221*Assumptions!$B$9+O221*Assumptions!$B$10+P221*Assumptions!$B$11</f>
        <v>55.92</v>
      </c>
      <c r="R221" s="11" t="str">
        <f aca="false">IF(Q221&lt;=33,"High Risk",IF(Q221&lt;=66,"Medium Risk","Low Risk"))</f>
        <v>Medium Risk</v>
      </c>
    </row>
    <row r="222" customFormat="false" ht="15" hidden="false" customHeight="true" outlineLevel="0" collapsed="false">
      <c r="A222" s="20" t="n">
        <f aca="false">'Raw Data'!A222</f>
        <v>221</v>
      </c>
      <c r="B222" s="20" t="n">
        <f aca="false">'Raw Data'!B222</f>
        <v>26</v>
      </c>
      <c r="C222" s="20" t="str">
        <f aca="false">'Raw Data'!C222</f>
        <v>male</v>
      </c>
      <c r="D222" s="20" t="n">
        <f aca="false">'Raw Data'!D222</f>
        <v>1</v>
      </c>
      <c r="E222" s="20" t="str">
        <f aca="false">'Raw Data'!E222</f>
        <v>own</v>
      </c>
      <c r="F222" s="20" t="str">
        <f aca="false">'Raw Data'!F222</f>
        <v>little</v>
      </c>
      <c r="G222" s="20" t="str">
        <f aca="false">'Raw Data'!G222</f>
        <v>moderate</v>
      </c>
      <c r="H222" s="20" t="n">
        <f aca="false">'Raw Data'!H222</f>
        <v>625</v>
      </c>
      <c r="I222" s="20" t="n">
        <f aca="false">'Raw Data'!I222</f>
        <v>12</v>
      </c>
      <c r="J222" s="20" t="str">
        <f aca="false">'Raw Data'!J222</f>
        <v>radio/TV</v>
      </c>
      <c r="K222" s="21" t="n">
        <f aca="false">H222/I222</f>
        <v>52.0833333333333</v>
      </c>
      <c r="L222" s="21" t="n">
        <f aca="false">100-MIN(K222/Assumptions!$B$14,1)*100</f>
        <v>86.9791666666667</v>
      </c>
      <c r="M222" s="21" t="n">
        <f aca="false">VLOOKUP(F222,Assumptions!$A$19:$B$23,2,0)</f>
        <v>25</v>
      </c>
      <c r="N222" s="21" t="n">
        <f aca="false">VLOOKUP(G222,Assumptions!$A$27:$B$30,2,0)</f>
        <v>60</v>
      </c>
      <c r="O222" s="21" t="n">
        <f aca="false">VLOOKUP(D222,Assumptions!$A$34:$B$37,2,0)</f>
        <v>33</v>
      </c>
      <c r="P222" s="21" t="n">
        <f aca="false">VLOOKUP(E222,Assumptions!$A$41:$B$43,2,0)</f>
        <v>100</v>
      </c>
      <c r="Q222" s="22" t="n">
        <f aca="false">L222*Assumptions!$B$7+M222*Assumptions!$B$8+N222*Assumptions!$B$9+O222*Assumptions!$B$10+P222*Assumptions!$B$11</f>
        <v>59.29375</v>
      </c>
      <c r="R222" s="11" t="str">
        <f aca="false">IF(Q222&lt;=33,"High Risk",IF(Q222&lt;=66,"Medium Risk","Low Risk"))</f>
        <v>Medium Risk</v>
      </c>
    </row>
    <row r="223" customFormat="false" ht="15" hidden="false" customHeight="true" outlineLevel="0" collapsed="false">
      <c r="A223" s="20" t="n">
        <f aca="false">'Raw Data'!A223</f>
        <v>222</v>
      </c>
      <c r="B223" s="20" t="n">
        <f aca="false">'Raw Data'!B223</f>
        <v>23</v>
      </c>
      <c r="C223" s="20" t="str">
        <f aca="false">'Raw Data'!C223</f>
        <v>female</v>
      </c>
      <c r="D223" s="20" t="n">
        <f aca="false">'Raw Data'!D223</f>
        <v>2</v>
      </c>
      <c r="E223" s="20" t="str">
        <f aca="false">'Raw Data'!E223</f>
        <v>rent</v>
      </c>
      <c r="F223" s="20" t="str">
        <f aca="false">'Raw Data'!F223</f>
        <v>none</v>
      </c>
      <c r="G223" s="20" t="str">
        <f aca="false">'Raw Data'!G223</f>
        <v>little</v>
      </c>
      <c r="H223" s="20" t="n">
        <f aca="false">'Raw Data'!H223</f>
        <v>1200</v>
      </c>
      <c r="I223" s="20" t="n">
        <f aca="false">'Raw Data'!I223</f>
        <v>12</v>
      </c>
      <c r="J223" s="20" t="str">
        <f aca="false">'Raw Data'!J223</f>
        <v>education</v>
      </c>
      <c r="K223" s="21" t="n">
        <f aca="false">H223/I223</f>
        <v>100</v>
      </c>
      <c r="L223" s="21" t="n">
        <f aca="false">100-MIN(K223/Assumptions!$B$14,1)*100</f>
        <v>75</v>
      </c>
      <c r="M223" s="21" t="n">
        <f aca="false">VLOOKUP(F223,Assumptions!$A$19:$B$23,2,0)</f>
        <v>40</v>
      </c>
      <c r="N223" s="21" t="n">
        <f aca="false">VLOOKUP(G223,Assumptions!$A$27:$B$30,2,0)</f>
        <v>25</v>
      </c>
      <c r="O223" s="21" t="n">
        <f aca="false">VLOOKUP(D223,Assumptions!$A$34:$B$37,2,0)</f>
        <v>66</v>
      </c>
      <c r="P223" s="21" t="n">
        <f aca="false">VLOOKUP(E223,Assumptions!$A$41:$B$43,2,0)</f>
        <v>30</v>
      </c>
      <c r="Q223" s="22" t="n">
        <f aca="false">L223*Assumptions!$B$7+M223*Assumptions!$B$8+N223*Assumptions!$B$9+O223*Assumptions!$B$10+P223*Assumptions!$B$11</f>
        <v>50.4</v>
      </c>
      <c r="R223" s="11" t="str">
        <f aca="false">IF(Q223&lt;=33,"High Risk",IF(Q223&lt;=66,"Medium Risk","Low Risk"))</f>
        <v>Medium Risk</v>
      </c>
    </row>
    <row r="224" customFormat="false" ht="15" hidden="false" customHeight="true" outlineLevel="0" collapsed="false">
      <c r="A224" s="20" t="n">
        <f aca="false">'Raw Data'!A224</f>
        <v>223</v>
      </c>
      <c r="B224" s="20" t="n">
        <f aca="false">'Raw Data'!B224</f>
        <v>30</v>
      </c>
      <c r="C224" s="20" t="str">
        <f aca="false">'Raw Data'!C224</f>
        <v>male</v>
      </c>
      <c r="D224" s="20" t="n">
        <f aca="false">'Raw Data'!D224</f>
        <v>2</v>
      </c>
      <c r="E224" s="20" t="str">
        <f aca="false">'Raw Data'!E224</f>
        <v>own</v>
      </c>
      <c r="F224" s="20" t="str">
        <f aca="false">'Raw Data'!F224</f>
        <v>little</v>
      </c>
      <c r="G224" s="20" t="str">
        <f aca="false">'Raw Data'!G224</f>
        <v>none</v>
      </c>
      <c r="H224" s="20" t="n">
        <f aca="false">'Raw Data'!H224</f>
        <v>707</v>
      </c>
      <c r="I224" s="20" t="n">
        <f aca="false">'Raw Data'!I224</f>
        <v>12</v>
      </c>
      <c r="J224" s="20" t="str">
        <f aca="false">'Raw Data'!J224</f>
        <v>radio/TV</v>
      </c>
      <c r="K224" s="21" t="n">
        <f aca="false">H224/I224</f>
        <v>58.9166666666667</v>
      </c>
      <c r="L224" s="21" t="n">
        <f aca="false">100-MIN(K224/Assumptions!$B$14,1)*100</f>
        <v>85.2708333333333</v>
      </c>
      <c r="M224" s="21" t="n">
        <f aca="false">VLOOKUP(F224,Assumptions!$A$19:$B$23,2,0)</f>
        <v>25</v>
      </c>
      <c r="N224" s="21" t="n">
        <f aca="false">VLOOKUP(G224,Assumptions!$A$27:$B$30,2,0)</f>
        <v>50</v>
      </c>
      <c r="O224" s="21" t="n">
        <f aca="false">VLOOKUP(D224,Assumptions!$A$34:$B$37,2,0)</f>
        <v>66</v>
      </c>
      <c r="P224" s="21" t="n">
        <f aca="false">VLOOKUP(E224,Assumptions!$A$41:$B$43,2,0)</f>
        <v>100</v>
      </c>
      <c r="Q224" s="22" t="n">
        <f aca="false">L224*Assumptions!$B$7+M224*Assumptions!$B$8+N224*Assumptions!$B$9+O224*Assumptions!$B$10+P224*Assumptions!$B$11</f>
        <v>61.73125</v>
      </c>
      <c r="R224" s="11" t="str">
        <f aca="false">IF(Q224&lt;=33,"High Risk",IF(Q224&lt;=66,"Medium Risk","Low Risk"))</f>
        <v>Medium Risk</v>
      </c>
    </row>
    <row r="225" customFormat="false" ht="15" hidden="false" customHeight="true" outlineLevel="0" collapsed="false">
      <c r="A225" s="20" t="n">
        <f aca="false">'Raw Data'!A225</f>
        <v>224</v>
      </c>
      <c r="B225" s="20" t="n">
        <f aca="false">'Raw Data'!B225</f>
        <v>32</v>
      </c>
      <c r="C225" s="20" t="str">
        <f aca="false">'Raw Data'!C225</f>
        <v>male</v>
      </c>
      <c r="D225" s="20" t="n">
        <f aca="false">'Raw Data'!D225</f>
        <v>2</v>
      </c>
      <c r="E225" s="20" t="str">
        <f aca="false">'Raw Data'!E225</f>
        <v>own</v>
      </c>
      <c r="F225" s="20" t="str">
        <f aca="false">'Raw Data'!F225</f>
        <v>none</v>
      </c>
      <c r="G225" s="20" t="str">
        <f aca="false">'Raw Data'!G225</f>
        <v>none</v>
      </c>
      <c r="H225" s="20" t="n">
        <f aca="false">'Raw Data'!H225</f>
        <v>2978</v>
      </c>
      <c r="I225" s="20" t="n">
        <f aca="false">'Raw Data'!I225</f>
        <v>24</v>
      </c>
      <c r="J225" s="20" t="str">
        <f aca="false">'Raw Data'!J225</f>
        <v>business</v>
      </c>
      <c r="K225" s="21" t="n">
        <f aca="false">H225/I225</f>
        <v>124.083333333333</v>
      </c>
      <c r="L225" s="21" t="n">
        <f aca="false">100-MIN(K225/Assumptions!$B$14,1)*100</f>
        <v>68.9791666666667</v>
      </c>
      <c r="M225" s="21" t="n">
        <f aca="false">VLOOKUP(F225,Assumptions!$A$19:$B$23,2,0)</f>
        <v>40</v>
      </c>
      <c r="N225" s="21" t="n">
        <f aca="false">VLOOKUP(G225,Assumptions!$A$27:$B$30,2,0)</f>
        <v>50</v>
      </c>
      <c r="O225" s="21" t="n">
        <f aca="false">VLOOKUP(D225,Assumptions!$A$34:$B$37,2,0)</f>
        <v>66</v>
      </c>
      <c r="P225" s="21" t="n">
        <f aca="false">VLOOKUP(E225,Assumptions!$A$41:$B$43,2,0)</f>
        <v>100</v>
      </c>
      <c r="Q225" s="22" t="n">
        <f aca="false">L225*Assumptions!$B$7+M225*Assumptions!$B$8+N225*Assumptions!$B$9+O225*Assumptions!$B$10+P225*Assumptions!$B$11</f>
        <v>60.59375</v>
      </c>
      <c r="R225" s="11" t="str">
        <f aca="false">IF(Q225&lt;=33,"High Risk",IF(Q225&lt;=66,"Medium Risk","Low Risk"))</f>
        <v>Medium Risk</v>
      </c>
    </row>
    <row r="226" customFormat="false" ht="15" hidden="false" customHeight="true" outlineLevel="0" collapsed="false">
      <c r="A226" s="20" t="n">
        <f aca="false">'Raw Data'!A226</f>
        <v>225</v>
      </c>
      <c r="B226" s="20" t="n">
        <f aca="false">'Raw Data'!B226</f>
        <v>30</v>
      </c>
      <c r="C226" s="20" t="str">
        <f aca="false">'Raw Data'!C226</f>
        <v>male</v>
      </c>
      <c r="D226" s="20" t="n">
        <f aca="false">'Raw Data'!D226</f>
        <v>2</v>
      </c>
      <c r="E226" s="20" t="str">
        <f aca="false">'Raw Data'!E226</f>
        <v>own</v>
      </c>
      <c r="F226" s="20" t="str">
        <f aca="false">'Raw Data'!F226</f>
        <v>little</v>
      </c>
      <c r="G226" s="20" t="str">
        <f aca="false">'Raw Data'!G226</f>
        <v>none</v>
      </c>
      <c r="H226" s="20" t="n">
        <f aca="false">'Raw Data'!H226</f>
        <v>4657</v>
      </c>
      <c r="I226" s="20" t="n">
        <f aca="false">'Raw Data'!I226</f>
        <v>15</v>
      </c>
      <c r="J226" s="20" t="str">
        <f aca="false">'Raw Data'!J226</f>
        <v>car</v>
      </c>
      <c r="K226" s="21" t="n">
        <f aca="false">H226/I226</f>
        <v>310.466666666667</v>
      </c>
      <c r="L226" s="21" t="n">
        <f aca="false">100-MIN(K226/Assumptions!$B$14,1)*100</f>
        <v>22.3833333333333</v>
      </c>
      <c r="M226" s="21" t="n">
        <f aca="false">VLOOKUP(F226,Assumptions!$A$19:$B$23,2,0)</f>
        <v>25</v>
      </c>
      <c r="N226" s="21" t="n">
        <f aca="false">VLOOKUP(G226,Assumptions!$A$27:$B$30,2,0)</f>
        <v>50</v>
      </c>
      <c r="O226" s="21" t="n">
        <f aca="false">VLOOKUP(D226,Assumptions!$A$34:$B$37,2,0)</f>
        <v>66</v>
      </c>
      <c r="P226" s="21" t="n">
        <f aca="false">VLOOKUP(E226,Assumptions!$A$41:$B$43,2,0)</f>
        <v>100</v>
      </c>
      <c r="Q226" s="22" t="n">
        <f aca="false">L226*Assumptions!$B$7+M226*Assumptions!$B$8+N226*Assumptions!$B$9+O226*Assumptions!$B$10+P226*Assumptions!$B$11</f>
        <v>42.865</v>
      </c>
      <c r="R226" s="11" t="str">
        <f aca="false">IF(Q226&lt;=33,"High Risk",IF(Q226&lt;=66,"Medium Risk","Low Risk"))</f>
        <v>Medium Risk</v>
      </c>
    </row>
    <row r="227" customFormat="false" ht="15" hidden="false" customHeight="true" outlineLevel="0" collapsed="false">
      <c r="A227" s="20" t="n">
        <f aca="false">'Raw Data'!A227</f>
        <v>226</v>
      </c>
      <c r="B227" s="20" t="n">
        <f aca="false">'Raw Data'!B227</f>
        <v>27</v>
      </c>
      <c r="C227" s="20" t="str">
        <f aca="false">'Raw Data'!C227</f>
        <v>male</v>
      </c>
      <c r="D227" s="20" t="n">
        <f aca="false">'Raw Data'!D227</f>
        <v>2</v>
      </c>
      <c r="E227" s="20" t="str">
        <f aca="false">'Raw Data'!E227</f>
        <v>own</v>
      </c>
      <c r="F227" s="20" t="str">
        <f aca="false">'Raw Data'!F227</f>
        <v>little</v>
      </c>
      <c r="G227" s="20" t="str">
        <f aca="false">'Raw Data'!G227</f>
        <v>none</v>
      </c>
      <c r="H227" s="20" t="n">
        <f aca="false">'Raw Data'!H227</f>
        <v>2613</v>
      </c>
      <c r="I227" s="20" t="n">
        <f aca="false">'Raw Data'!I227</f>
        <v>36</v>
      </c>
      <c r="J227" s="20" t="str">
        <f aca="false">'Raw Data'!J227</f>
        <v>repairs</v>
      </c>
      <c r="K227" s="21" t="n">
        <f aca="false">H227/I227</f>
        <v>72.5833333333333</v>
      </c>
      <c r="L227" s="21" t="n">
        <f aca="false">100-MIN(K227/Assumptions!$B$14,1)*100</f>
        <v>81.8541666666667</v>
      </c>
      <c r="M227" s="21" t="n">
        <f aca="false">VLOOKUP(F227,Assumptions!$A$19:$B$23,2,0)</f>
        <v>25</v>
      </c>
      <c r="N227" s="21" t="n">
        <f aca="false">VLOOKUP(G227,Assumptions!$A$27:$B$30,2,0)</f>
        <v>50</v>
      </c>
      <c r="O227" s="21" t="n">
        <f aca="false">VLOOKUP(D227,Assumptions!$A$34:$B$37,2,0)</f>
        <v>66</v>
      </c>
      <c r="P227" s="21" t="n">
        <f aca="false">VLOOKUP(E227,Assumptions!$A$41:$B$43,2,0)</f>
        <v>100</v>
      </c>
      <c r="Q227" s="22" t="n">
        <f aca="false">L227*Assumptions!$B$7+M227*Assumptions!$B$8+N227*Assumptions!$B$9+O227*Assumptions!$B$10+P227*Assumptions!$B$11</f>
        <v>60.70625</v>
      </c>
      <c r="R227" s="11" t="str">
        <f aca="false">IF(Q227&lt;=33,"High Risk",IF(Q227&lt;=66,"Medium Risk","Low Risk"))</f>
        <v>Medium Risk</v>
      </c>
    </row>
    <row r="228" customFormat="false" ht="15" hidden="false" customHeight="true" outlineLevel="0" collapsed="false">
      <c r="A228" s="20" t="n">
        <f aca="false">'Raw Data'!A228</f>
        <v>227</v>
      </c>
      <c r="B228" s="20" t="n">
        <f aca="false">'Raw Data'!B228</f>
        <v>27</v>
      </c>
      <c r="C228" s="20" t="str">
        <f aca="false">'Raw Data'!C228</f>
        <v>male</v>
      </c>
      <c r="D228" s="20" t="n">
        <f aca="false">'Raw Data'!D228</f>
        <v>2</v>
      </c>
      <c r="E228" s="20" t="str">
        <f aca="false">'Raw Data'!E228</f>
        <v>own</v>
      </c>
      <c r="F228" s="20" t="str">
        <f aca="false">'Raw Data'!F228</f>
        <v>rich</v>
      </c>
      <c r="G228" s="20" t="str">
        <f aca="false">'Raw Data'!G228</f>
        <v>moderate</v>
      </c>
      <c r="H228" s="20" t="n">
        <f aca="false">'Raw Data'!H228</f>
        <v>10961</v>
      </c>
      <c r="I228" s="20" t="n">
        <f aca="false">'Raw Data'!I228</f>
        <v>48</v>
      </c>
      <c r="J228" s="20" t="str">
        <f aca="false">'Raw Data'!J228</f>
        <v>radio/TV</v>
      </c>
      <c r="K228" s="21" t="n">
        <f aca="false">H228/I228</f>
        <v>228.354166666667</v>
      </c>
      <c r="L228" s="21" t="n">
        <f aca="false">100-MIN(K228/Assumptions!$B$14,1)*100</f>
        <v>42.9114583333333</v>
      </c>
      <c r="M228" s="21" t="n">
        <f aca="false">VLOOKUP(F228,Assumptions!$A$19:$B$23,2,0)</f>
        <v>100</v>
      </c>
      <c r="N228" s="21" t="n">
        <f aca="false">VLOOKUP(G228,Assumptions!$A$27:$B$30,2,0)</f>
        <v>60</v>
      </c>
      <c r="O228" s="21" t="n">
        <f aca="false">VLOOKUP(D228,Assumptions!$A$34:$B$37,2,0)</f>
        <v>66</v>
      </c>
      <c r="P228" s="21" t="n">
        <f aca="false">VLOOKUP(E228,Assumptions!$A$41:$B$43,2,0)</f>
        <v>100</v>
      </c>
      <c r="Q228" s="22" t="n">
        <f aca="false">L228*Assumptions!$B$7+M228*Assumptions!$B$8+N228*Assumptions!$B$9+O228*Assumptions!$B$10+P228*Assumptions!$B$11</f>
        <v>69.7734375</v>
      </c>
      <c r="R228" s="11" t="str">
        <f aca="false">IF(Q228&lt;=33,"High Risk",IF(Q228&lt;=66,"Medium Risk","Low Risk"))</f>
        <v>Low Risk</v>
      </c>
    </row>
    <row r="229" customFormat="false" ht="15" hidden="false" customHeight="true" outlineLevel="0" collapsed="false">
      <c r="A229" s="20" t="n">
        <f aca="false">'Raw Data'!A229</f>
        <v>228</v>
      </c>
      <c r="B229" s="20" t="n">
        <f aca="false">'Raw Data'!B229</f>
        <v>53</v>
      </c>
      <c r="C229" s="20" t="str">
        <f aca="false">'Raw Data'!C229</f>
        <v>male</v>
      </c>
      <c r="D229" s="20" t="n">
        <f aca="false">'Raw Data'!D229</f>
        <v>3</v>
      </c>
      <c r="E229" s="20" t="str">
        <f aca="false">'Raw Data'!E229</f>
        <v>free</v>
      </c>
      <c r="F229" s="20" t="str">
        <f aca="false">'Raw Data'!F229</f>
        <v>little</v>
      </c>
      <c r="G229" s="20" t="str">
        <f aca="false">'Raw Data'!G229</f>
        <v>little</v>
      </c>
      <c r="H229" s="20" t="n">
        <f aca="false">'Raw Data'!H229</f>
        <v>7865</v>
      </c>
      <c r="I229" s="20" t="n">
        <f aca="false">'Raw Data'!I229</f>
        <v>12</v>
      </c>
      <c r="J229" s="20" t="str">
        <f aca="false">'Raw Data'!J229</f>
        <v>furniture/equipment</v>
      </c>
      <c r="K229" s="21" t="n">
        <f aca="false">H229/I229</f>
        <v>655.416666666667</v>
      </c>
      <c r="L229" s="21" t="n">
        <f aca="false">100-MIN(K229/Assumptions!$B$14,1)*100</f>
        <v>0</v>
      </c>
      <c r="M229" s="21" t="n">
        <f aca="false">VLOOKUP(F229,Assumptions!$A$19:$B$23,2,0)</f>
        <v>25</v>
      </c>
      <c r="N229" s="21" t="n">
        <f aca="false">VLOOKUP(G229,Assumptions!$A$27:$B$30,2,0)</f>
        <v>25</v>
      </c>
      <c r="O229" s="21" t="n">
        <f aca="false">VLOOKUP(D229,Assumptions!$A$34:$B$37,2,0)</f>
        <v>100</v>
      </c>
      <c r="P229" s="21" t="n">
        <f aca="false">VLOOKUP(E229,Assumptions!$A$41:$B$43,2,0)</f>
        <v>60</v>
      </c>
      <c r="Q229" s="22" t="n">
        <f aca="false">L229*Assumptions!$B$7+M229*Assumptions!$B$8+N229*Assumptions!$B$9+O229*Assumptions!$B$10+P229*Assumptions!$B$11</f>
        <v>32.25</v>
      </c>
      <c r="R229" s="11" t="str">
        <f aca="false">IF(Q229&lt;=33,"High Risk",IF(Q229&lt;=66,"Medium Risk","Low Risk"))</f>
        <v>High Risk</v>
      </c>
    </row>
    <row r="230" customFormat="false" ht="15" hidden="false" customHeight="true" outlineLevel="0" collapsed="false">
      <c r="A230" s="20" t="n">
        <f aca="false">'Raw Data'!A230</f>
        <v>229</v>
      </c>
      <c r="B230" s="20" t="n">
        <f aca="false">'Raw Data'!B230</f>
        <v>22</v>
      </c>
      <c r="C230" s="20" t="str">
        <f aca="false">'Raw Data'!C230</f>
        <v>male</v>
      </c>
      <c r="D230" s="20" t="n">
        <f aca="false">'Raw Data'!D230</f>
        <v>2</v>
      </c>
      <c r="E230" s="20" t="str">
        <f aca="false">'Raw Data'!E230</f>
        <v>own</v>
      </c>
      <c r="F230" s="20" t="str">
        <f aca="false">'Raw Data'!F230</f>
        <v>little</v>
      </c>
      <c r="G230" s="20" t="str">
        <f aca="false">'Raw Data'!G230</f>
        <v>none</v>
      </c>
      <c r="H230" s="20" t="n">
        <f aca="false">'Raw Data'!H230</f>
        <v>1478</v>
      </c>
      <c r="I230" s="20" t="n">
        <f aca="false">'Raw Data'!I230</f>
        <v>9</v>
      </c>
      <c r="J230" s="20" t="str">
        <f aca="false">'Raw Data'!J230</f>
        <v>radio/TV</v>
      </c>
      <c r="K230" s="21" t="n">
        <f aca="false">H230/I230</f>
        <v>164.222222222222</v>
      </c>
      <c r="L230" s="21" t="n">
        <f aca="false">100-MIN(K230/Assumptions!$B$14,1)*100</f>
        <v>58.9444444444444</v>
      </c>
      <c r="M230" s="21" t="n">
        <f aca="false">VLOOKUP(F230,Assumptions!$A$19:$B$23,2,0)</f>
        <v>25</v>
      </c>
      <c r="N230" s="21" t="n">
        <f aca="false">VLOOKUP(G230,Assumptions!$A$27:$B$30,2,0)</f>
        <v>50</v>
      </c>
      <c r="O230" s="21" t="n">
        <f aca="false">VLOOKUP(D230,Assumptions!$A$34:$B$37,2,0)</f>
        <v>66</v>
      </c>
      <c r="P230" s="21" t="n">
        <f aca="false">VLOOKUP(E230,Assumptions!$A$41:$B$43,2,0)</f>
        <v>100</v>
      </c>
      <c r="Q230" s="22" t="n">
        <f aca="false">L230*Assumptions!$B$7+M230*Assumptions!$B$8+N230*Assumptions!$B$9+O230*Assumptions!$B$10+P230*Assumptions!$B$11</f>
        <v>53.8333333333333</v>
      </c>
      <c r="R230" s="11" t="str">
        <f aca="false">IF(Q230&lt;=33,"High Risk",IF(Q230&lt;=66,"Medium Risk","Low Risk"))</f>
        <v>Medium Risk</v>
      </c>
    </row>
    <row r="231" customFormat="false" ht="15" hidden="false" customHeight="true" outlineLevel="0" collapsed="false">
      <c r="A231" s="20" t="n">
        <f aca="false">'Raw Data'!A231</f>
        <v>230</v>
      </c>
      <c r="B231" s="20" t="n">
        <f aca="false">'Raw Data'!B231</f>
        <v>22</v>
      </c>
      <c r="C231" s="20" t="str">
        <f aca="false">'Raw Data'!C231</f>
        <v>male</v>
      </c>
      <c r="D231" s="20" t="n">
        <f aca="false">'Raw Data'!D231</f>
        <v>2</v>
      </c>
      <c r="E231" s="20" t="str">
        <f aca="false">'Raw Data'!E231</f>
        <v>free</v>
      </c>
      <c r="F231" s="20" t="str">
        <f aca="false">'Raw Data'!F231</f>
        <v>little</v>
      </c>
      <c r="G231" s="20" t="str">
        <f aca="false">'Raw Data'!G231</f>
        <v>little</v>
      </c>
      <c r="H231" s="20" t="n">
        <f aca="false">'Raw Data'!H231</f>
        <v>3149</v>
      </c>
      <c r="I231" s="20" t="n">
        <f aca="false">'Raw Data'!I231</f>
        <v>24</v>
      </c>
      <c r="J231" s="20" t="str">
        <f aca="false">'Raw Data'!J231</f>
        <v>furniture/equipment</v>
      </c>
      <c r="K231" s="21" t="n">
        <f aca="false">H231/I231</f>
        <v>131.208333333333</v>
      </c>
      <c r="L231" s="21" t="n">
        <f aca="false">100-MIN(K231/Assumptions!$B$14,1)*100</f>
        <v>67.1979166666667</v>
      </c>
      <c r="M231" s="21" t="n">
        <f aca="false">VLOOKUP(F231,Assumptions!$A$19:$B$23,2,0)</f>
        <v>25</v>
      </c>
      <c r="N231" s="21" t="n">
        <f aca="false">VLOOKUP(G231,Assumptions!$A$27:$B$30,2,0)</f>
        <v>25</v>
      </c>
      <c r="O231" s="21" t="n">
        <f aca="false">VLOOKUP(D231,Assumptions!$A$34:$B$37,2,0)</f>
        <v>66</v>
      </c>
      <c r="P231" s="21" t="n">
        <f aca="false">VLOOKUP(E231,Assumptions!$A$41:$B$43,2,0)</f>
        <v>60</v>
      </c>
      <c r="Q231" s="22" t="n">
        <f aca="false">L231*Assumptions!$B$7+M231*Assumptions!$B$8+N231*Assumptions!$B$9+O231*Assumptions!$B$10+P231*Assumptions!$B$11</f>
        <v>47.309375</v>
      </c>
      <c r="R231" s="11" t="str">
        <f aca="false">IF(Q231&lt;=33,"High Risk",IF(Q231&lt;=66,"Medium Risk","Low Risk"))</f>
        <v>Medium Risk</v>
      </c>
    </row>
    <row r="232" customFormat="false" ht="15" hidden="false" customHeight="true" outlineLevel="0" collapsed="false">
      <c r="A232" s="20" t="n">
        <f aca="false">'Raw Data'!A232</f>
        <v>231</v>
      </c>
      <c r="B232" s="20" t="n">
        <f aca="false">'Raw Data'!B232</f>
        <v>26</v>
      </c>
      <c r="C232" s="20" t="str">
        <f aca="false">'Raw Data'!C232</f>
        <v>male</v>
      </c>
      <c r="D232" s="20" t="n">
        <f aca="false">'Raw Data'!D232</f>
        <v>2</v>
      </c>
      <c r="E232" s="20" t="str">
        <f aca="false">'Raw Data'!E232</f>
        <v>own</v>
      </c>
      <c r="F232" s="20" t="str">
        <f aca="false">'Raw Data'!F232</f>
        <v>little</v>
      </c>
      <c r="G232" s="20" t="str">
        <f aca="false">'Raw Data'!G232</f>
        <v>rich</v>
      </c>
      <c r="H232" s="20" t="n">
        <f aca="false">'Raw Data'!H232</f>
        <v>4210</v>
      </c>
      <c r="I232" s="20" t="n">
        <f aca="false">'Raw Data'!I232</f>
        <v>36</v>
      </c>
      <c r="J232" s="20" t="str">
        <f aca="false">'Raw Data'!J232</f>
        <v>radio/TV</v>
      </c>
      <c r="K232" s="21" t="n">
        <f aca="false">H232/I232</f>
        <v>116.944444444444</v>
      </c>
      <c r="L232" s="21" t="n">
        <f aca="false">100-MIN(K232/Assumptions!$B$14,1)*100</f>
        <v>70.7638888888889</v>
      </c>
      <c r="M232" s="21" t="n">
        <f aca="false">VLOOKUP(F232,Assumptions!$A$19:$B$23,2,0)</f>
        <v>25</v>
      </c>
      <c r="N232" s="21" t="n">
        <f aca="false">VLOOKUP(G232,Assumptions!$A$27:$B$30,2,0)</f>
        <v>100</v>
      </c>
      <c r="O232" s="21" t="n">
        <f aca="false">VLOOKUP(D232,Assumptions!$A$34:$B$37,2,0)</f>
        <v>66</v>
      </c>
      <c r="P232" s="21" t="n">
        <f aca="false">VLOOKUP(E232,Assumptions!$A$41:$B$43,2,0)</f>
        <v>100</v>
      </c>
      <c r="Q232" s="22" t="n">
        <f aca="false">L232*Assumptions!$B$7+M232*Assumptions!$B$8+N232*Assumptions!$B$9+O232*Assumptions!$B$10+P232*Assumptions!$B$11</f>
        <v>67.3791666666667</v>
      </c>
      <c r="R232" s="11" t="str">
        <f aca="false">IF(Q232&lt;=33,"High Risk",IF(Q232&lt;=66,"Medium Risk","Low Risk"))</f>
        <v>Low Risk</v>
      </c>
    </row>
    <row r="233" customFormat="false" ht="15" hidden="false" customHeight="true" outlineLevel="0" collapsed="false">
      <c r="A233" s="20" t="n">
        <f aca="false">'Raw Data'!A233</f>
        <v>232</v>
      </c>
      <c r="B233" s="20" t="n">
        <f aca="false">'Raw Data'!B233</f>
        <v>51</v>
      </c>
      <c r="C233" s="20" t="str">
        <f aca="false">'Raw Data'!C233</f>
        <v>male</v>
      </c>
      <c r="D233" s="20" t="n">
        <f aca="false">'Raw Data'!D233</f>
        <v>1</v>
      </c>
      <c r="E233" s="20" t="str">
        <f aca="false">'Raw Data'!E233</f>
        <v>free</v>
      </c>
      <c r="F233" s="20" t="str">
        <f aca="false">'Raw Data'!F233</f>
        <v>quite rich</v>
      </c>
      <c r="G233" s="20" t="str">
        <f aca="false">'Raw Data'!G233</f>
        <v>none</v>
      </c>
      <c r="H233" s="20" t="n">
        <f aca="false">'Raw Data'!H233</f>
        <v>2507</v>
      </c>
      <c r="I233" s="20" t="n">
        <f aca="false">'Raw Data'!I233</f>
        <v>9</v>
      </c>
      <c r="J233" s="20" t="str">
        <f aca="false">'Raw Data'!J233</f>
        <v>car</v>
      </c>
      <c r="K233" s="21" t="n">
        <f aca="false">H233/I233</f>
        <v>278.555555555556</v>
      </c>
      <c r="L233" s="21" t="n">
        <f aca="false">100-MIN(K233/Assumptions!$B$14,1)*100</f>
        <v>30.3611111111111</v>
      </c>
      <c r="M233" s="21" t="n">
        <f aca="false">VLOOKUP(F233,Assumptions!$A$19:$B$23,2,0)</f>
        <v>75</v>
      </c>
      <c r="N233" s="21" t="n">
        <f aca="false">VLOOKUP(G233,Assumptions!$A$27:$B$30,2,0)</f>
        <v>50</v>
      </c>
      <c r="O233" s="21" t="n">
        <f aca="false">VLOOKUP(D233,Assumptions!$A$34:$B$37,2,0)</f>
        <v>33</v>
      </c>
      <c r="P233" s="21" t="n">
        <f aca="false">VLOOKUP(E233,Assumptions!$A$41:$B$43,2,0)</f>
        <v>60</v>
      </c>
      <c r="Q233" s="22" t="n">
        <f aca="false">L233*Assumptions!$B$7+M233*Assumptions!$B$8+N233*Assumptions!$B$9+O233*Assumptions!$B$10+P233*Assumptions!$B$11</f>
        <v>48.8083333333333</v>
      </c>
      <c r="R233" s="11" t="str">
        <f aca="false">IF(Q233&lt;=33,"High Risk",IF(Q233&lt;=66,"Medium Risk","Low Risk"))</f>
        <v>Medium Risk</v>
      </c>
    </row>
    <row r="234" customFormat="false" ht="15" hidden="false" customHeight="true" outlineLevel="0" collapsed="false">
      <c r="A234" s="20" t="n">
        <f aca="false">'Raw Data'!A234</f>
        <v>233</v>
      </c>
      <c r="B234" s="20" t="n">
        <f aca="false">'Raw Data'!B234</f>
        <v>35</v>
      </c>
      <c r="C234" s="20" t="str">
        <f aca="false">'Raw Data'!C234</f>
        <v>male</v>
      </c>
      <c r="D234" s="20" t="n">
        <f aca="false">'Raw Data'!D234</f>
        <v>2</v>
      </c>
      <c r="E234" s="20" t="str">
        <f aca="false">'Raw Data'!E234</f>
        <v>own</v>
      </c>
      <c r="F234" s="20" t="str">
        <f aca="false">'Raw Data'!F234</f>
        <v>moderate</v>
      </c>
      <c r="G234" s="20" t="str">
        <f aca="false">'Raw Data'!G234</f>
        <v>none</v>
      </c>
      <c r="H234" s="20" t="n">
        <f aca="false">'Raw Data'!H234</f>
        <v>2141</v>
      </c>
      <c r="I234" s="20" t="n">
        <f aca="false">'Raw Data'!I234</f>
        <v>12</v>
      </c>
      <c r="J234" s="20" t="str">
        <f aca="false">'Raw Data'!J234</f>
        <v>radio/TV</v>
      </c>
      <c r="K234" s="21" t="n">
        <f aca="false">H234/I234</f>
        <v>178.416666666667</v>
      </c>
      <c r="L234" s="21" t="n">
        <f aca="false">100-MIN(K234/Assumptions!$B$14,1)*100</f>
        <v>55.3958333333333</v>
      </c>
      <c r="M234" s="21" t="n">
        <f aca="false">VLOOKUP(F234,Assumptions!$A$19:$B$23,2,0)</f>
        <v>50</v>
      </c>
      <c r="N234" s="21" t="n">
        <f aca="false">VLOOKUP(G234,Assumptions!$A$27:$B$30,2,0)</f>
        <v>50</v>
      </c>
      <c r="O234" s="21" t="n">
        <f aca="false">VLOOKUP(D234,Assumptions!$A$34:$B$37,2,0)</f>
        <v>66</v>
      </c>
      <c r="P234" s="21" t="n">
        <f aca="false">VLOOKUP(E234,Assumptions!$A$41:$B$43,2,0)</f>
        <v>100</v>
      </c>
      <c r="Q234" s="22" t="n">
        <f aca="false">L234*Assumptions!$B$7+M234*Assumptions!$B$8+N234*Assumptions!$B$9+O234*Assumptions!$B$10+P234*Assumptions!$B$11</f>
        <v>59.01875</v>
      </c>
      <c r="R234" s="11" t="str">
        <f aca="false">IF(Q234&lt;=33,"High Risk",IF(Q234&lt;=66,"Medium Risk","Low Risk"))</f>
        <v>Medium Risk</v>
      </c>
    </row>
    <row r="235" customFormat="false" ht="15" hidden="false" customHeight="true" outlineLevel="0" collapsed="false">
      <c r="A235" s="20" t="n">
        <f aca="false">'Raw Data'!A235</f>
        <v>234</v>
      </c>
      <c r="B235" s="20" t="n">
        <f aca="false">'Raw Data'!B235</f>
        <v>25</v>
      </c>
      <c r="C235" s="20" t="str">
        <f aca="false">'Raw Data'!C235</f>
        <v>male</v>
      </c>
      <c r="D235" s="20" t="n">
        <f aca="false">'Raw Data'!D235</f>
        <v>1</v>
      </c>
      <c r="E235" s="20" t="str">
        <f aca="false">'Raw Data'!E235</f>
        <v>own</v>
      </c>
      <c r="F235" s="20" t="str">
        <f aca="false">'Raw Data'!F235</f>
        <v>little</v>
      </c>
      <c r="G235" s="20" t="str">
        <f aca="false">'Raw Data'!G235</f>
        <v>moderate</v>
      </c>
      <c r="H235" s="20" t="n">
        <f aca="false">'Raw Data'!H235</f>
        <v>866</v>
      </c>
      <c r="I235" s="20" t="n">
        <f aca="false">'Raw Data'!I235</f>
        <v>18</v>
      </c>
      <c r="J235" s="20" t="str">
        <f aca="false">'Raw Data'!J235</f>
        <v>radio/TV</v>
      </c>
      <c r="K235" s="21" t="n">
        <f aca="false">H235/I235</f>
        <v>48.1111111111111</v>
      </c>
      <c r="L235" s="21" t="n">
        <f aca="false">100-MIN(K235/Assumptions!$B$14,1)*100</f>
        <v>87.9722222222222</v>
      </c>
      <c r="M235" s="21" t="n">
        <f aca="false">VLOOKUP(F235,Assumptions!$A$19:$B$23,2,0)</f>
        <v>25</v>
      </c>
      <c r="N235" s="21" t="n">
        <f aca="false">VLOOKUP(G235,Assumptions!$A$27:$B$30,2,0)</f>
        <v>60</v>
      </c>
      <c r="O235" s="21" t="n">
        <f aca="false">VLOOKUP(D235,Assumptions!$A$34:$B$37,2,0)</f>
        <v>33</v>
      </c>
      <c r="P235" s="21" t="n">
        <f aca="false">VLOOKUP(E235,Assumptions!$A$41:$B$43,2,0)</f>
        <v>100</v>
      </c>
      <c r="Q235" s="22" t="n">
        <f aca="false">L235*Assumptions!$B$7+M235*Assumptions!$B$8+N235*Assumptions!$B$9+O235*Assumptions!$B$10+P235*Assumptions!$B$11</f>
        <v>59.5916666666667</v>
      </c>
      <c r="R235" s="11" t="str">
        <f aca="false">IF(Q235&lt;=33,"High Risk",IF(Q235&lt;=66,"Medium Risk","Low Risk"))</f>
        <v>Medium Risk</v>
      </c>
    </row>
    <row r="236" customFormat="false" ht="15" hidden="false" customHeight="true" outlineLevel="0" collapsed="false">
      <c r="A236" s="20" t="n">
        <f aca="false">'Raw Data'!A236</f>
        <v>235</v>
      </c>
      <c r="B236" s="20" t="n">
        <f aca="false">'Raw Data'!B236</f>
        <v>42</v>
      </c>
      <c r="C236" s="20" t="str">
        <f aca="false">'Raw Data'!C236</f>
        <v>male</v>
      </c>
      <c r="D236" s="20" t="n">
        <f aca="false">'Raw Data'!D236</f>
        <v>1</v>
      </c>
      <c r="E236" s="20" t="str">
        <f aca="false">'Raw Data'!E236</f>
        <v>own</v>
      </c>
      <c r="F236" s="20" t="str">
        <f aca="false">'Raw Data'!F236</f>
        <v>little</v>
      </c>
      <c r="G236" s="20" t="str">
        <f aca="false">'Raw Data'!G236</f>
        <v>none</v>
      </c>
      <c r="H236" s="20" t="n">
        <f aca="false">'Raw Data'!H236</f>
        <v>1544</v>
      </c>
      <c r="I236" s="20" t="n">
        <f aca="false">'Raw Data'!I236</f>
        <v>4</v>
      </c>
      <c r="J236" s="20" t="str">
        <f aca="false">'Raw Data'!J236</f>
        <v>radio/TV</v>
      </c>
      <c r="K236" s="21" t="n">
        <f aca="false">H236/I236</f>
        <v>386</v>
      </c>
      <c r="L236" s="21" t="n">
        <f aca="false">100-MIN(K236/Assumptions!$B$14,1)*100</f>
        <v>3.5</v>
      </c>
      <c r="M236" s="21" t="n">
        <f aca="false">VLOOKUP(F236,Assumptions!$A$19:$B$23,2,0)</f>
        <v>25</v>
      </c>
      <c r="N236" s="21" t="n">
        <f aca="false">VLOOKUP(G236,Assumptions!$A$27:$B$30,2,0)</f>
        <v>50</v>
      </c>
      <c r="O236" s="21" t="n">
        <f aca="false">VLOOKUP(D236,Assumptions!$A$34:$B$37,2,0)</f>
        <v>33</v>
      </c>
      <c r="P236" s="21" t="n">
        <f aca="false">VLOOKUP(E236,Assumptions!$A$41:$B$43,2,0)</f>
        <v>100</v>
      </c>
      <c r="Q236" s="22" t="n">
        <f aca="false">L236*Assumptions!$B$7+M236*Assumptions!$B$8+N236*Assumptions!$B$9+O236*Assumptions!$B$10+P236*Assumptions!$B$11</f>
        <v>32.25</v>
      </c>
      <c r="R236" s="11" t="str">
        <f aca="false">IF(Q236&lt;=33,"High Risk",IF(Q236&lt;=66,"Medium Risk","Low Risk"))</f>
        <v>High Risk</v>
      </c>
    </row>
    <row r="237" customFormat="false" ht="15" hidden="false" customHeight="true" outlineLevel="0" collapsed="false">
      <c r="A237" s="20" t="n">
        <f aca="false">'Raw Data'!A237</f>
        <v>236</v>
      </c>
      <c r="B237" s="20" t="n">
        <f aca="false">'Raw Data'!B237</f>
        <v>30</v>
      </c>
      <c r="C237" s="20" t="str">
        <f aca="false">'Raw Data'!C237</f>
        <v>male</v>
      </c>
      <c r="D237" s="20" t="n">
        <f aca="false">'Raw Data'!D237</f>
        <v>3</v>
      </c>
      <c r="E237" s="20" t="str">
        <f aca="false">'Raw Data'!E237</f>
        <v>own</v>
      </c>
      <c r="F237" s="20" t="str">
        <f aca="false">'Raw Data'!F237</f>
        <v>little</v>
      </c>
      <c r="G237" s="20" t="str">
        <f aca="false">'Raw Data'!G237</f>
        <v>little</v>
      </c>
      <c r="H237" s="20" t="n">
        <f aca="false">'Raw Data'!H237</f>
        <v>1823</v>
      </c>
      <c r="I237" s="20" t="n">
        <f aca="false">'Raw Data'!I237</f>
        <v>24</v>
      </c>
      <c r="J237" s="20" t="str">
        <f aca="false">'Raw Data'!J237</f>
        <v>radio/TV</v>
      </c>
      <c r="K237" s="21" t="n">
        <f aca="false">H237/I237</f>
        <v>75.9583333333333</v>
      </c>
      <c r="L237" s="21" t="n">
        <f aca="false">100-MIN(K237/Assumptions!$B$14,1)*100</f>
        <v>81.0104166666667</v>
      </c>
      <c r="M237" s="21" t="n">
        <f aca="false">VLOOKUP(F237,Assumptions!$A$19:$B$23,2,0)</f>
        <v>25</v>
      </c>
      <c r="N237" s="21" t="n">
        <f aca="false">VLOOKUP(G237,Assumptions!$A$27:$B$30,2,0)</f>
        <v>25</v>
      </c>
      <c r="O237" s="21" t="n">
        <f aca="false">VLOOKUP(D237,Assumptions!$A$34:$B$37,2,0)</f>
        <v>100</v>
      </c>
      <c r="P237" s="21" t="n">
        <f aca="false">VLOOKUP(E237,Assumptions!$A$41:$B$43,2,0)</f>
        <v>100</v>
      </c>
      <c r="Q237" s="22" t="n">
        <f aca="false">L237*Assumptions!$B$7+M237*Assumptions!$B$8+N237*Assumptions!$B$9+O237*Assumptions!$B$10+P237*Assumptions!$B$11</f>
        <v>60.553125</v>
      </c>
      <c r="R237" s="11" t="str">
        <f aca="false">IF(Q237&lt;=33,"High Risk",IF(Q237&lt;=66,"Medium Risk","Low Risk"))</f>
        <v>Medium Risk</v>
      </c>
    </row>
    <row r="238" customFormat="false" ht="15" hidden="false" customHeight="true" outlineLevel="0" collapsed="false">
      <c r="A238" s="20" t="n">
        <f aca="false">'Raw Data'!A238</f>
        <v>237</v>
      </c>
      <c r="B238" s="20" t="n">
        <f aca="false">'Raw Data'!B238</f>
        <v>23</v>
      </c>
      <c r="C238" s="20" t="str">
        <f aca="false">'Raw Data'!C238</f>
        <v>male</v>
      </c>
      <c r="D238" s="20" t="n">
        <f aca="false">'Raw Data'!D238</f>
        <v>0</v>
      </c>
      <c r="E238" s="20" t="str">
        <f aca="false">'Raw Data'!E238</f>
        <v>own</v>
      </c>
      <c r="F238" s="20" t="str">
        <f aca="false">'Raw Data'!F238</f>
        <v>none</v>
      </c>
      <c r="G238" s="20" t="str">
        <f aca="false">'Raw Data'!G238</f>
        <v>moderate</v>
      </c>
      <c r="H238" s="20" t="n">
        <f aca="false">'Raw Data'!H238</f>
        <v>14555</v>
      </c>
      <c r="I238" s="20" t="n">
        <f aca="false">'Raw Data'!I238</f>
        <v>6</v>
      </c>
      <c r="J238" s="20" t="str">
        <f aca="false">'Raw Data'!J238</f>
        <v>car</v>
      </c>
      <c r="K238" s="21" t="n">
        <f aca="false">H238/I238</f>
        <v>2425.83333333333</v>
      </c>
      <c r="L238" s="21" t="n">
        <f aca="false">100-MIN(K238/Assumptions!$B$14,1)*100</f>
        <v>0</v>
      </c>
      <c r="M238" s="21" t="n">
        <f aca="false">VLOOKUP(F238,Assumptions!$A$19:$B$23,2,0)</f>
        <v>40</v>
      </c>
      <c r="N238" s="21" t="n">
        <f aca="false">VLOOKUP(G238,Assumptions!$A$27:$B$30,2,0)</f>
        <v>60</v>
      </c>
      <c r="O238" s="21" t="n">
        <f aca="false">VLOOKUP(D238,Assumptions!$A$34:$B$37,2,0)</f>
        <v>0</v>
      </c>
      <c r="P238" s="21" t="n">
        <f aca="false">VLOOKUP(E238,Assumptions!$A$41:$B$43,2,0)</f>
        <v>100</v>
      </c>
      <c r="Q238" s="22" t="n">
        <f aca="false">L238*Assumptions!$B$7+M238*Assumptions!$B$8+N238*Assumptions!$B$9+O238*Assumptions!$B$10+P238*Assumptions!$B$11</f>
        <v>32</v>
      </c>
      <c r="R238" s="11" t="str">
        <f aca="false">IF(Q238&lt;=33,"High Risk",IF(Q238&lt;=66,"Medium Risk","Low Risk"))</f>
        <v>High Risk</v>
      </c>
    </row>
    <row r="239" customFormat="false" ht="15" hidden="false" customHeight="true" outlineLevel="0" collapsed="false">
      <c r="A239" s="20" t="n">
        <f aca="false">'Raw Data'!A239</f>
        <v>238</v>
      </c>
      <c r="B239" s="20" t="n">
        <f aca="false">'Raw Data'!B239</f>
        <v>61</v>
      </c>
      <c r="C239" s="20" t="str">
        <f aca="false">'Raw Data'!C239</f>
        <v>male</v>
      </c>
      <c r="D239" s="20" t="n">
        <f aca="false">'Raw Data'!D239</f>
        <v>1</v>
      </c>
      <c r="E239" s="20" t="str">
        <f aca="false">'Raw Data'!E239</f>
        <v>rent</v>
      </c>
      <c r="F239" s="20" t="str">
        <f aca="false">'Raw Data'!F239</f>
        <v>moderate</v>
      </c>
      <c r="G239" s="20" t="str">
        <f aca="false">'Raw Data'!G239</f>
        <v>moderate</v>
      </c>
      <c r="H239" s="20" t="n">
        <f aca="false">'Raw Data'!H239</f>
        <v>2767</v>
      </c>
      <c r="I239" s="20" t="n">
        <f aca="false">'Raw Data'!I239</f>
        <v>21</v>
      </c>
      <c r="J239" s="20" t="str">
        <f aca="false">'Raw Data'!J239</f>
        <v>business</v>
      </c>
      <c r="K239" s="21" t="n">
        <f aca="false">H239/I239</f>
        <v>131.761904761905</v>
      </c>
      <c r="L239" s="21" t="n">
        <f aca="false">100-MIN(K239/Assumptions!$B$14,1)*100</f>
        <v>67.0595238095238</v>
      </c>
      <c r="M239" s="21" t="n">
        <f aca="false">VLOOKUP(F239,Assumptions!$A$19:$B$23,2,0)</f>
        <v>50</v>
      </c>
      <c r="N239" s="21" t="n">
        <f aca="false">VLOOKUP(G239,Assumptions!$A$27:$B$30,2,0)</f>
        <v>60</v>
      </c>
      <c r="O239" s="21" t="n">
        <f aca="false">VLOOKUP(D239,Assumptions!$A$34:$B$37,2,0)</f>
        <v>33</v>
      </c>
      <c r="P239" s="21" t="n">
        <f aca="false">VLOOKUP(E239,Assumptions!$A$41:$B$43,2,0)</f>
        <v>30</v>
      </c>
      <c r="Q239" s="22" t="n">
        <f aca="false">L239*Assumptions!$B$7+M239*Assumptions!$B$8+N239*Assumptions!$B$9+O239*Assumptions!$B$10+P239*Assumptions!$B$11</f>
        <v>52.5678571428572</v>
      </c>
      <c r="R239" s="11" t="str">
        <f aca="false">IF(Q239&lt;=33,"High Risk",IF(Q239&lt;=66,"Medium Risk","Low Risk"))</f>
        <v>Medium Risk</v>
      </c>
    </row>
    <row r="240" customFormat="false" ht="15" hidden="false" customHeight="true" outlineLevel="0" collapsed="false">
      <c r="A240" s="20" t="n">
        <f aca="false">'Raw Data'!A240</f>
        <v>239</v>
      </c>
      <c r="B240" s="20" t="n">
        <f aca="false">'Raw Data'!B240</f>
        <v>35</v>
      </c>
      <c r="C240" s="20" t="str">
        <f aca="false">'Raw Data'!C240</f>
        <v>female</v>
      </c>
      <c r="D240" s="20" t="n">
        <f aca="false">'Raw Data'!D240</f>
        <v>2</v>
      </c>
      <c r="E240" s="20" t="str">
        <f aca="false">'Raw Data'!E240</f>
        <v>own</v>
      </c>
      <c r="F240" s="20" t="str">
        <f aca="false">'Raw Data'!F240</f>
        <v>little</v>
      </c>
      <c r="G240" s="20" t="str">
        <f aca="false">'Raw Data'!G240</f>
        <v>none</v>
      </c>
      <c r="H240" s="20" t="n">
        <f aca="false">'Raw Data'!H240</f>
        <v>1291</v>
      </c>
      <c r="I240" s="20" t="n">
        <f aca="false">'Raw Data'!I240</f>
        <v>12</v>
      </c>
      <c r="J240" s="20" t="str">
        <f aca="false">'Raw Data'!J240</f>
        <v>radio/TV</v>
      </c>
      <c r="K240" s="21" t="n">
        <f aca="false">H240/I240</f>
        <v>107.583333333333</v>
      </c>
      <c r="L240" s="21" t="n">
        <f aca="false">100-MIN(K240/Assumptions!$B$14,1)*100</f>
        <v>73.1041666666667</v>
      </c>
      <c r="M240" s="21" t="n">
        <f aca="false">VLOOKUP(F240,Assumptions!$A$19:$B$23,2,0)</f>
        <v>25</v>
      </c>
      <c r="N240" s="21" t="n">
        <f aca="false">VLOOKUP(G240,Assumptions!$A$27:$B$30,2,0)</f>
        <v>50</v>
      </c>
      <c r="O240" s="21" t="n">
        <f aca="false">VLOOKUP(D240,Assumptions!$A$34:$B$37,2,0)</f>
        <v>66</v>
      </c>
      <c r="P240" s="21" t="n">
        <f aca="false">VLOOKUP(E240,Assumptions!$A$41:$B$43,2,0)</f>
        <v>100</v>
      </c>
      <c r="Q240" s="22" t="n">
        <f aca="false">L240*Assumptions!$B$7+M240*Assumptions!$B$8+N240*Assumptions!$B$9+O240*Assumptions!$B$10+P240*Assumptions!$B$11</f>
        <v>58.08125</v>
      </c>
      <c r="R240" s="11" t="str">
        <f aca="false">IF(Q240&lt;=33,"High Risk",IF(Q240&lt;=66,"Medium Risk","Low Risk"))</f>
        <v>Medium Risk</v>
      </c>
    </row>
    <row r="241" customFormat="false" ht="15" hidden="false" customHeight="true" outlineLevel="0" collapsed="false">
      <c r="A241" s="20" t="n">
        <f aca="false">'Raw Data'!A241</f>
        <v>240</v>
      </c>
      <c r="B241" s="20" t="n">
        <f aca="false">'Raw Data'!B241</f>
        <v>39</v>
      </c>
      <c r="C241" s="20" t="str">
        <f aca="false">'Raw Data'!C241</f>
        <v>male</v>
      </c>
      <c r="D241" s="20" t="n">
        <f aca="false">'Raw Data'!D241</f>
        <v>2</v>
      </c>
      <c r="E241" s="20" t="str">
        <f aca="false">'Raw Data'!E241</f>
        <v>own</v>
      </c>
      <c r="F241" s="20" t="str">
        <f aca="false">'Raw Data'!F241</f>
        <v>little</v>
      </c>
      <c r="G241" s="20" t="str">
        <f aca="false">'Raw Data'!G241</f>
        <v>little</v>
      </c>
      <c r="H241" s="20" t="n">
        <f aca="false">'Raw Data'!H241</f>
        <v>2522</v>
      </c>
      <c r="I241" s="20" t="n">
        <f aca="false">'Raw Data'!I241</f>
        <v>30</v>
      </c>
      <c r="J241" s="20" t="str">
        <f aca="false">'Raw Data'!J241</f>
        <v>radio/TV</v>
      </c>
      <c r="K241" s="21" t="n">
        <f aca="false">H241/I241</f>
        <v>84.0666666666667</v>
      </c>
      <c r="L241" s="21" t="n">
        <f aca="false">100-MIN(K241/Assumptions!$B$14,1)*100</f>
        <v>78.9833333333333</v>
      </c>
      <c r="M241" s="21" t="n">
        <f aca="false">VLOOKUP(F241,Assumptions!$A$19:$B$23,2,0)</f>
        <v>25</v>
      </c>
      <c r="N241" s="21" t="n">
        <f aca="false">VLOOKUP(G241,Assumptions!$A$27:$B$30,2,0)</f>
        <v>25</v>
      </c>
      <c r="O241" s="21" t="n">
        <f aca="false">VLOOKUP(D241,Assumptions!$A$34:$B$37,2,0)</f>
        <v>66</v>
      </c>
      <c r="P241" s="21" t="n">
        <f aca="false">VLOOKUP(E241,Assumptions!$A$41:$B$43,2,0)</f>
        <v>100</v>
      </c>
      <c r="Q241" s="22" t="n">
        <f aca="false">L241*Assumptions!$B$7+M241*Assumptions!$B$8+N241*Assumptions!$B$9+O241*Assumptions!$B$10+P241*Assumptions!$B$11</f>
        <v>54.845</v>
      </c>
      <c r="R241" s="11" t="str">
        <f aca="false">IF(Q241&lt;=33,"High Risk",IF(Q241&lt;=66,"Medium Risk","Low Risk"))</f>
        <v>Medium Risk</v>
      </c>
    </row>
    <row r="242" customFormat="false" ht="15" hidden="false" customHeight="true" outlineLevel="0" collapsed="false">
      <c r="A242" s="20" t="n">
        <f aca="false">'Raw Data'!A242</f>
        <v>241</v>
      </c>
      <c r="B242" s="20" t="n">
        <f aca="false">'Raw Data'!B242</f>
        <v>29</v>
      </c>
      <c r="C242" s="20" t="str">
        <f aca="false">'Raw Data'!C242</f>
        <v>female</v>
      </c>
      <c r="D242" s="20" t="n">
        <f aca="false">'Raw Data'!D242</f>
        <v>2</v>
      </c>
      <c r="E242" s="20" t="str">
        <f aca="false">'Raw Data'!E242</f>
        <v>own</v>
      </c>
      <c r="F242" s="20" t="str">
        <f aca="false">'Raw Data'!F242</f>
        <v>none</v>
      </c>
      <c r="G242" s="20" t="str">
        <f aca="false">'Raw Data'!G242</f>
        <v>little</v>
      </c>
      <c r="H242" s="20" t="n">
        <f aca="false">'Raw Data'!H242</f>
        <v>915</v>
      </c>
      <c r="I242" s="20" t="n">
        <f aca="false">'Raw Data'!I242</f>
        <v>24</v>
      </c>
      <c r="J242" s="20" t="str">
        <f aca="false">'Raw Data'!J242</f>
        <v>car</v>
      </c>
      <c r="K242" s="21" t="n">
        <f aca="false">H242/I242</f>
        <v>38.125</v>
      </c>
      <c r="L242" s="21" t="n">
        <f aca="false">100-MIN(K242/Assumptions!$B$14,1)*100</f>
        <v>90.46875</v>
      </c>
      <c r="M242" s="21" t="n">
        <f aca="false">VLOOKUP(F242,Assumptions!$A$19:$B$23,2,0)</f>
        <v>40</v>
      </c>
      <c r="N242" s="21" t="n">
        <f aca="false">VLOOKUP(G242,Assumptions!$A$27:$B$30,2,0)</f>
        <v>25</v>
      </c>
      <c r="O242" s="21" t="n">
        <f aca="false">VLOOKUP(D242,Assumptions!$A$34:$B$37,2,0)</f>
        <v>66</v>
      </c>
      <c r="P242" s="21" t="n">
        <f aca="false">VLOOKUP(E242,Assumptions!$A$41:$B$43,2,0)</f>
        <v>100</v>
      </c>
      <c r="Q242" s="22" t="n">
        <f aca="false">L242*Assumptions!$B$7+M242*Assumptions!$B$8+N242*Assumptions!$B$9+O242*Assumptions!$B$10+P242*Assumptions!$B$11</f>
        <v>62.040625</v>
      </c>
      <c r="R242" s="11" t="str">
        <f aca="false">IF(Q242&lt;=33,"High Risk",IF(Q242&lt;=66,"Medium Risk","Low Risk"))</f>
        <v>Medium Risk</v>
      </c>
    </row>
    <row r="243" customFormat="false" ht="15" hidden="false" customHeight="true" outlineLevel="0" collapsed="false">
      <c r="A243" s="20" t="n">
        <f aca="false">'Raw Data'!A243</f>
        <v>242</v>
      </c>
      <c r="B243" s="20" t="n">
        <f aca="false">'Raw Data'!B243</f>
        <v>51</v>
      </c>
      <c r="C243" s="20" t="str">
        <f aca="false">'Raw Data'!C243</f>
        <v>male</v>
      </c>
      <c r="D243" s="20" t="n">
        <f aca="false">'Raw Data'!D243</f>
        <v>2</v>
      </c>
      <c r="E243" s="20" t="str">
        <f aca="false">'Raw Data'!E243</f>
        <v>own</v>
      </c>
      <c r="F243" s="20" t="str">
        <f aca="false">'Raw Data'!F243</f>
        <v>little</v>
      </c>
      <c r="G243" s="20" t="str">
        <f aca="false">'Raw Data'!G243</f>
        <v>none</v>
      </c>
      <c r="H243" s="20" t="n">
        <f aca="false">'Raw Data'!H243</f>
        <v>1595</v>
      </c>
      <c r="I243" s="20" t="n">
        <f aca="false">'Raw Data'!I243</f>
        <v>6</v>
      </c>
      <c r="J243" s="20" t="str">
        <f aca="false">'Raw Data'!J243</f>
        <v>radio/TV</v>
      </c>
      <c r="K243" s="21" t="n">
        <f aca="false">H243/I243</f>
        <v>265.833333333333</v>
      </c>
      <c r="L243" s="21" t="n">
        <f aca="false">100-MIN(K243/Assumptions!$B$14,1)*100</f>
        <v>33.5416666666667</v>
      </c>
      <c r="M243" s="21" t="n">
        <f aca="false">VLOOKUP(F243,Assumptions!$A$19:$B$23,2,0)</f>
        <v>25</v>
      </c>
      <c r="N243" s="21" t="n">
        <f aca="false">VLOOKUP(G243,Assumptions!$A$27:$B$30,2,0)</f>
        <v>50</v>
      </c>
      <c r="O243" s="21" t="n">
        <f aca="false">VLOOKUP(D243,Assumptions!$A$34:$B$37,2,0)</f>
        <v>66</v>
      </c>
      <c r="P243" s="21" t="n">
        <f aca="false">VLOOKUP(E243,Assumptions!$A$41:$B$43,2,0)</f>
        <v>100</v>
      </c>
      <c r="Q243" s="22" t="n">
        <f aca="false">L243*Assumptions!$B$7+M243*Assumptions!$B$8+N243*Assumptions!$B$9+O243*Assumptions!$B$10+P243*Assumptions!$B$11</f>
        <v>46.2125</v>
      </c>
      <c r="R243" s="11" t="str">
        <f aca="false">IF(Q243&lt;=33,"High Risk",IF(Q243&lt;=66,"Medium Risk","Low Risk"))</f>
        <v>Medium Risk</v>
      </c>
    </row>
    <row r="244" customFormat="false" ht="15" hidden="false" customHeight="true" outlineLevel="0" collapsed="false">
      <c r="A244" s="20" t="n">
        <f aca="false">'Raw Data'!A244</f>
        <v>243</v>
      </c>
      <c r="B244" s="20" t="n">
        <f aca="false">'Raw Data'!B244</f>
        <v>24</v>
      </c>
      <c r="C244" s="20" t="str">
        <f aca="false">'Raw Data'!C244</f>
        <v>male</v>
      </c>
      <c r="D244" s="20" t="n">
        <f aca="false">'Raw Data'!D244</f>
        <v>2</v>
      </c>
      <c r="E244" s="20" t="str">
        <f aca="false">'Raw Data'!E244</f>
        <v>free</v>
      </c>
      <c r="F244" s="20" t="str">
        <f aca="false">'Raw Data'!F244</f>
        <v>little</v>
      </c>
      <c r="G244" s="20" t="str">
        <f aca="false">'Raw Data'!G244</f>
        <v>little</v>
      </c>
      <c r="H244" s="20" t="n">
        <f aca="false">'Raw Data'!H244</f>
        <v>4605</v>
      </c>
      <c r="I244" s="20" t="n">
        <f aca="false">'Raw Data'!I244</f>
        <v>48</v>
      </c>
      <c r="J244" s="20" t="str">
        <f aca="false">'Raw Data'!J244</f>
        <v>car</v>
      </c>
      <c r="K244" s="21" t="n">
        <f aca="false">H244/I244</f>
        <v>95.9375</v>
      </c>
      <c r="L244" s="21" t="n">
        <f aca="false">100-MIN(K244/Assumptions!$B$14,1)*100</f>
        <v>76.015625</v>
      </c>
      <c r="M244" s="21" t="n">
        <f aca="false">VLOOKUP(F244,Assumptions!$A$19:$B$23,2,0)</f>
        <v>25</v>
      </c>
      <c r="N244" s="21" t="n">
        <f aca="false">VLOOKUP(G244,Assumptions!$A$27:$B$30,2,0)</f>
        <v>25</v>
      </c>
      <c r="O244" s="21" t="n">
        <f aca="false">VLOOKUP(D244,Assumptions!$A$34:$B$37,2,0)</f>
        <v>66</v>
      </c>
      <c r="P244" s="21" t="n">
        <f aca="false">VLOOKUP(E244,Assumptions!$A$41:$B$43,2,0)</f>
        <v>60</v>
      </c>
      <c r="Q244" s="22" t="n">
        <f aca="false">L244*Assumptions!$B$7+M244*Assumptions!$B$8+N244*Assumptions!$B$9+O244*Assumptions!$B$10+P244*Assumptions!$B$11</f>
        <v>49.9546875</v>
      </c>
      <c r="R244" s="11" t="str">
        <f aca="false">IF(Q244&lt;=33,"High Risk",IF(Q244&lt;=66,"Medium Risk","Low Risk"))</f>
        <v>Medium Risk</v>
      </c>
    </row>
    <row r="245" customFormat="false" ht="15" hidden="false" customHeight="true" outlineLevel="0" collapsed="false">
      <c r="A245" s="20" t="n">
        <f aca="false">'Raw Data'!A245</f>
        <v>244</v>
      </c>
      <c r="B245" s="20" t="n">
        <f aca="false">'Raw Data'!B245</f>
        <v>27</v>
      </c>
      <c r="C245" s="20" t="str">
        <f aca="false">'Raw Data'!C245</f>
        <v>female</v>
      </c>
      <c r="D245" s="20" t="n">
        <f aca="false">'Raw Data'!D245</f>
        <v>2</v>
      </c>
      <c r="E245" s="20" t="str">
        <f aca="false">'Raw Data'!E245</f>
        <v>own</v>
      </c>
      <c r="F245" s="20" t="str">
        <f aca="false">'Raw Data'!F245</f>
        <v>little</v>
      </c>
      <c r="G245" s="20" t="str">
        <f aca="false">'Raw Data'!G245</f>
        <v>none</v>
      </c>
      <c r="H245" s="20" t="n">
        <f aca="false">'Raw Data'!H245</f>
        <v>1185</v>
      </c>
      <c r="I245" s="20" t="n">
        <f aca="false">'Raw Data'!I245</f>
        <v>12</v>
      </c>
      <c r="J245" s="20" t="str">
        <f aca="false">'Raw Data'!J245</f>
        <v>business</v>
      </c>
      <c r="K245" s="21" t="n">
        <f aca="false">H245/I245</f>
        <v>98.75</v>
      </c>
      <c r="L245" s="21" t="n">
        <f aca="false">100-MIN(K245/Assumptions!$B$14,1)*100</f>
        <v>75.3125</v>
      </c>
      <c r="M245" s="21" t="n">
        <f aca="false">VLOOKUP(F245,Assumptions!$A$19:$B$23,2,0)</f>
        <v>25</v>
      </c>
      <c r="N245" s="21" t="n">
        <f aca="false">VLOOKUP(G245,Assumptions!$A$27:$B$30,2,0)</f>
        <v>50</v>
      </c>
      <c r="O245" s="21" t="n">
        <f aca="false">VLOOKUP(D245,Assumptions!$A$34:$B$37,2,0)</f>
        <v>66</v>
      </c>
      <c r="P245" s="21" t="n">
        <f aca="false">VLOOKUP(E245,Assumptions!$A$41:$B$43,2,0)</f>
        <v>100</v>
      </c>
      <c r="Q245" s="22" t="n">
        <f aca="false">L245*Assumptions!$B$7+M245*Assumptions!$B$8+N245*Assumptions!$B$9+O245*Assumptions!$B$10+P245*Assumptions!$B$11</f>
        <v>58.74375</v>
      </c>
      <c r="R245" s="11" t="str">
        <f aca="false">IF(Q245&lt;=33,"High Risk",IF(Q245&lt;=66,"Medium Risk","Low Risk"))</f>
        <v>Medium Risk</v>
      </c>
    </row>
    <row r="246" customFormat="false" ht="15" hidden="false" customHeight="true" outlineLevel="0" collapsed="false">
      <c r="A246" s="20" t="n">
        <f aca="false">'Raw Data'!A246</f>
        <v>245</v>
      </c>
      <c r="B246" s="20" t="n">
        <f aca="false">'Raw Data'!B246</f>
        <v>35</v>
      </c>
      <c r="C246" s="20" t="str">
        <f aca="false">'Raw Data'!C246</f>
        <v>female</v>
      </c>
      <c r="D246" s="20" t="n">
        <f aca="false">'Raw Data'!D246</f>
        <v>1</v>
      </c>
      <c r="E246" s="20" t="str">
        <f aca="false">'Raw Data'!E246</f>
        <v>own</v>
      </c>
      <c r="F246" s="20" t="str">
        <f aca="false">'Raw Data'!F246</f>
        <v>quite rich</v>
      </c>
      <c r="G246" s="20" t="str">
        <f aca="false">'Raw Data'!G246</f>
        <v>none</v>
      </c>
      <c r="H246" s="20" t="n">
        <f aca="false">'Raw Data'!H246</f>
        <v>3447</v>
      </c>
      <c r="I246" s="20" t="n">
        <f aca="false">'Raw Data'!I246</f>
        <v>12</v>
      </c>
      <c r="J246" s="20" t="str">
        <f aca="false">'Raw Data'!J246</f>
        <v>education</v>
      </c>
      <c r="K246" s="21" t="n">
        <f aca="false">H246/I246</f>
        <v>287.25</v>
      </c>
      <c r="L246" s="21" t="n">
        <f aca="false">100-MIN(K246/Assumptions!$B$14,1)*100</f>
        <v>28.1875</v>
      </c>
      <c r="M246" s="21" t="n">
        <f aca="false">VLOOKUP(F246,Assumptions!$A$19:$B$23,2,0)</f>
        <v>75</v>
      </c>
      <c r="N246" s="21" t="n">
        <f aca="false">VLOOKUP(G246,Assumptions!$A$27:$B$30,2,0)</f>
        <v>50</v>
      </c>
      <c r="O246" s="21" t="n">
        <f aca="false">VLOOKUP(D246,Assumptions!$A$34:$B$37,2,0)</f>
        <v>33</v>
      </c>
      <c r="P246" s="21" t="n">
        <f aca="false">VLOOKUP(E246,Assumptions!$A$41:$B$43,2,0)</f>
        <v>100</v>
      </c>
      <c r="Q246" s="22" t="n">
        <f aca="false">L246*Assumptions!$B$7+M246*Assumptions!$B$8+N246*Assumptions!$B$9+O246*Assumptions!$B$10+P246*Assumptions!$B$11</f>
        <v>52.15625</v>
      </c>
      <c r="R246" s="11" t="str">
        <f aca="false">IF(Q246&lt;=33,"High Risk",IF(Q246&lt;=66,"Medium Risk","Low Risk"))</f>
        <v>Medium Risk</v>
      </c>
    </row>
    <row r="247" customFormat="false" ht="15" hidden="false" customHeight="true" outlineLevel="0" collapsed="false">
      <c r="A247" s="20" t="n">
        <f aca="false">'Raw Data'!A247</f>
        <v>246</v>
      </c>
      <c r="B247" s="20" t="n">
        <f aca="false">'Raw Data'!B247</f>
        <v>25</v>
      </c>
      <c r="C247" s="20" t="str">
        <f aca="false">'Raw Data'!C247</f>
        <v>male</v>
      </c>
      <c r="D247" s="20" t="n">
        <f aca="false">'Raw Data'!D247</f>
        <v>2</v>
      </c>
      <c r="E247" s="20" t="str">
        <f aca="false">'Raw Data'!E247</f>
        <v>own</v>
      </c>
      <c r="F247" s="20" t="str">
        <f aca="false">'Raw Data'!F247</f>
        <v>little</v>
      </c>
      <c r="G247" s="20" t="str">
        <f aca="false">'Raw Data'!G247</f>
        <v>none</v>
      </c>
      <c r="H247" s="20" t="n">
        <f aca="false">'Raw Data'!H247</f>
        <v>1258</v>
      </c>
      <c r="I247" s="20" t="n">
        <f aca="false">'Raw Data'!I247</f>
        <v>24</v>
      </c>
      <c r="J247" s="20" t="str">
        <f aca="false">'Raw Data'!J247</f>
        <v>business</v>
      </c>
      <c r="K247" s="21" t="n">
        <f aca="false">H247/I247</f>
        <v>52.4166666666667</v>
      </c>
      <c r="L247" s="21" t="n">
        <f aca="false">100-MIN(K247/Assumptions!$B$14,1)*100</f>
        <v>86.8958333333333</v>
      </c>
      <c r="M247" s="21" t="n">
        <f aca="false">VLOOKUP(F247,Assumptions!$A$19:$B$23,2,0)</f>
        <v>25</v>
      </c>
      <c r="N247" s="21" t="n">
        <f aca="false">VLOOKUP(G247,Assumptions!$A$27:$B$30,2,0)</f>
        <v>50</v>
      </c>
      <c r="O247" s="21" t="n">
        <f aca="false">VLOOKUP(D247,Assumptions!$A$34:$B$37,2,0)</f>
        <v>66</v>
      </c>
      <c r="P247" s="21" t="n">
        <f aca="false">VLOOKUP(E247,Assumptions!$A$41:$B$43,2,0)</f>
        <v>100</v>
      </c>
      <c r="Q247" s="22" t="n">
        <f aca="false">L247*Assumptions!$B$7+M247*Assumptions!$B$8+N247*Assumptions!$B$9+O247*Assumptions!$B$10+P247*Assumptions!$B$11</f>
        <v>62.21875</v>
      </c>
      <c r="R247" s="11" t="str">
        <f aca="false">IF(Q247&lt;=33,"High Risk",IF(Q247&lt;=66,"Medium Risk","Low Risk"))</f>
        <v>Medium Risk</v>
      </c>
    </row>
    <row r="248" customFormat="false" ht="15" hidden="false" customHeight="true" outlineLevel="0" collapsed="false">
      <c r="A248" s="20" t="n">
        <f aca="false">'Raw Data'!A248</f>
        <v>247</v>
      </c>
      <c r="B248" s="20" t="n">
        <f aca="false">'Raw Data'!B248</f>
        <v>52</v>
      </c>
      <c r="C248" s="20" t="str">
        <f aca="false">'Raw Data'!C248</f>
        <v>male</v>
      </c>
      <c r="D248" s="20" t="n">
        <f aca="false">'Raw Data'!D248</f>
        <v>2</v>
      </c>
      <c r="E248" s="20" t="str">
        <f aca="false">'Raw Data'!E248</f>
        <v>own</v>
      </c>
      <c r="F248" s="20" t="str">
        <f aca="false">'Raw Data'!F248</f>
        <v>little</v>
      </c>
      <c r="G248" s="20" t="str">
        <f aca="false">'Raw Data'!G248</f>
        <v>none</v>
      </c>
      <c r="H248" s="20" t="n">
        <f aca="false">'Raw Data'!H248</f>
        <v>717</v>
      </c>
      <c r="I248" s="20" t="n">
        <f aca="false">'Raw Data'!I248</f>
        <v>12</v>
      </c>
      <c r="J248" s="20" t="str">
        <f aca="false">'Raw Data'!J248</f>
        <v>radio/TV</v>
      </c>
      <c r="K248" s="21" t="n">
        <f aca="false">H248/I248</f>
        <v>59.75</v>
      </c>
      <c r="L248" s="21" t="n">
        <f aca="false">100-MIN(K248/Assumptions!$B$14,1)*100</f>
        <v>85.0625</v>
      </c>
      <c r="M248" s="21" t="n">
        <f aca="false">VLOOKUP(F248,Assumptions!$A$19:$B$23,2,0)</f>
        <v>25</v>
      </c>
      <c r="N248" s="21" t="n">
        <f aca="false">VLOOKUP(G248,Assumptions!$A$27:$B$30,2,0)</f>
        <v>50</v>
      </c>
      <c r="O248" s="21" t="n">
        <f aca="false">VLOOKUP(D248,Assumptions!$A$34:$B$37,2,0)</f>
        <v>66</v>
      </c>
      <c r="P248" s="21" t="n">
        <f aca="false">VLOOKUP(E248,Assumptions!$A$41:$B$43,2,0)</f>
        <v>100</v>
      </c>
      <c r="Q248" s="22" t="n">
        <f aca="false">L248*Assumptions!$B$7+M248*Assumptions!$B$8+N248*Assumptions!$B$9+O248*Assumptions!$B$10+P248*Assumptions!$B$11</f>
        <v>61.66875</v>
      </c>
      <c r="R248" s="11" t="str">
        <f aca="false">IF(Q248&lt;=33,"High Risk",IF(Q248&lt;=66,"Medium Risk","Low Risk"))</f>
        <v>Medium Risk</v>
      </c>
    </row>
    <row r="249" customFormat="false" ht="15" hidden="false" customHeight="true" outlineLevel="0" collapsed="false">
      <c r="A249" s="20" t="n">
        <f aca="false">'Raw Data'!A249</f>
        <v>248</v>
      </c>
      <c r="B249" s="20" t="n">
        <f aca="false">'Raw Data'!B249</f>
        <v>35</v>
      </c>
      <c r="C249" s="20" t="str">
        <f aca="false">'Raw Data'!C249</f>
        <v>male</v>
      </c>
      <c r="D249" s="20" t="n">
        <f aca="false">'Raw Data'!D249</f>
        <v>2</v>
      </c>
      <c r="E249" s="20" t="str">
        <f aca="false">'Raw Data'!E249</f>
        <v>rent</v>
      </c>
      <c r="F249" s="20" t="str">
        <f aca="false">'Raw Data'!F249</f>
        <v>moderate</v>
      </c>
      <c r="G249" s="20" t="str">
        <f aca="false">'Raw Data'!G249</f>
        <v>none</v>
      </c>
      <c r="H249" s="20" t="n">
        <f aca="false">'Raw Data'!H249</f>
        <v>1204</v>
      </c>
      <c r="I249" s="20" t="n">
        <f aca="false">'Raw Data'!I249</f>
        <v>6</v>
      </c>
      <c r="J249" s="20" t="str">
        <f aca="false">'Raw Data'!J249</f>
        <v>car</v>
      </c>
      <c r="K249" s="21" t="n">
        <f aca="false">H249/I249</f>
        <v>200.666666666667</v>
      </c>
      <c r="L249" s="21" t="n">
        <f aca="false">100-MIN(K249/Assumptions!$B$14,1)*100</f>
        <v>49.8333333333333</v>
      </c>
      <c r="M249" s="21" t="n">
        <f aca="false">VLOOKUP(F249,Assumptions!$A$19:$B$23,2,0)</f>
        <v>50</v>
      </c>
      <c r="N249" s="21" t="n">
        <f aca="false">VLOOKUP(G249,Assumptions!$A$27:$B$30,2,0)</f>
        <v>50</v>
      </c>
      <c r="O249" s="21" t="n">
        <f aca="false">VLOOKUP(D249,Assumptions!$A$34:$B$37,2,0)</f>
        <v>66</v>
      </c>
      <c r="P249" s="21" t="n">
        <f aca="false">VLOOKUP(E249,Assumptions!$A$41:$B$43,2,0)</f>
        <v>30</v>
      </c>
      <c r="Q249" s="22" t="n">
        <f aca="false">L249*Assumptions!$B$7+M249*Assumptions!$B$8+N249*Assumptions!$B$9+O249*Assumptions!$B$10+P249*Assumptions!$B$11</f>
        <v>50.35</v>
      </c>
      <c r="R249" s="11" t="str">
        <f aca="false">IF(Q249&lt;=33,"High Risk",IF(Q249&lt;=66,"Medium Risk","Low Risk"))</f>
        <v>Medium Risk</v>
      </c>
    </row>
    <row r="250" customFormat="false" ht="15" hidden="false" customHeight="true" outlineLevel="0" collapsed="false">
      <c r="A250" s="20" t="n">
        <f aca="false">'Raw Data'!A250</f>
        <v>249</v>
      </c>
      <c r="B250" s="20" t="n">
        <f aca="false">'Raw Data'!B250</f>
        <v>26</v>
      </c>
      <c r="C250" s="20" t="str">
        <f aca="false">'Raw Data'!C250</f>
        <v>male</v>
      </c>
      <c r="D250" s="20" t="n">
        <f aca="false">'Raw Data'!D250</f>
        <v>2</v>
      </c>
      <c r="E250" s="20" t="str">
        <f aca="false">'Raw Data'!E250</f>
        <v>own</v>
      </c>
      <c r="F250" s="20" t="str">
        <f aca="false">'Raw Data'!F250</f>
        <v>little</v>
      </c>
      <c r="G250" s="20" t="str">
        <f aca="false">'Raw Data'!G250</f>
        <v>rich</v>
      </c>
      <c r="H250" s="20" t="n">
        <f aca="false">'Raw Data'!H250</f>
        <v>1925</v>
      </c>
      <c r="I250" s="20" t="n">
        <f aca="false">'Raw Data'!I250</f>
        <v>24</v>
      </c>
      <c r="J250" s="20" t="str">
        <f aca="false">'Raw Data'!J250</f>
        <v>furniture/equipment</v>
      </c>
      <c r="K250" s="21" t="n">
        <f aca="false">H250/I250</f>
        <v>80.2083333333333</v>
      </c>
      <c r="L250" s="21" t="n">
        <f aca="false">100-MIN(K250/Assumptions!$B$14,1)*100</f>
        <v>79.9479166666667</v>
      </c>
      <c r="M250" s="21" t="n">
        <f aca="false">VLOOKUP(F250,Assumptions!$A$19:$B$23,2,0)</f>
        <v>25</v>
      </c>
      <c r="N250" s="21" t="n">
        <f aca="false">VLOOKUP(G250,Assumptions!$A$27:$B$30,2,0)</f>
        <v>100</v>
      </c>
      <c r="O250" s="21" t="n">
        <f aca="false">VLOOKUP(D250,Assumptions!$A$34:$B$37,2,0)</f>
        <v>66</v>
      </c>
      <c r="P250" s="21" t="n">
        <f aca="false">VLOOKUP(E250,Assumptions!$A$41:$B$43,2,0)</f>
        <v>100</v>
      </c>
      <c r="Q250" s="22" t="n">
        <f aca="false">L250*Assumptions!$B$7+M250*Assumptions!$B$8+N250*Assumptions!$B$9+O250*Assumptions!$B$10+P250*Assumptions!$B$11</f>
        <v>70.134375</v>
      </c>
      <c r="R250" s="11" t="str">
        <f aca="false">IF(Q250&lt;=33,"High Risk",IF(Q250&lt;=66,"Medium Risk","Low Risk"))</f>
        <v>Low Risk</v>
      </c>
    </row>
    <row r="251" customFormat="false" ht="15" hidden="false" customHeight="true" outlineLevel="0" collapsed="false">
      <c r="A251" s="20" t="n">
        <f aca="false">'Raw Data'!A251</f>
        <v>250</v>
      </c>
      <c r="B251" s="20" t="n">
        <f aca="false">'Raw Data'!B251</f>
        <v>22</v>
      </c>
      <c r="C251" s="20" t="str">
        <f aca="false">'Raw Data'!C251</f>
        <v>female</v>
      </c>
      <c r="D251" s="20" t="n">
        <f aca="false">'Raw Data'!D251</f>
        <v>2</v>
      </c>
      <c r="E251" s="20" t="str">
        <f aca="false">'Raw Data'!E251</f>
        <v>rent</v>
      </c>
      <c r="F251" s="20" t="str">
        <f aca="false">'Raw Data'!F251</f>
        <v>little</v>
      </c>
      <c r="G251" s="20" t="str">
        <f aca="false">'Raw Data'!G251</f>
        <v>none</v>
      </c>
      <c r="H251" s="20" t="n">
        <f aca="false">'Raw Data'!H251</f>
        <v>433</v>
      </c>
      <c r="I251" s="20" t="n">
        <f aca="false">'Raw Data'!I251</f>
        <v>18</v>
      </c>
      <c r="J251" s="20" t="str">
        <f aca="false">'Raw Data'!J251</f>
        <v>radio/TV</v>
      </c>
      <c r="K251" s="21" t="n">
        <f aca="false">H251/I251</f>
        <v>24.0555555555556</v>
      </c>
      <c r="L251" s="21" t="n">
        <f aca="false">100-MIN(K251/Assumptions!$B$14,1)*100</f>
        <v>93.9861111111111</v>
      </c>
      <c r="M251" s="21" t="n">
        <f aca="false">VLOOKUP(F251,Assumptions!$A$19:$B$23,2,0)</f>
        <v>25</v>
      </c>
      <c r="N251" s="21" t="n">
        <f aca="false">VLOOKUP(G251,Assumptions!$A$27:$B$30,2,0)</f>
        <v>50</v>
      </c>
      <c r="O251" s="21" t="n">
        <f aca="false">VLOOKUP(D251,Assumptions!$A$34:$B$37,2,0)</f>
        <v>66</v>
      </c>
      <c r="P251" s="21" t="n">
        <f aca="false">VLOOKUP(E251,Assumptions!$A$41:$B$43,2,0)</f>
        <v>30</v>
      </c>
      <c r="Q251" s="22" t="n">
        <f aca="false">L251*Assumptions!$B$7+M251*Assumptions!$B$8+N251*Assumptions!$B$9+O251*Assumptions!$B$10+P251*Assumptions!$B$11</f>
        <v>57.3458333333333</v>
      </c>
      <c r="R251" s="11" t="str">
        <f aca="false">IF(Q251&lt;=33,"High Risk",IF(Q251&lt;=66,"Medium Risk","Low Risk"))</f>
        <v>Medium Risk</v>
      </c>
    </row>
    <row r="252" customFormat="false" ht="15" hidden="false" customHeight="true" outlineLevel="0" collapsed="false">
      <c r="A252" s="20" t="n">
        <f aca="false">'Raw Data'!A252</f>
        <v>251</v>
      </c>
      <c r="B252" s="20" t="n">
        <f aca="false">'Raw Data'!B252</f>
        <v>39</v>
      </c>
      <c r="C252" s="20" t="str">
        <f aca="false">'Raw Data'!C252</f>
        <v>female</v>
      </c>
      <c r="D252" s="20" t="n">
        <f aca="false">'Raw Data'!D252</f>
        <v>1</v>
      </c>
      <c r="E252" s="20" t="str">
        <f aca="false">'Raw Data'!E252</f>
        <v>own</v>
      </c>
      <c r="F252" s="20" t="str">
        <f aca="false">'Raw Data'!F252</f>
        <v>rich</v>
      </c>
      <c r="G252" s="20" t="str">
        <f aca="false">'Raw Data'!G252</f>
        <v>little</v>
      </c>
      <c r="H252" s="20" t="n">
        <f aca="false">'Raw Data'!H252</f>
        <v>666</v>
      </c>
      <c r="I252" s="20" t="n">
        <f aca="false">'Raw Data'!I252</f>
        <v>6</v>
      </c>
      <c r="J252" s="20" t="str">
        <f aca="false">'Raw Data'!J252</f>
        <v>car</v>
      </c>
      <c r="K252" s="21" t="n">
        <f aca="false">H252/I252</f>
        <v>111</v>
      </c>
      <c r="L252" s="21" t="n">
        <f aca="false">100-MIN(K252/Assumptions!$B$14,1)*100</f>
        <v>72.25</v>
      </c>
      <c r="M252" s="21" t="n">
        <f aca="false">VLOOKUP(F252,Assumptions!$A$19:$B$23,2,0)</f>
        <v>100</v>
      </c>
      <c r="N252" s="21" t="n">
        <f aca="false">VLOOKUP(G252,Assumptions!$A$27:$B$30,2,0)</f>
        <v>25</v>
      </c>
      <c r="O252" s="21" t="n">
        <f aca="false">VLOOKUP(D252,Assumptions!$A$34:$B$37,2,0)</f>
        <v>33</v>
      </c>
      <c r="P252" s="21" t="n">
        <f aca="false">VLOOKUP(E252,Assumptions!$A$41:$B$43,2,0)</f>
        <v>100</v>
      </c>
      <c r="Q252" s="22" t="n">
        <f aca="false">L252*Assumptions!$B$7+M252*Assumptions!$B$8+N252*Assumptions!$B$9+O252*Assumptions!$B$10+P252*Assumptions!$B$11</f>
        <v>66.625</v>
      </c>
      <c r="R252" s="11" t="str">
        <f aca="false">IF(Q252&lt;=33,"High Risk",IF(Q252&lt;=66,"Medium Risk","Low Risk"))</f>
        <v>Low Risk</v>
      </c>
    </row>
    <row r="253" customFormat="false" ht="15" hidden="false" customHeight="true" outlineLevel="0" collapsed="false">
      <c r="A253" s="20" t="n">
        <f aca="false">'Raw Data'!A253</f>
        <v>252</v>
      </c>
      <c r="B253" s="20" t="n">
        <f aca="false">'Raw Data'!B253</f>
        <v>46</v>
      </c>
      <c r="C253" s="20" t="str">
        <f aca="false">'Raw Data'!C253</f>
        <v>female</v>
      </c>
      <c r="D253" s="20" t="n">
        <f aca="false">'Raw Data'!D253</f>
        <v>1</v>
      </c>
      <c r="E253" s="20" t="str">
        <f aca="false">'Raw Data'!E253</f>
        <v>own</v>
      </c>
      <c r="F253" s="20" t="str">
        <f aca="false">'Raw Data'!F253</f>
        <v>little</v>
      </c>
      <c r="G253" s="20" t="str">
        <f aca="false">'Raw Data'!G253</f>
        <v>rich</v>
      </c>
      <c r="H253" s="20" t="n">
        <f aca="false">'Raw Data'!H253</f>
        <v>2251</v>
      </c>
      <c r="I253" s="20" t="n">
        <f aca="false">'Raw Data'!I253</f>
        <v>12</v>
      </c>
      <c r="J253" s="20" t="str">
        <f aca="false">'Raw Data'!J253</f>
        <v>furniture/equipment</v>
      </c>
      <c r="K253" s="21" t="n">
        <f aca="false">H253/I253</f>
        <v>187.583333333333</v>
      </c>
      <c r="L253" s="21" t="n">
        <f aca="false">100-MIN(K253/Assumptions!$B$14,1)*100</f>
        <v>53.1041666666667</v>
      </c>
      <c r="M253" s="21" t="n">
        <f aca="false">VLOOKUP(F253,Assumptions!$A$19:$B$23,2,0)</f>
        <v>25</v>
      </c>
      <c r="N253" s="21" t="n">
        <f aca="false">VLOOKUP(G253,Assumptions!$A$27:$B$30,2,0)</f>
        <v>100</v>
      </c>
      <c r="O253" s="21" t="n">
        <f aca="false">VLOOKUP(D253,Assumptions!$A$34:$B$37,2,0)</f>
        <v>33</v>
      </c>
      <c r="P253" s="21" t="n">
        <f aca="false">VLOOKUP(E253,Assumptions!$A$41:$B$43,2,0)</f>
        <v>100</v>
      </c>
      <c r="Q253" s="22" t="n">
        <f aca="false">L253*Assumptions!$B$7+M253*Assumptions!$B$8+N253*Assumptions!$B$9+O253*Assumptions!$B$10+P253*Assumptions!$B$11</f>
        <v>57.13125</v>
      </c>
      <c r="R253" s="11" t="str">
        <f aca="false">IF(Q253&lt;=33,"High Risk",IF(Q253&lt;=66,"Medium Risk","Low Risk"))</f>
        <v>Medium Risk</v>
      </c>
    </row>
    <row r="254" customFormat="false" ht="15" hidden="false" customHeight="true" outlineLevel="0" collapsed="false">
      <c r="A254" s="20" t="n">
        <f aca="false">'Raw Data'!A254</f>
        <v>253</v>
      </c>
      <c r="B254" s="20" t="n">
        <f aca="false">'Raw Data'!B254</f>
        <v>24</v>
      </c>
      <c r="C254" s="20" t="str">
        <f aca="false">'Raw Data'!C254</f>
        <v>female</v>
      </c>
      <c r="D254" s="20" t="n">
        <f aca="false">'Raw Data'!D254</f>
        <v>2</v>
      </c>
      <c r="E254" s="20" t="str">
        <f aca="false">'Raw Data'!E254</f>
        <v>own</v>
      </c>
      <c r="F254" s="20" t="str">
        <f aca="false">'Raw Data'!F254</f>
        <v>little</v>
      </c>
      <c r="G254" s="20" t="str">
        <f aca="false">'Raw Data'!G254</f>
        <v>moderate</v>
      </c>
      <c r="H254" s="20" t="n">
        <f aca="false">'Raw Data'!H254</f>
        <v>2150</v>
      </c>
      <c r="I254" s="20" t="n">
        <f aca="false">'Raw Data'!I254</f>
        <v>30</v>
      </c>
      <c r="J254" s="20" t="str">
        <f aca="false">'Raw Data'!J254</f>
        <v>car</v>
      </c>
      <c r="K254" s="21" t="n">
        <f aca="false">H254/I254</f>
        <v>71.6666666666667</v>
      </c>
      <c r="L254" s="21" t="n">
        <f aca="false">100-MIN(K254/Assumptions!$B$14,1)*100</f>
        <v>82.0833333333333</v>
      </c>
      <c r="M254" s="21" t="n">
        <f aca="false">VLOOKUP(F254,Assumptions!$A$19:$B$23,2,0)</f>
        <v>25</v>
      </c>
      <c r="N254" s="21" t="n">
        <f aca="false">VLOOKUP(G254,Assumptions!$A$27:$B$30,2,0)</f>
        <v>60</v>
      </c>
      <c r="O254" s="21" t="n">
        <f aca="false">VLOOKUP(D254,Assumptions!$A$34:$B$37,2,0)</f>
        <v>66</v>
      </c>
      <c r="P254" s="21" t="n">
        <f aca="false">VLOOKUP(E254,Assumptions!$A$41:$B$43,2,0)</f>
        <v>100</v>
      </c>
      <c r="Q254" s="22" t="n">
        <f aca="false">L254*Assumptions!$B$7+M254*Assumptions!$B$8+N254*Assumptions!$B$9+O254*Assumptions!$B$10+P254*Assumptions!$B$11</f>
        <v>62.775</v>
      </c>
      <c r="R254" s="11" t="str">
        <f aca="false">IF(Q254&lt;=33,"High Risk",IF(Q254&lt;=66,"Medium Risk","Low Risk"))</f>
        <v>Medium Risk</v>
      </c>
    </row>
    <row r="255" customFormat="false" ht="15" hidden="false" customHeight="true" outlineLevel="0" collapsed="false">
      <c r="A255" s="20" t="n">
        <f aca="false">'Raw Data'!A255</f>
        <v>254</v>
      </c>
      <c r="B255" s="20" t="n">
        <f aca="false">'Raw Data'!B255</f>
        <v>35</v>
      </c>
      <c r="C255" s="20" t="str">
        <f aca="false">'Raw Data'!C255</f>
        <v>male</v>
      </c>
      <c r="D255" s="20" t="n">
        <f aca="false">'Raw Data'!D255</f>
        <v>2</v>
      </c>
      <c r="E255" s="20" t="str">
        <f aca="false">'Raw Data'!E255</f>
        <v>own</v>
      </c>
      <c r="F255" s="20" t="str">
        <f aca="false">'Raw Data'!F255</f>
        <v>moderate</v>
      </c>
      <c r="G255" s="20" t="str">
        <f aca="false">'Raw Data'!G255</f>
        <v>none</v>
      </c>
      <c r="H255" s="20" t="n">
        <f aca="false">'Raw Data'!H255</f>
        <v>4151</v>
      </c>
      <c r="I255" s="20" t="n">
        <f aca="false">'Raw Data'!I255</f>
        <v>24</v>
      </c>
      <c r="J255" s="20" t="str">
        <f aca="false">'Raw Data'!J255</f>
        <v>furniture/equipment</v>
      </c>
      <c r="K255" s="21" t="n">
        <f aca="false">H255/I255</f>
        <v>172.958333333333</v>
      </c>
      <c r="L255" s="21" t="n">
        <f aca="false">100-MIN(K255/Assumptions!$B$14,1)*100</f>
        <v>56.7604166666667</v>
      </c>
      <c r="M255" s="21" t="n">
        <f aca="false">VLOOKUP(F255,Assumptions!$A$19:$B$23,2,0)</f>
        <v>50</v>
      </c>
      <c r="N255" s="21" t="n">
        <f aca="false">VLOOKUP(G255,Assumptions!$A$27:$B$30,2,0)</f>
        <v>50</v>
      </c>
      <c r="O255" s="21" t="n">
        <f aca="false">VLOOKUP(D255,Assumptions!$A$34:$B$37,2,0)</f>
        <v>66</v>
      </c>
      <c r="P255" s="21" t="n">
        <f aca="false">VLOOKUP(E255,Assumptions!$A$41:$B$43,2,0)</f>
        <v>100</v>
      </c>
      <c r="Q255" s="22" t="n">
        <f aca="false">L255*Assumptions!$B$7+M255*Assumptions!$B$8+N255*Assumptions!$B$9+O255*Assumptions!$B$10+P255*Assumptions!$B$11</f>
        <v>59.428125</v>
      </c>
      <c r="R255" s="11" t="str">
        <f aca="false">IF(Q255&lt;=33,"High Risk",IF(Q255&lt;=66,"Medium Risk","Low Risk"))</f>
        <v>Medium Risk</v>
      </c>
    </row>
    <row r="256" customFormat="false" ht="15" hidden="false" customHeight="true" outlineLevel="0" collapsed="false">
      <c r="A256" s="20" t="n">
        <f aca="false">'Raw Data'!A256</f>
        <v>255</v>
      </c>
      <c r="B256" s="20" t="n">
        <f aca="false">'Raw Data'!B256</f>
        <v>24</v>
      </c>
      <c r="C256" s="20" t="str">
        <f aca="false">'Raw Data'!C256</f>
        <v>male</v>
      </c>
      <c r="D256" s="20" t="n">
        <f aca="false">'Raw Data'!D256</f>
        <v>2</v>
      </c>
      <c r="E256" s="20" t="str">
        <f aca="false">'Raw Data'!E256</f>
        <v>own</v>
      </c>
      <c r="F256" s="20" t="str">
        <f aca="false">'Raw Data'!F256</f>
        <v>none</v>
      </c>
      <c r="G256" s="20" t="str">
        <f aca="false">'Raw Data'!G256</f>
        <v>moderate</v>
      </c>
      <c r="H256" s="20" t="n">
        <f aca="false">'Raw Data'!H256</f>
        <v>2030</v>
      </c>
      <c r="I256" s="20" t="n">
        <f aca="false">'Raw Data'!I256</f>
        <v>9</v>
      </c>
      <c r="J256" s="20" t="str">
        <f aca="false">'Raw Data'!J256</f>
        <v>furniture/equipment</v>
      </c>
      <c r="K256" s="21" t="n">
        <f aca="false">H256/I256</f>
        <v>225.555555555556</v>
      </c>
      <c r="L256" s="21" t="n">
        <f aca="false">100-MIN(K256/Assumptions!$B$14,1)*100</f>
        <v>43.6111111111111</v>
      </c>
      <c r="M256" s="21" t="n">
        <f aca="false">VLOOKUP(F256,Assumptions!$A$19:$B$23,2,0)</f>
        <v>40</v>
      </c>
      <c r="N256" s="21" t="n">
        <f aca="false">VLOOKUP(G256,Assumptions!$A$27:$B$30,2,0)</f>
        <v>60</v>
      </c>
      <c r="O256" s="21" t="n">
        <f aca="false">VLOOKUP(D256,Assumptions!$A$34:$B$37,2,0)</f>
        <v>66</v>
      </c>
      <c r="P256" s="21" t="n">
        <f aca="false">VLOOKUP(E256,Assumptions!$A$41:$B$43,2,0)</f>
        <v>100</v>
      </c>
      <c r="Q256" s="22" t="n">
        <f aca="false">L256*Assumptions!$B$7+M256*Assumptions!$B$8+N256*Assumptions!$B$9+O256*Assumptions!$B$10+P256*Assumptions!$B$11</f>
        <v>54.9833333333333</v>
      </c>
      <c r="R256" s="11" t="str">
        <f aca="false">IF(Q256&lt;=33,"High Risk",IF(Q256&lt;=66,"Medium Risk","Low Risk"))</f>
        <v>Medium Risk</v>
      </c>
    </row>
    <row r="257" customFormat="false" ht="15" hidden="false" customHeight="true" outlineLevel="0" collapsed="false">
      <c r="A257" s="20" t="n">
        <f aca="false">'Raw Data'!A257</f>
        <v>256</v>
      </c>
      <c r="B257" s="20" t="n">
        <f aca="false">'Raw Data'!B257</f>
        <v>27</v>
      </c>
      <c r="C257" s="20" t="str">
        <f aca="false">'Raw Data'!C257</f>
        <v>male</v>
      </c>
      <c r="D257" s="20" t="n">
        <f aca="false">'Raw Data'!D257</f>
        <v>1</v>
      </c>
      <c r="E257" s="20" t="str">
        <f aca="false">'Raw Data'!E257</f>
        <v>own</v>
      </c>
      <c r="F257" s="20" t="str">
        <f aca="false">'Raw Data'!F257</f>
        <v>none</v>
      </c>
      <c r="G257" s="20" t="str">
        <f aca="false">'Raw Data'!G257</f>
        <v>moderate</v>
      </c>
      <c r="H257" s="20" t="n">
        <f aca="false">'Raw Data'!H257</f>
        <v>7418</v>
      </c>
      <c r="I257" s="20" t="n">
        <f aca="false">'Raw Data'!I257</f>
        <v>60</v>
      </c>
      <c r="J257" s="20" t="str">
        <f aca="false">'Raw Data'!J257</f>
        <v>radio/TV</v>
      </c>
      <c r="K257" s="21" t="n">
        <f aca="false">H257/I257</f>
        <v>123.633333333333</v>
      </c>
      <c r="L257" s="21" t="n">
        <f aca="false">100-MIN(K257/Assumptions!$B$14,1)*100</f>
        <v>69.0916666666667</v>
      </c>
      <c r="M257" s="21" t="n">
        <f aca="false">VLOOKUP(F257,Assumptions!$A$19:$B$23,2,0)</f>
        <v>40</v>
      </c>
      <c r="N257" s="21" t="n">
        <f aca="false">VLOOKUP(G257,Assumptions!$A$27:$B$30,2,0)</f>
        <v>60</v>
      </c>
      <c r="O257" s="21" t="n">
        <f aca="false">VLOOKUP(D257,Assumptions!$A$34:$B$37,2,0)</f>
        <v>33</v>
      </c>
      <c r="P257" s="21" t="n">
        <f aca="false">VLOOKUP(E257,Assumptions!$A$41:$B$43,2,0)</f>
        <v>100</v>
      </c>
      <c r="Q257" s="22" t="n">
        <f aca="false">L257*Assumptions!$B$7+M257*Assumptions!$B$8+N257*Assumptions!$B$9+O257*Assumptions!$B$10+P257*Assumptions!$B$11</f>
        <v>57.6775</v>
      </c>
      <c r="R257" s="11" t="str">
        <f aca="false">IF(Q257&lt;=33,"High Risk",IF(Q257&lt;=66,"Medium Risk","Low Risk"))</f>
        <v>Medium Risk</v>
      </c>
    </row>
    <row r="258" customFormat="false" ht="15" hidden="false" customHeight="true" outlineLevel="0" collapsed="false">
      <c r="A258" s="20" t="n">
        <f aca="false">'Raw Data'!A258</f>
        <v>257</v>
      </c>
      <c r="B258" s="20" t="n">
        <f aca="false">'Raw Data'!B258</f>
        <v>35</v>
      </c>
      <c r="C258" s="20" t="str">
        <f aca="false">'Raw Data'!C258</f>
        <v>male</v>
      </c>
      <c r="D258" s="20" t="n">
        <f aca="false">'Raw Data'!D258</f>
        <v>1</v>
      </c>
      <c r="E258" s="20" t="str">
        <f aca="false">'Raw Data'!E258</f>
        <v>own</v>
      </c>
      <c r="F258" s="20" t="str">
        <f aca="false">'Raw Data'!F258</f>
        <v>little</v>
      </c>
      <c r="G258" s="20" t="str">
        <f aca="false">'Raw Data'!G258</f>
        <v>none</v>
      </c>
      <c r="H258" s="20" t="n">
        <f aca="false">'Raw Data'!H258</f>
        <v>2684</v>
      </c>
      <c r="I258" s="20" t="n">
        <f aca="false">'Raw Data'!I258</f>
        <v>24</v>
      </c>
      <c r="J258" s="20" t="str">
        <f aca="false">'Raw Data'!J258</f>
        <v>radio/TV</v>
      </c>
      <c r="K258" s="21" t="n">
        <f aca="false">H258/I258</f>
        <v>111.833333333333</v>
      </c>
      <c r="L258" s="21" t="n">
        <f aca="false">100-MIN(K258/Assumptions!$B$14,1)*100</f>
        <v>72.0416666666667</v>
      </c>
      <c r="M258" s="21" t="n">
        <f aca="false">VLOOKUP(F258,Assumptions!$A$19:$B$23,2,0)</f>
        <v>25</v>
      </c>
      <c r="N258" s="21" t="n">
        <f aca="false">VLOOKUP(G258,Assumptions!$A$27:$B$30,2,0)</f>
        <v>50</v>
      </c>
      <c r="O258" s="21" t="n">
        <f aca="false">VLOOKUP(D258,Assumptions!$A$34:$B$37,2,0)</f>
        <v>33</v>
      </c>
      <c r="P258" s="21" t="n">
        <f aca="false">VLOOKUP(E258,Assumptions!$A$41:$B$43,2,0)</f>
        <v>100</v>
      </c>
      <c r="Q258" s="22" t="n">
        <f aca="false">L258*Assumptions!$B$7+M258*Assumptions!$B$8+N258*Assumptions!$B$9+O258*Assumptions!$B$10+P258*Assumptions!$B$11</f>
        <v>52.8125</v>
      </c>
      <c r="R258" s="11" t="str">
        <f aca="false">IF(Q258&lt;=33,"High Risk",IF(Q258&lt;=66,"Medium Risk","Low Risk"))</f>
        <v>Medium Risk</v>
      </c>
    </row>
    <row r="259" customFormat="false" ht="15" hidden="false" customHeight="true" outlineLevel="0" collapsed="false">
      <c r="A259" s="20" t="n">
        <f aca="false">'Raw Data'!A259</f>
        <v>258</v>
      </c>
      <c r="B259" s="20" t="n">
        <f aca="false">'Raw Data'!B259</f>
        <v>29</v>
      </c>
      <c r="C259" s="20" t="str">
        <f aca="false">'Raw Data'!C259</f>
        <v>male</v>
      </c>
      <c r="D259" s="20" t="n">
        <f aca="false">'Raw Data'!D259</f>
        <v>2</v>
      </c>
      <c r="E259" s="20" t="str">
        <f aca="false">'Raw Data'!E259</f>
        <v>free</v>
      </c>
      <c r="F259" s="20" t="str">
        <f aca="false">'Raw Data'!F259</f>
        <v>little</v>
      </c>
      <c r="G259" s="20" t="str">
        <f aca="false">'Raw Data'!G259</f>
        <v>little</v>
      </c>
      <c r="H259" s="20" t="n">
        <f aca="false">'Raw Data'!H259</f>
        <v>2149</v>
      </c>
      <c r="I259" s="20" t="n">
        <f aca="false">'Raw Data'!I259</f>
        <v>12</v>
      </c>
      <c r="J259" s="20" t="str">
        <f aca="false">'Raw Data'!J259</f>
        <v>radio/TV</v>
      </c>
      <c r="K259" s="21" t="n">
        <f aca="false">H259/I259</f>
        <v>179.083333333333</v>
      </c>
      <c r="L259" s="21" t="n">
        <f aca="false">100-MIN(K259/Assumptions!$B$14,1)*100</f>
        <v>55.2291666666667</v>
      </c>
      <c r="M259" s="21" t="n">
        <f aca="false">VLOOKUP(F259,Assumptions!$A$19:$B$23,2,0)</f>
        <v>25</v>
      </c>
      <c r="N259" s="21" t="n">
        <f aca="false">VLOOKUP(G259,Assumptions!$A$27:$B$30,2,0)</f>
        <v>25</v>
      </c>
      <c r="O259" s="21" t="n">
        <f aca="false">VLOOKUP(D259,Assumptions!$A$34:$B$37,2,0)</f>
        <v>66</v>
      </c>
      <c r="P259" s="21" t="n">
        <f aca="false">VLOOKUP(E259,Assumptions!$A$41:$B$43,2,0)</f>
        <v>60</v>
      </c>
      <c r="Q259" s="22" t="n">
        <f aca="false">L259*Assumptions!$B$7+M259*Assumptions!$B$8+N259*Assumptions!$B$9+O259*Assumptions!$B$10+P259*Assumptions!$B$11</f>
        <v>43.71875</v>
      </c>
      <c r="R259" s="11" t="str">
        <f aca="false">IF(Q259&lt;=33,"High Risk",IF(Q259&lt;=66,"Medium Risk","Low Risk"))</f>
        <v>Medium Risk</v>
      </c>
    </row>
    <row r="260" customFormat="false" ht="15" hidden="false" customHeight="true" outlineLevel="0" collapsed="false">
      <c r="A260" s="20" t="n">
        <f aca="false">'Raw Data'!A260</f>
        <v>259</v>
      </c>
      <c r="B260" s="20" t="n">
        <f aca="false">'Raw Data'!B260</f>
        <v>23</v>
      </c>
      <c r="C260" s="20" t="str">
        <f aca="false">'Raw Data'!C260</f>
        <v>female</v>
      </c>
      <c r="D260" s="20" t="n">
        <f aca="false">'Raw Data'!D260</f>
        <v>2</v>
      </c>
      <c r="E260" s="20" t="str">
        <f aca="false">'Raw Data'!E260</f>
        <v>own</v>
      </c>
      <c r="F260" s="20" t="str">
        <f aca="false">'Raw Data'!F260</f>
        <v>moderate</v>
      </c>
      <c r="G260" s="20" t="str">
        <f aca="false">'Raw Data'!G260</f>
        <v>none</v>
      </c>
      <c r="H260" s="20" t="n">
        <f aca="false">'Raw Data'!H260</f>
        <v>3812</v>
      </c>
      <c r="I260" s="20" t="n">
        <f aca="false">'Raw Data'!I260</f>
        <v>15</v>
      </c>
      <c r="J260" s="20" t="str">
        <f aca="false">'Raw Data'!J260</f>
        <v>car</v>
      </c>
      <c r="K260" s="21" t="n">
        <f aca="false">H260/I260</f>
        <v>254.133333333333</v>
      </c>
      <c r="L260" s="21" t="n">
        <f aca="false">100-MIN(K260/Assumptions!$B$14,1)*100</f>
        <v>36.4666666666667</v>
      </c>
      <c r="M260" s="21" t="n">
        <f aca="false">VLOOKUP(F260,Assumptions!$A$19:$B$23,2,0)</f>
        <v>50</v>
      </c>
      <c r="N260" s="21" t="n">
        <f aca="false">VLOOKUP(G260,Assumptions!$A$27:$B$30,2,0)</f>
        <v>50</v>
      </c>
      <c r="O260" s="21" t="n">
        <f aca="false">VLOOKUP(D260,Assumptions!$A$34:$B$37,2,0)</f>
        <v>66</v>
      </c>
      <c r="P260" s="21" t="n">
        <f aca="false">VLOOKUP(E260,Assumptions!$A$41:$B$43,2,0)</f>
        <v>100</v>
      </c>
      <c r="Q260" s="22" t="n">
        <f aca="false">L260*Assumptions!$B$7+M260*Assumptions!$B$8+N260*Assumptions!$B$9+O260*Assumptions!$B$10+P260*Assumptions!$B$11</f>
        <v>53.34</v>
      </c>
      <c r="R260" s="11" t="str">
        <f aca="false">IF(Q260&lt;=33,"High Risk",IF(Q260&lt;=66,"Medium Risk","Low Risk"))</f>
        <v>Medium Risk</v>
      </c>
    </row>
    <row r="261" customFormat="false" ht="15" hidden="false" customHeight="true" outlineLevel="0" collapsed="false">
      <c r="A261" s="20" t="n">
        <f aca="false">'Raw Data'!A261</f>
        <v>260</v>
      </c>
      <c r="B261" s="20" t="n">
        <f aca="false">'Raw Data'!B261</f>
        <v>57</v>
      </c>
      <c r="C261" s="20" t="str">
        <f aca="false">'Raw Data'!C261</f>
        <v>female</v>
      </c>
      <c r="D261" s="20" t="n">
        <f aca="false">'Raw Data'!D261</f>
        <v>1</v>
      </c>
      <c r="E261" s="20" t="str">
        <f aca="false">'Raw Data'!E261</f>
        <v>own</v>
      </c>
      <c r="F261" s="20" t="str">
        <f aca="false">'Raw Data'!F261</f>
        <v>moderate</v>
      </c>
      <c r="G261" s="20" t="str">
        <f aca="false">'Raw Data'!G261</f>
        <v>none</v>
      </c>
      <c r="H261" s="20" t="n">
        <f aca="false">'Raw Data'!H261</f>
        <v>1154</v>
      </c>
      <c r="I261" s="20" t="n">
        <f aca="false">'Raw Data'!I261</f>
        <v>11</v>
      </c>
      <c r="J261" s="20" t="str">
        <f aca="false">'Raw Data'!J261</f>
        <v>radio/TV</v>
      </c>
      <c r="K261" s="21" t="n">
        <f aca="false">H261/I261</f>
        <v>104.909090909091</v>
      </c>
      <c r="L261" s="21" t="n">
        <f aca="false">100-MIN(K261/Assumptions!$B$14,1)*100</f>
        <v>73.7727272727273</v>
      </c>
      <c r="M261" s="21" t="n">
        <f aca="false">VLOOKUP(F261,Assumptions!$A$19:$B$23,2,0)</f>
        <v>50</v>
      </c>
      <c r="N261" s="21" t="n">
        <f aca="false">VLOOKUP(G261,Assumptions!$A$27:$B$30,2,0)</f>
        <v>50</v>
      </c>
      <c r="O261" s="21" t="n">
        <f aca="false">VLOOKUP(D261,Assumptions!$A$34:$B$37,2,0)</f>
        <v>33</v>
      </c>
      <c r="P261" s="21" t="n">
        <f aca="false">VLOOKUP(E261,Assumptions!$A$41:$B$43,2,0)</f>
        <v>100</v>
      </c>
      <c r="Q261" s="22" t="n">
        <f aca="false">L261*Assumptions!$B$7+M261*Assumptions!$B$8+N261*Assumptions!$B$9+O261*Assumptions!$B$10+P261*Assumptions!$B$11</f>
        <v>59.5818181818182</v>
      </c>
      <c r="R261" s="11" t="str">
        <f aca="false">IF(Q261&lt;=33,"High Risk",IF(Q261&lt;=66,"Medium Risk","Low Risk"))</f>
        <v>Medium Risk</v>
      </c>
    </row>
    <row r="262" customFormat="false" ht="15" hidden="false" customHeight="true" outlineLevel="0" collapsed="false">
      <c r="A262" s="20" t="n">
        <f aca="false">'Raw Data'!A262</f>
        <v>261</v>
      </c>
      <c r="B262" s="20" t="n">
        <f aca="false">'Raw Data'!B262</f>
        <v>27</v>
      </c>
      <c r="C262" s="20" t="str">
        <f aca="false">'Raw Data'!C262</f>
        <v>male</v>
      </c>
      <c r="D262" s="20" t="n">
        <f aca="false">'Raw Data'!D262</f>
        <v>2</v>
      </c>
      <c r="E262" s="20" t="str">
        <f aca="false">'Raw Data'!E262</f>
        <v>own</v>
      </c>
      <c r="F262" s="20" t="str">
        <f aca="false">'Raw Data'!F262</f>
        <v>little</v>
      </c>
      <c r="G262" s="20" t="str">
        <f aca="false">'Raw Data'!G262</f>
        <v>little</v>
      </c>
      <c r="H262" s="20" t="n">
        <f aca="false">'Raw Data'!H262</f>
        <v>1657</v>
      </c>
      <c r="I262" s="20" t="n">
        <f aca="false">'Raw Data'!I262</f>
        <v>12</v>
      </c>
      <c r="J262" s="20" t="str">
        <f aca="false">'Raw Data'!J262</f>
        <v>furniture/equipment</v>
      </c>
      <c r="K262" s="21" t="n">
        <f aca="false">H262/I262</f>
        <v>138.083333333333</v>
      </c>
      <c r="L262" s="21" t="n">
        <f aca="false">100-MIN(K262/Assumptions!$B$14,1)*100</f>
        <v>65.4791666666667</v>
      </c>
      <c r="M262" s="21" t="n">
        <f aca="false">VLOOKUP(F262,Assumptions!$A$19:$B$23,2,0)</f>
        <v>25</v>
      </c>
      <c r="N262" s="21" t="n">
        <f aca="false">VLOOKUP(G262,Assumptions!$A$27:$B$30,2,0)</f>
        <v>25</v>
      </c>
      <c r="O262" s="21" t="n">
        <f aca="false">VLOOKUP(D262,Assumptions!$A$34:$B$37,2,0)</f>
        <v>66</v>
      </c>
      <c r="P262" s="21" t="n">
        <f aca="false">VLOOKUP(E262,Assumptions!$A$41:$B$43,2,0)</f>
        <v>100</v>
      </c>
      <c r="Q262" s="22" t="n">
        <f aca="false">L262*Assumptions!$B$7+M262*Assumptions!$B$8+N262*Assumptions!$B$9+O262*Assumptions!$B$10+P262*Assumptions!$B$11</f>
        <v>50.79375</v>
      </c>
      <c r="R262" s="11" t="str">
        <f aca="false">IF(Q262&lt;=33,"High Risk",IF(Q262&lt;=66,"Medium Risk","Low Risk"))</f>
        <v>Medium Risk</v>
      </c>
    </row>
    <row r="263" customFormat="false" ht="15" hidden="false" customHeight="true" outlineLevel="0" collapsed="false">
      <c r="A263" s="20" t="n">
        <f aca="false">'Raw Data'!A263</f>
        <v>262</v>
      </c>
      <c r="B263" s="20" t="n">
        <f aca="false">'Raw Data'!B263</f>
        <v>55</v>
      </c>
      <c r="C263" s="20" t="str">
        <f aca="false">'Raw Data'!C263</f>
        <v>female</v>
      </c>
      <c r="D263" s="20" t="n">
        <f aca="false">'Raw Data'!D263</f>
        <v>2</v>
      </c>
      <c r="E263" s="20" t="str">
        <f aca="false">'Raw Data'!E263</f>
        <v>own</v>
      </c>
      <c r="F263" s="20" t="str">
        <f aca="false">'Raw Data'!F263</f>
        <v>little</v>
      </c>
      <c r="G263" s="20" t="str">
        <f aca="false">'Raw Data'!G263</f>
        <v>little</v>
      </c>
      <c r="H263" s="20" t="n">
        <f aca="false">'Raw Data'!H263</f>
        <v>1603</v>
      </c>
      <c r="I263" s="20" t="n">
        <f aca="false">'Raw Data'!I263</f>
        <v>24</v>
      </c>
      <c r="J263" s="20" t="str">
        <f aca="false">'Raw Data'!J263</f>
        <v>radio/TV</v>
      </c>
      <c r="K263" s="21" t="n">
        <f aca="false">H263/I263</f>
        <v>66.7916666666667</v>
      </c>
      <c r="L263" s="21" t="n">
        <f aca="false">100-MIN(K263/Assumptions!$B$14,1)*100</f>
        <v>83.3020833333333</v>
      </c>
      <c r="M263" s="21" t="n">
        <f aca="false">VLOOKUP(F263,Assumptions!$A$19:$B$23,2,0)</f>
        <v>25</v>
      </c>
      <c r="N263" s="21" t="n">
        <f aca="false">VLOOKUP(G263,Assumptions!$A$27:$B$30,2,0)</f>
        <v>25</v>
      </c>
      <c r="O263" s="21" t="n">
        <f aca="false">VLOOKUP(D263,Assumptions!$A$34:$B$37,2,0)</f>
        <v>66</v>
      </c>
      <c r="P263" s="21" t="n">
        <f aca="false">VLOOKUP(E263,Assumptions!$A$41:$B$43,2,0)</f>
        <v>100</v>
      </c>
      <c r="Q263" s="22" t="n">
        <f aca="false">L263*Assumptions!$B$7+M263*Assumptions!$B$8+N263*Assumptions!$B$9+O263*Assumptions!$B$10+P263*Assumptions!$B$11</f>
        <v>56.140625</v>
      </c>
      <c r="R263" s="11" t="str">
        <f aca="false">IF(Q263&lt;=33,"High Risk",IF(Q263&lt;=66,"Medium Risk","Low Risk"))</f>
        <v>Medium Risk</v>
      </c>
    </row>
    <row r="264" customFormat="false" ht="15" hidden="false" customHeight="true" outlineLevel="0" collapsed="false">
      <c r="A264" s="20" t="n">
        <f aca="false">'Raw Data'!A264</f>
        <v>263</v>
      </c>
      <c r="B264" s="20" t="n">
        <f aca="false">'Raw Data'!B264</f>
        <v>36</v>
      </c>
      <c r="C264" s="20" t="str">
        <f aca="false">'Raw Data'!C264</f>
        <v>male</v>
      </c>
      <c r="D264" s="20" t="n">
        <f aca="false">'Raw Data'!D264</f>
        <v>3</v>
      </c>
      <c r="E264" s="20" t="str">
        <f aca="false">'Raw Data'!E264</f>
        <v>free</v>
      </c>
      <c r="F264" s="20" t="str">
        <f aca="false">'Raw Data'!F264</f>
        <v>little</v>
      </c>
      <c r="G264" s="20" t="str">
        <f aca="false">'Raw Data'!G264</f>
        <v>little</v>
      </c>
      <c r="H264" s="20" t="n">
        <f aca="false">'Raw Data'!H264</f>
        <v>5302</v>
      </c>
      <c r="I264" s="20" t="n">
        <f aca="false">'Raw Data'!I264</f>
        <v>18</v>
      </c>
      <c r="J264" s="20" t="str">
        <f aca="false">'Raw Data'!J264</f>
        <v>car</v>
      </c>
      <c r="K264" s="21" t="n">
        <f aca="false">H264/I264</f>
        <v>294.555555555556</v>
      </c>
      <c r="L264" s="21" t="n">
        <f aca="false">100-MIN(K264/Assumptions!$B$14,1)*100</f>
        <v>26.3611111111111</v>
      </c>
      <c r="M264" s="21" t="n">
        <f aca="false">VLOOKUP(F264,Assumptions!$A$19:$B$23,2,0)</f>
        <v>25</v>
      </c>
      <c r="N264" s="21" t="n">
        <f aca="false">VLOOKUP(G264,Assumptions!$A$27:$B$30,2,0)</f>
        <v>25</v>
      </c>
      <c r="O264" s="21" t="n">
        <f aca="false">VLOOKUP(D264,Assumptions!$A$34:$B$37,2,0)</f>
        <v>100</v>
      </c>
      <c r="P264" s="21" t="n">
        <f aca="false">VLOOKUP(E264,Assumptions!$A$41:$B$43,2,0)</f>
        <v>60</v>
      </c>
      <c r="Q264" s="22" t="n">
        <f aca="false">L264*Assumptions!$B$7+M264*Assumptions!$B$8+N264*Assumptions!$B$9+O264*Assumptions!$B$10+P264*Assumptions!$B$11</f>
        <v>40.1583333333333</v>
      </c>
      <c r="R264" s="11" t="str">
        <f aca="false">IF(Q264&lt;=33,"High Risk",IF(Q264&lt;=66,"Medium Risk","Low Risk"))</f>
        <v>Medium Risk</v>
      </c>
    </row>
    <row r="265" customFormat="false" ht="15" hidden="false" customHeight="true" outlineLevel="0" collapsed="false">
      <c r="A265" s="20" t="n">
        <f aca="false">'Raw Data'!A265</f>
        <v>264</v>
      </c>
      <c r="B265" s="20" t="n">
        <f aca="false">'Raw Data'!B265</f>
        <v>57</v>
      </c>
      <c r="C265" s="20" t="str">
        <f aca="false">'Raw Data'!C265</f>
        <v>female</v>
      </c>
      <c r="D265" s="20" t="n">
        <f aca="false">'Raw Data'!D265</f>
        <v>1</v>
      </c>
      <c r="E265" s="20" t="str">
        <f aca="false">'Raw Data'!E265</f>
        <v>free</v>
      </c>
      <c r="F265" s="20" t="str">
        <f aca="false">'Raw Data'!F265</f>
        <v>little</v>
      </c>
      <c r="G265" s="20" t="str">
        <f aca="false">'Raw Data'!G265</f>
        <v>none</v>
      </c>
      <c r="H265" s="20" t="n">
        <f aca="false">'Raw Data'!H265</f>
        <v>2748</v>
      </c>
      <c r="I265" s="20" t="n">
        <f aca="false">'Raw Data'!I265</f>
        <v>12</v>
      </c>
      <c r="J265" s="20" t="str">
        <f aca="false">'Raw Data'!J265</f>
        <v>education</v>
      </c>
      <c r="K265" s="21" t="n">
        <f aca="false">H265/I265</f>
        <v>229</v>
      </c>
      <c r="L265" s="21" t="n">
        <f aca="false">100-MIN(K265/Assumptions!$B$14,1)*100</f>
        <v>42.75</v>
      </c>
      <c r="M265" s="21" t="n">
        <f aca="false">VLOOKUP(F265,Assumptions!$A$19:$B$23,2,0)</f>
        <v>25</v>
      </c>
      <c r="N265" s="21" t="n">
        <f aca="false">VLOOKUP(G265,Assumptions!$A$27:$B$30,2,0)</f>
        <v>50</v>
      </c>
      <c r="O265" s="21" t="n">
        <f aca="false">VLOOKUP(D265,Assumptions!$A$34:$B$37,2,0)</f>
        <v>33</v>
      </c>
      <c r="P265" s="21" t="n">
        <f aca="false">VLOOKUP(E265,Assumptions!$A$41:$B$43,2,0)</f>
        <v>60</v>
      </c>
      <c r="Q265" s="22" t="n">
        <f aca="false">L265*Assumptions!$B$7+M265*Assumptions!$B$8+N265*Assumptions!$B$9+O265*Assumptions!$B$10+P265*Assumptions!$B$11</f>
        <v>40.025</v>
      </c>
      <c r="R265" s="11" t="str">
        <f aca="false">IF(Q265&lt;=33,"High Risk",IF(Q265&lt;=66,"Medium Risk","Low Risk"))</f>
        <v>Medium Risk</v>
      </c>
    </row>
    <row r="266" customFormat="false" ht="15" hidden="false" customHeight="true" outlineLevel="0" collapsed="false">
      <c r="A266" s="20" t="n">
        <f aca="false">'Raw Data'!A266</f>
        <v>265</v>
      </c>
      <c r="B266" s="20" t="n">
        <f aca="false">'Raw Data'!B266</f>
        <v>32</v>
      </c>
      <c r="C266" s="20" t="str">
        <f aca="false">'Raw Data'!C266</f>
        <v>male</v>
      </c>
      <c r="D266" s="20" t="n">
        <f aca="false">'Raw Data'!D266</f>
        <v>1</v>
      </c>
      <c r="E266" s="20" t="str">
        <f aca="false">'Raw Data'!E266</f>
        <v>own</v>
      </c>
      <c r="F266" s="20" t="str">
        <f aca="false">'Raw Data'!F266</f>
        <v>little</v>
      </c>
      <c r="G266" s="20" t="str">
        <f aca="false">'Raw Data'!G266</f>
        <v>none</v>
      </c>
      <c r="H266" s="20" t="n">
        <f aca="false">'Raw Data'!H266</f>
        <v>1231</v>
      </c>
      <c r="I266" s="20" t="n">
        <f aca="false">'Raw Data'!I266</f>
        <v>10</v>
      </c>
      <c r="J266" s="20" t="str">
        <f aca="false">'Raw Data'!J266</f>
        <v>car</v>
      </c>
      <c r="K266" s="21" t="n">
        <f aca="false">H266/I266</f>
        <v>123.1</v>
      </c>
      <c r="L266" s="21" t="n">
        <f aca="false">100-MIN(K266/Assumptions!$B$14,1)*100</f>
        <v>69.225</v>
      </c>
      <c r="M266" s="21" t="n">
        <f aca="false">VLOOKUP(F266,Assumptions!$A$19:$B$23,2,0)</f>
        <v>25</v>
      </c>
      <c r="N266" s="21" t="n">
        <f aca="false">VLOOKUP(G266,Assumptions!$A$27:$B$30,2,0)</f>
        <v>50</v>
      </c>
      <c r="O266" s="21" t="n">
        <f aca="false">VLOOKUP(D266,Assumptions!$A$34:$B$37,2,0)</f>
        <v>33</v>
      </c>
      <c r="P266" s="21" t="n">
        <f aca="false">VLOOKUP(E266,Assumptions!$A$41:$B$43,2,0)</f>
        <v>100</v>
      </c>
      <c r="Q266" s="22" t="n">
        <f aca="false">L266*Assumptions!$B$7+M266*Assumptions!$B$8+N266*Assumptions!$B$9+O266*Assumptions!$B$10+P266*Assumptions!$B$11</f>
        <v>51.9675</v>
      </c>
      <c r="R266" s="11" t="str">
        <f aca="false">IF(Q266&lt;=33,"High Risk",IF(Q266&lt;=66,"Medium Risk","Low Risk"))</f>
        <v>Medium Risk</v>
      </c>
    </row>
    <row r="267" customFormat="false" ht="15" hidden="false" customHeight="true" outlineLevel="0" collapsed="false">
      <c r="A267" s="20" t="n">
        <f aca="false">'Raw Data'!A267</f>
        <v>266</v>
      </c>
      <c r="B267" s="20" t="n">
        <f aca="false">'Raw Data'!B267</f>
        <v>37</v>
      </c>
      <c r="C267" s="20" t="str">
        <f aca="false">'Raw Data'!C267</f>
        <v>male</v>
      </c>
      <c r="D267" s="20" t="n">
        <f aca="false">'Raw Data'!D267</f>
        <v>2</v>
      </c>
      <c r="E267" s="20" t="str">
        <f aca="false">'Raw Data'!E267</f>
        <v>own</v>
      </c>
      <c r="F267" s="20" t="str">
        <f aca="false">'Raw Data'!F267</f>
        <v>little</v>
      </c>
      <c r="G267" s="20" t="str">
        <f aca="false">'Raw Data'!G267</f>
        <v>moderate</v>
      </c>
      <c r="H267" s="20" t="n">
        <f aca="false">'Raw Data'!H267</f>
        <v>802</v>
      </c>
      <c r="I267" s="20" t="n">
        <f aca="false">'Raw Data'!I267</f>
        <v>15</v>
      </c>
      <c r="J267" s="20" t="str">
        <f aca="false">'Raw Data'!J267</f>
        <v>radio/TV</v>
      </c>
      <c r="K267" s="21" t="n">
        <f aca="false">H267/I267</f>
        <v>53.4666666666667</v>
      </c>
      <c r="L267" s="21" t="n">
        <f aca="false">100-MIN(K267/Assumptions!$B$14,1)*100</f>
        <v>86.6333333333333</v>
      </c>
      <c r="M267" s="21" t="n">
        <f aca="false">VLOOKUP(F267,Assumptions!$A$19:$B$23,2,0)</f>
        <v>25</v>
      </c>
      <c r="N267" s="21" t="n">
        <f aca="false">VLOOKUP(G267,Assumptions!$A$27:$B$30,2,0)</f>
        <v>60</v>
      </c>
      <c r="O267" s="21" t="n">
        <f aca="false">VLOOKUP(D267,Assumptions!$A$34:$B$37,2,0)</f>
        <v>66</v>
      </c>
      <c r="P267" s="21" t="n">
        <f aca="false">VLOOKUP(E267,Assumptions!$A$41:$B$43,2,0)</f>
        <v>100</v>
      </c>
      <c r="Q267" s="22" t="n">
        <f aca="false">L267*Assumptions!$B$7+M267*Assumptions!$B$8+N267*Assumptions!$B$9+O267*Assumptions!$B$10+P267*Assumptions!$B$11</f>
        <v>64.14</v>
      </c>
      <c r="R267" s="11" t="str">
        <f aca="false">IF(Q267&lt;=33,"High Risk",IF(Q267&lt;=66,"Medium Risk","Low Risk"))</f>
        <v>Medium Risk</v>
      </c>
    </row>
    <row r="268" customFormat="false" ht="15" hidden="false" customHeight="true" outlineLevel="0" collapsed="false">
      <c r="A268" s="20" t="n">
        <f aca="false">'Raw Data'!A268</f>
        <v>267</v>
      </c>
      <c r="B268" s="20" t="n">
        <f aca="false">'Raw Data'!B268</f>
        <v>36</v>
      </c>
      <c r="C268" s="20" t="str">
        <f aca="false">'Raw Data'!C268</f>
        <v>male</v>
      </c>
      <c r="D268" s="20" t="n">
        <f aca="false">'Raw Data'!D268</f>
        <v>2</v>
      </c>
      <c r="E268" s="20" t="str">
        <f aca="false">'Raw Data'!E268</f>
        <v>own</v>
      </c>
      <c r="F268" s="20" t="str">
        <f aca="false">'Raw Data'!F268</f>
        <v>none</v>
      </c>
      <c r="G268" s="20" t="str">
        <f aca="false">'Raw Data'!G268</f>
        <v>none</v>
      </c>
      <c r="H268" s="20" t="n">
        <f aca="false">'Raw Data'!H268</f>
        <v>6304</v>
      </c>
      <c r="I268" s="20" t="n">
        <f aca="false">'Raw Data'!I268</f>
        <v>36</v>
      </c>
      <c r="J268" s="20" t="str">
        <f aca="false">'Raw Data'!J268</f>
        <v>business</v>
      </c>
      <c r="K268" s="21" t="n">
        <f aca="false">H268/I268</f>
        <v>175.111111111111</v>
      </c>
      <c r="L268" s="21" t="n">
        <f aca="false">100-MIN(K268/Assumptions!$B$14,1)*100</f>
        <v>56.2222222222222</v>
      </c>
      <c r="M268" s="21" t="n">
        <f aca="false">VLOOKUP(F268,Assumptions!$A$19:$B$23,2,0)</f>
        <v>40</v>
      </c>
      <c r="N268" s="21" t="n">
        <f aca="false">VLOOKUP(G268,Assumptions!$A$27:$B$30,2,0)</f>
        <v>50</v>
      </c>
      <c r="O268" s="21" t="n">
        <f aca="false">VLOOKUP(D268,Assumptions!$A$34:$B$37,2,0)</f>
        <v>66</v>
      </c>
      <c r="P268" s="21" t="n">
        <f aca="false">VLOOKUP(E268,Assumptions!$A$41:$B$43,2,0)</f>
        <v>100</v>
      </c>
      <c r="Q268" s="22" t="n">
        <f aca="false">L268*Assumptions!$B$7+M268*Assumptions!$B$8+N268*Assumptions!$B$9+O268*Assumptions!$B$10+P268*Assumptions!$B$11</f>
        <v>56.7666666666667</v>
      </c>
      <c r="R268" s="11" t="str">
        <f aca="false">IF(Q268&lt;=33,"High Risk",IF(Q268&lt;=66,"Medium Risk","Low Risk"))</f>
        <v>Medium Risk</v>
      </c>
    </row>
    <row r="269" customFormat="false" ht="15" hidden="false" customHeight="true" outlineLevel="0" collapsed="false">
      <c r="A269" s="20" t="n">
        <f aca="false">'Raw Data'!A269</f>
        <v>268</v>
      </c>
      <c r="B269" s="20" t="n">
        <f aca="false">'Raw Data'!B269</f>
        <v>38</v>
      </c>
      <c r="C269" s="20" t="str">
        <f aca="false">'Raw Data'!C269</f>
        <v>female</v>
      </c>
      <c r="D269" s="20" t="n">
        <f aca="false">'Raw Data'!D269</f>
        <v>2</v>
      </c>
      <c r="E269" s="20" t="str">
        <f aca="false">'Raw Data'!E269</f>
        <v>own</v>
      </c>
      <c r="F269" s="20" t="str">
        <f aca="false">'Raw Data'!F269</f>
        <v>little</v>
      </c>
      <c r="G269" s="20" t="str">
        <f aca="false">'Raw Data'!G269</f>
        <v>none</v>
      </c>
      <c r="H269" s="20" t="n">
        <f aca="false">'Raw Data'!H269</f>
        <v>1533</v>
      </c>
      <c r="I269" s="20" t="n">
        <f aca="false">'Raw Data'!I269</f>
        <v>24</v>
      </c>
      <c r="J269" s="20" t="str">
        <f aca="false">'Raw Data'!J269</f>
        <v>radio/TV</v>
      </c>
      <c r="K269" s="21" t="n">
        <f aca="false">H269/I269</f>
        <v>63.875</v>
      </c>
      <c r="L269" s="21" t="n">
        <f aca="false">100-MIN(K269/Assumptions!$B$14,1)*100</f>
        <v>84.03125</v>
      </c>
      <c r="M269" s="21" t="n">
        <f aca="false">VLOOKUP(F269,Assumptions!$A$19:$B$23,2,0)</f>
        <v>25</v>
      </c>
      <c r="N269" s="21" t="n">
        <f aca="false">VLOOKUP(G269,Assumptions!$A$27:$B$30,2,0)</f>
        <v>50</v>
      </c>
      <c r="O269" s="21" t="n">
        <f aca="false">VLOOKUP(D269,Assumptions!$A$34:$B$37,2,0)</f>
        <v>66</v>
      </c>
      <c r="P269" s="21" t="n">
        <f aca="false">VLOOKUP(E269,Assumptions!$A$41:$B$43,2,0)</f>
        <v>100</v>
      </c>
      <c r="Q269" s="22" t="n">
        <f aca="false">L269*Assumptions!$B$7+M269*Assumptions!$B$8+N269*Assumptions!$B$9+O269*Assumptions!$B$10+P269*Assumptions!$B$11</f>
        <v>61.359375</v>
      </c>
      <c r="R269" s="11" t="str">
        <f aca="false">IF(Q269&lt;=33,"High Risk",IF(Q269&lt;=66,"Medium Risk","Low Risk"))</f>
        <v>Medium Risk</v>
      </c>
    </row>
    <row r="270" customFormat="false" ht="15" hidden="false" customHeight="true" outlineLevel="0" collapsed="false">
      <c r="A270" s="20" t="n">
        <f aca="false">'Raw Data'!A270</f>
        <v>269</v>
      </c>
      <c r="B270" s="20" t="n">
        <f aca="false">'Raw Data'!B270</f>
        <v>45</v>
      </c>
      <c r="C270" s="20" t="str">
        <f aca="false">'Raw Data'!C270</f>
        <v>male</v>
      </c>
      <c r="D270" s="20" t="n">
        <f aca="false">'Raw Data'!D270</f>
        <v>3</v>
      </c>
      <c r="E270" s="20" t="str">
        <f aca="false">'Raw Data'!E270</f>
        <v>own</v>
      </c>
      <c r="F270" s="20" t="str">
        <f aca="false">'Raw Data'!F270</f>
        <v>little</v>
      </c>
      <c r="G270" s="20" t="str">
        <f aca="false">'Raw Data'!G270</f>
        <v>little</v>
      </c>
      <c r="H270" s="20" t="n">
        <f aca="false">'Raw Data'!H270</f>
        <v>8978</v>
      </c>
      <c r="I270" s="20" t="n">
        <f aca="false">'Raw Data'!I270</f>
        <v>14</v>
      </c>
      <c r="J270" s="20" t="str">
        <f aca="false">'Raw Data'!J270</f>
        <v>car</v>
      </c>
      <c r="K270" s="21" t="n">
        <f aca="false">H270/I270</f>
        <v>641.285714285714</v>
      </c>
      <c r="L270" s="21" t="n">
        <f aca="false">100-MIN(K270/Assumptions!$B$14,1)*100</f>
        <v>0</v>
      </c>
      <c r="M270" s="21" t="n">
        <f aca="false">VLOOKUP(F270,Assumptions!$A$19:$B$23,2,0)</f>
        <v>25</v>
      </c>
      <c r="N270" s="21" t="n">
        <f aca="false">VLOOKUP(G270,Assumptions!$A$27:$B$30,2,0)</f>
        <v>25</v>
      </c>
      <c r="O270" s="21" t="n">
        <f aca="false">VLOOKUP(D270,Assumptions!$A$34:$B$37,2,0)</f>
        <v>100</v>
      </c>
      <c r="P270" s="21" t="n">
        <f aca="false">VLOOKUP(E270,Assumptions!$A$41:$B$43,2,0)</f>
        <v>100</v>
      </c>
      <c r="Q270" s="22" t="n">
        <f aca="false">L270*Assumptions!$B$7+M270*Assumptions!$B$8+N270*Assumptions!$B$9+O270*Assumptions!$B$10+P270*Assumptions!$B$11</f>
        <v>36.25</v>
      </c>
      <c r="R270" s="11" t="str">
        <f aca="false">IF(Q270&lt;=33,"High Risk",IF(Q270&lt;=66,"Medium Risk","Low Risk"))</f>
        <v>Medium Risk</v>
      </c>
    </row>
    <row r="271" customFormat="false" ht="15" hidden="false" customHeight="true" outlineLevel="0" collapsed="false">
      <c r="A271" s="20" t="n">
        <f aca="false">'Raw Data'!A271</f>
        <v>270</v>
      </c>
      <c r="B271" s="20" t="n">
        <f aca="false">'Raw Data'!B271</f>
        <v>25</v>
      </c>
      <c r="C271" s="20" t="str">
        <f aca="false">'Raw Data'!C271</f>
        <v>male</v>
      </c>
      <c r="D271" s="20" t="n">
        <f aca="false">'Raw Data'!D271</f>
        <v>2</v>
      </c>
      <c r="E271" s="20" t="str">
        <f aca="false">'Raw Data'!E271</f>
        <v>own</v>
      </c>
      <c r="F271" s="20" t="str">
        <f aca="false">'Raw Data'!F271</f>
        <v>none</v>
      </c>
      <c r="G271" s="20" t="str">
        <f aca="false">'Raw Data'!G271</f>
        <v>none</v>
      </c>
      <c r="H271" s="20" t="n">
        <f aca="false">'Raw Data'!H271</f>
        <v>999</v>
      </c>
      <c r="I271" s="20" t="n">
        <f aca="false">'Raw Data'!I271</f>
        <v>24</v>
      </c>
      <c r="J271" s="20" t="str">
        <f aca="false">'Raw Data'!J271</f>
        <v>radio/TV</v>
      </c>
      <c r="K271" s="21" t="n">
        <f aca="false">H271/I271</f>
        <v>41.625</v>
      </c>
      <c r="L271" s="21" t="n">
        <f aca="false">100-MIN(K271/Assumptions!$B$14,1)*100</f>
        <v>89.59375</v>
      </c>
      <c r="M271" s="21" t="n">
        <f aca="false">VLOOKUP(F271,Assumptions!$A$19:$B$23,2,0)</f>
        <v>40</v>
      </c>
      <c r="N271" s="21" t="n">
        <f aca="false">VLOOKUP(G271,Assumptions!$A$27:$B$30,2,0)</f>
        <v>50</v>
      </c>
      <c r="O271" s="21" t="n">
        <f aca="false">VLOOKUP(D271,Assumptions!$A$34:$B$37,2,0)</f>
        <v>66</v>
      </c>
      <c r="P271" s="21" t="n">
        <f aca="false">VLOOKUP(E271,Assumptions!$A$41:$B$43,2,0)</f>
        <v>100</v>
      </c>
      <c r="Q271" s="22" t="n">
        <f aca="false">L271*Assumptions!$B$7+M271*Assumptions!$B$8+N271*Assumptions!$B$9+O271*Assumptions!$B$10+P271*Assumptions!$B$11</f>
        <v>66.778125</v>
      </c>
      <c r="R271" s="11" t="str">
        <f aca="false">IF(Q271&lt;=33,"High Risk",IF(Q271&lt;=66,"Medium Risk","Low Risk"))</f>
        <v>Low Risk</v>
      </c>
    </row>
    <row r="272" customFormat="false" ht="15" hidden="false" customHeight="true" outlineLevel="0" collapsed="false">
      <c r="A272" s="20" t="n">
        <f aca="false">'Raw Data'!A272</f>
        <v>271</v>
      </c>
      <c r="B272" s="20" t="n">
        <f aca="false">'Raw Data'!B272</f>
        <v>32</v>
      </c>
      <c r="C272" s="20" t="str">
        <f aca="false">'Raw Data'!C272</f>
        <v>male</v>
      </c>
      <c r="D272" s="20" t="n">
        <f aca="false">'Raw Data'!D272</f>
        <v>2</v>
      </c>
      <c r="E272" s="20" t="str">
        <f aca="false">'Raw Data'!E272</f>
        <v>own</v>
      </c>
      <c r="F272" s="20" t="str">
        <f aca="false">'Raw Data'!F272</f>
        <v>none</v>
      </c>
      <c r="G272" s="20" t="str">
        <f aca="false">'Raw Data'!G272</f>
        <v>none</v>
      </c>
      <c r="H272" s="20" t="n">
        <f aca="false">'Raw Data'!H272</f>
        <v>2662</v>
      </c>
      <c r="I272" s="20" t="n">
        <f aca="false">'Raw Data'!I272</f>
        <v>18</v>
      </c>
      <c r="J272" s="20" t="str">
        <f aca="false">'Raw Data'!J272</f>
        <v>car</v>
      </c>
      <c r="K272" s="21" t="n">
        <f aca="false">H272/I272</f>
        <v>147.888888888889</v>
      </c>
      <c r="L272" s="21" t="n">
        <f aca="false">100-MIN(K272/Assumptions!$B$14,1)*100</f>
        <v>63.0277777777778</v>
      </c>
      <c r="M272" s="21" t="n">
        <f aca="false">VLOOKUP(F272,Assumptions!$A$19:$B$23,2,0)</f>
        <v>40</v>
      </c>
      <c r="N272" s="21" t="n">
        <f aca="false">VLOOKUP(G272,Assumptions!$A$27:$B$30,2,0)</f>
        <v>50</v>
      </c>
      <c r="O272" s="21" t="n">
        <f aca="false">VLOOKUP(D272,Assumptions!$A$34:$B$37,2,0)</f>
        <v>66</v>
      </c>
      <c r="P272" s="21" t="n">
        <f aca="false">VLOOKUP(E272,Assumptions!$A$41:$B$43,2,0)</f>
        <v>100</v>
      </c>
      <c r="Q272" s="22" t="n">
        <f aca="false">L272*Assumptions!$B$7+M272*Assumptions!$B$8+N272*Assumptions!$B$9+O272*Assumptions!$B$10+P272*Assumptions!$B$11</f>
        <v>58.8083333333333</v>
      </c>
      <c r="R272" s="11" t="str">
        <f aca="false">IF(Q272&lt;=33,"High Risk",IF(Q272&lt;=66,"Medium Risk","Low Risk"))</f>
        <v>Medium Risk</v>
      </c>
    </row>
    <row r="273" customFormat="false" ht="15" hidden="false" customHeight="true" outlineLevel="0" collapsed="false">
      <c r="A273" s="20" t="n">
        <f aca="false">'Raw Data'!A273</f>
        <v>272</v>
      </c>
      <c r="B273" s="20" t="n">
        <f aca="false">'Raw Data'!B273</f>
        <v>37</v>
      </c>
      <c r="C273" s="20" t="str">
        <f aca="false">'Raw Data'!C273</f>
        <v>female</v>
      </c>
      <c r="D273" s="20" t="n">
        <f aca="false">'Raw Data'!D273</f>
        <v>2</v>
      </c>
      <c r="E273" s="20" t="str">
        <f aca="false">'Raw Data'!E273</f>
        <v>rent</v>
      </c>
      <c r="F273" s="20" t="str">
        <f aca="false">'Raw Data'!F273</f>
        <v>quite rich</v>
      </c>
      <c r="G273" s="20" t="str">
        <f aca="false">'Raw Data'!G273</f>
        <v>none</v>
      </c>
      <c r="H273" s="20" t="n">
        <f aca="false">'Raw Data'!H273</f>
        <v>1402</v>
      </c>
      <c r="I273" s="20" t="n">
        <f aca="false">'Raw Data'!I273</f>
        <v>12</v>
      </c>
      <c r="J273" s="20" t="str">
        <f aca="false">'Raw Data'!J273</f>
        <v>furniture/equipment</v>
      </c>
      <c r="K273" s="21" t="n">
        <f aca="false">H273/I273</f>
        <v>116.833333333333</v>
      </c>
      <c r="L273" s="21" t="n">
        <f aca="false">100-MIN(K273/Assumptions!$B$14,1)*100</f>
        <v>70.7916666666667</v>
      </c>
      <c r="M273" s="21" t="n">
        <f aca="false">VLOOKUP(F273,Assumptions!$A$19:$B$23,2,0)</f>
        <v>75</v>
      </c>
      <c r="N273" s="21" t="n">
        <f aca="false">VLOOKUP(G273,Assumptions!$A$27:$B$30,2,0)</f>
        <v>50</v>
      </c>
      <c r="O273" s="21" t="n">
        <f aca="false">VLOOKUP(D273,Assumptions!$A$34:$B$37,2,0)</f>
        <v>66</v>
      </c>
      <c r="P273" s="21" t="n">
        <f aca="false">VLOOKUP(E273,Assumptions!$A$41:$B$43,2,0)</f>
        <v>30</v>
      </c>
      <c r="Q273" s="22" t="n">
        <f aca="false">L273*Assumptions!$B$7+M273*Assumptions!$B$8+N273*Assumptions!$B$9+O273*Assumptions!$B$10+P273*Assumptions!$B$11</f>
        <v>62.8875</v>
      </c>
      <c r="R273" s="11" t="str">
        <f aca="false">IF(Q273&lt;=33,"High Risk",IF(Q273&lt;=66,"Medium Risk","Low Risk"))</f>
        <v>Medium Risk</v>
      </c>
    </row>
    <row r="274" customFormat="false" ht="15" hidden="false" customHeight="true" outlineLevel="0" collapsed="false">
      <c r="A274" s="20" t="n">
        <f aca="false">'Raw Data'!A274</f>
        <v>273</v>
      </c>
      <c r="B274" s="20" t="n">
        <f aca="false">'Raw Data'!B274</f>
        <v>36</v>
      </c>
      <c r="C274" s="20" t="str">
        <f aca="false">'Raw Data'!C274</f>
        <v>male</v>
      </c>
      <c r="D274" s="20" t="n">
        <f aca="false">'Raw Data'!D274</f>
        <v>3</v>
      </c>
      <c r="E274" s="20" t="str">
        <f aca="false">'Raw Data'!E274</f>
        <v>free</v>
      </c>
      <c r="F274" s="20" t="str">
        <f aca="false">'Raw Data'!F274</f>
        <v>none</v>
      </c>
      <c r="G274" s="20" t="str">
        <f aca="false">'Raw Data'!G274</f>
        <v>moderate</v>
      </c>
      <c r="H274" s="20" t="n">
        <f aca="false">'Raw Data'!H274</f>
        <v>12169</v>
      </c>
      <c r="I274" s="20" t="n">
        <f aca="false">'Raw Data'!I274</f>
        <v>48</v>
      </c>
      <c r="J274" s="20" t="str">
        <f aca="false">'Raw Data'!J274</f>
        <v>car</v>
      </c>
      <c r="K274" s="21" t="n">
        <f aca="false">H274/I274</f>
        <v>253.520833333333</v>
      </c>
      <c r="L274" s="21" t="n">
        <f aca="false">100-MIN(K274/Assumptions!$B$14,1)*100</f>
        <v>36.6197916666667</v>
      </c>
      <c r="M274" s="21" t="n">
        <f aca="false">VLOOKUP(F274,Assumptions!$A$19:$B$23,2,0)</f>
        <v>40</v>
      </c>
      <c r="N274" s="21" t="n">
        <f aca="false">VLOOKUP(G274,Assumptions!$A$27:$B$30,2,0)</f>
        <v>60</v>
      </c>
      <c r="O274" s="21" t="n">
        <f aca="false">VLOOKUP(D274,Assumptions!$A$34:$B$37,2,0)</f>
        <v>100</v>
      </c>
      <c r="P274" s="21" t="n">
        <f aca="false">VLOOKUP(E274,Assumptions!$A$41:$B$43,2,0)</f>
        <v>60</v>
      </c>
      <c r="Q274" s="22" t="n">
        <f aca="false">L274*Assumptions!$B$7+M274*Assumptions!$B$8+N274*Assumptions!$B$9+O274*Assumptions!$B$10+P274*Assumptions!$B$11</f>
        <v>53.9859375</v>
      </c>
      <c r="R274" s="11" t="str">
        <f aca="false">IF(Q274&lt;=33,"High Risk",IF(Q274&lt;=66,"Medium Risk","Low Risk"))</f>
        <v>Medium Risk</v>
      </c>
    </row>
    <row r="275" customFormat="false" ht="15" hidden="false" customHeight="true" outlineLevel="0" collapsed="false">
      <c r="A275" s="20" t="n">
        <f aca="false">'Raw Data'!A275</f>
        <v>274</v>
      </c>
      <c r="B275" s="20" t="n">
        <f aca="false">'Raw Data'!B275</f>
        <v>28</v>
      </c>
      <c r="C275" s="20" t="str">
        <f aca="false">'Raw Data'!C275</f>
        <v>male</v>
      </c>
      <c r="D275" s="20" t="n">
        <f aca="false">'Raw Data'!D275</f>
        <v>2</v>
      </c>
      <c r="E275" s="20" t="str">
        <f aca="false">'Raw Data'!E275</f>
        <v>own</v>
      </c>
      <c r="F275" s="20" t="str">
        <f aca="false">'Raw Data'!F275</f>
        <v>little</v>
      </c>
      <c r="G275" s="20" t="str">
        <f aca="false">'Raw Data'!G275</f>
        <v>moderate</v>
      </c>
      <c r="H275" s="20" t="n">
        <f aca="false">'Raw Data'!H275</f>
        <v>3060</v>
      </c>
      <c r="I275" s="20" t="n">
        <f aca="false">'Raw Data'!I275</f>
        <v>48</v>
      </c>
      <c r="J275" s="20" t="str">
        <f aca="false">'Raw Data'!J275</f>
        <v>radio/TV</v>
      </c>
      <c r="K275" s="21" t="n">
        <f aca="false">H275/I275</f>
        <v>63.75</v>
      </c>
      <c r="L275" s="21" t="n">
        <f aca="false">100-MIN(K275/Assumptions!$B$14,1)*100</f>
        <v>84.0625</v>
      </c>
      <c r="M275" s="21" t="n">
        <f aca="false">VLOOKUP(F275,Assumptions!$A$19:$B$23,2,0)</f>
        <v>25</v>
      </c>
      <c r="N275" s="21" t="n">
        <f aca="false">VLOOKUP(G275,Assumptions!$A$27:$B$30,2,0)</f>
        <v>60</v>
      </c>
      <c r="O275" s="21" t="n">
        <f aca="false">VLOOKUP(D275,Assumptions!$A$34:$B$37,2,0)</f>
        <v>66</v>
      </c>
      <c r="P275" s="21" t="n">
        <f aca="false">VLOOKUP(E275,Assumptions!$A$41:$B$43,2,0)</f>
        <v>100</v>
      </c>
      <c r="Q275" s="22" t="n">
        <f aca="false">L275*Assumptions!$B$7+M275*Assumptions!$B$8+N275*Assumptions!$B$9+O275*Assumptions!$B$10+P275*Assumptions!$B$11</f>
        <v>63.36875</v>
      </c>
      <c r="R275" s="11" t="str">
        <f aca="false">IF(Q275&lt;=33,"High Risk",IF(Q275&lt;=66,"Medium Risk","Low Risk"))</f>
        <v>Medium Risk</v>
      </c>
    </row>
    <row r="276" customFormat="false" ht="15" hidden="false" customHeight="true" outlineLevel="0" collapsed="false">
      <c r="A276" s="20" t="n">
        <f aca="false">'Raw Data'!A276</f>
        <v>275</v>
      </c>
      <c r="B276" s="20" t="n">
        <f aca="false">'Raw Data'!B276</f>
        <v>34</v>
      </c>
      <c r="C276" s="20" t="str">
        <f aca="false">'Raw Data'!C276</f>
        <v>male</v>
      </c>
      <c r="D276" s="20" t="n">
        <f aca="false">'Raw Data'!D276</f>
        <v>1</v>
      </c>
      <c r="E276" s="20" t="str">
        <f aca="false">'Raw Data'!E276</f>
        <v>own</v>
      </c>
      <c r="F276" s="20" t="str">
        <f aca="false">'Raw Data'!F276</f>
        <v>little</v>
      </c>
      <c r="G276" s="20" t="str">
        <f aca="false">'Raw Data'!G276</f>
        <v>little</v>
      </c>
      <c r="H276" s="20" t="n">
        <f aca="false">'Raw Data'!H276</f>
        <v>11998</v>
      </c>
      <c r="I276" s="20" t="n">
        <f aca="false">'Raw Data'!I276</f>
        <v>30</v>
      </c>
      <c r="J276" s="20" t="str">
        <f aca="false">'Raw Data'!J276</f>
        <v>repairs</v>
      </c>
      <c r="K276" s="21" t="n">
        <f aca="false">H276/I276</f>
        <v>399.933333333333</v>
      </c>
      <c r="L276" s="21" t="n">
        <f aca="false">100-MIN(K276/Assumptions!$B$14,1)*100</f>
        <v>0.0166666666666657</v>
      </c>
      <c r="M276" s="21" t="n">
        <f aca="false">VLOOKUP(F276,Assumptions!$A$19:$B$23,2,0)</f>
        <v>25</v>
      </c>
      <c r="N276" s="21" t="n">
        <f aca="false">VLOOKUP(G276,Assumptions!$A$27:$B$30,2,0)</f>
        <v>25</v>
      </c>
      <c r="O276" s="21" t="n">
        <f aca="false">VLOOKUP(D276,Assumptions!$A$34:$B$37,2,0)</f>
        <v>33</v>
      </c>
      <c r="P276" s="21" t="n">
        <f aca="false">VLOOKUP(E276,Assumptions!$A$41:$B$43,2,0)</f>
        <v>100</v>
      </c>
      <c r="Q276" s="22" t="n">
        <f aca="false">L276*Assumptions!$B$7+M276*Assumptions!$B$8+N276*Assumptions!$B$9+O276*Assumptions!$B$10+P276*Assumptions!$B$11</f>
        <v>26.205</v>
      </c>
      <c r="R276" s="11" t="str">
        <f aca="false">IF(Q276&lt;=33,"High Risk",IF(Q276&lt;=66,"Medium Risk","Low Risk"))</f>
        <v>High Risk</v>
      </c>
    </row>
    <row r="277" customFormat="false" ht="15" hidden="false" customHeight="true" outlineLevel="0" collapsed="false">
      <c r="A277" s="20" t="n">
        <f aca="false">'Raw Data'!A277</f>
        <v>276</v>
      </c>
      <c r="B277" s="20" t="n">
        <f aca="false">'Raw Data'!B277</f>
        <v>32</v>
      </c>
      <c r="C277" s="20" t="str">
        <f aca="false">'Raw Data'!C277</f>
        <v>male</v>
      </c>
      <c r="D277" s="20" t="n">
        <f aca="false">'Raw Data'!D277</f>
        <v>2</v>
      </c>
      <c r="E277" s="20" t="str">
        <f aca="false">'Raw Data'!E277</f>
        <v>own</v>
      </c>
      <c r="F277" s="20" t="str">
        <f aca="false">'Raw Data'!F277</f>
        <v>little</v>
      </c>
      <c r="G277" s="20" t="str">
        <f aca="false">'Raw Data'!G277</f>
        <v>none</v>
      </c>
      <c r="H277" s="20" t="n">
        <f aca="false">'Raw Data'!H277</f>
        <v>2697</v>
      </c>
      <c r="I277" s="20" t="n">
        <f aca="false">'Raw Data'!I277</f>
        <v>9</v>
      </c>
      <c r="J277" s="20" t="str">
        <f aca="false">'Raw Data'!J277</f>
        <v>radio/TV</v>
      </c>
      <c r="K277" s="21" t="n">
        <f aca="false">H277/I277</f>
        <v>299.666666666667</v>
      </c>
      <c r="L277" s="21" t="n">
        <f aca="false">100-MIN(K277/Assumptions!$B$14,1)*100</f>
        <v>25.0833333333333</v>
      </c>
      <c r="M277" s="21" t="n">
        <f aca="false">VLOOKUP(F277,Assumptions!$A$19:$B$23,2,0)</f>
        <v>25</v>
      </c>
      <c r="N277" s="21" t="n">
        <f aca="false">VLOOKUP(G277,Assumptions!$A$27:$B$30,2,0)</f>
        <v>50</v>
      </c>
      <c r="O277" s="21" t="n">
        <f aca="false">VLOOKUP(D277,Assumptions!$A$34:$B$37,2,0)</f>
        <v>66</v>
      </c>
      <c r="P277" s="21" t="n">
        <f aca="false">VLOOKUP(E277,Assumptions!$A$41:$B$43,2,0)</f>
        <v>100</v>
      </c>
      <c r="Q277" s="22" t="n">
        <f aca="false">L277*Assumptions!$B$7+M277*Assumptions!$B$8+N277*Assumptions!$B$9+O277*Assumptions!$B$10+P277*Assumptions!$B$11</f>
        <v>43.675</v>
      </c>
      <c r="R277" s="11" t="str">
        <f aca="false">IF(Q277&lt;=33,"High Risk",IF(Q277&lt;=66,"Medium Risk","Low Risk"))</f>
        <v>Medium Risk</v>
      </c>
    </row>
    <row r="278" customFormat="false" ht="15" hidden="false" customHeight="true" outlineLevel="0" collapsed="false">
      <c r="A278" s="20" t="n">
        <f aca="false">'Raw Data'!A278</f>
        <v>277</v>
      </c>
      <c r="B278" s="20" t="n">
        <f aca="false">'Raw Data'!B278</f>
        <v>26</v>
      </c>
      <c r="C278" s="20" t="str">
        <f aca="false">'Raw Data'!C278</f>
        <v>female</v>
      </c>
      <c r="D278" s="20" t="n">
        <f aca="false">'Raw Data'!D278</f>
        <v>2</v>
      </c>
      <c r="E278" s="20" t="str">
        <f aca="false">'Raw Data'!E278</f>
        <v>own</v>
      </c>
      <c r="F278" s="20" t="str">
        <f aca="false">'Raw Data'!F278</f>
        <v>little</v>
      </c>
      <c r="G278" s="20" t="str">
        <f aca="false">'Raw Data'!G278</f>
        <v>none</v>
      </c>
      <c r="H278" s="20" t="n">
        <f aca="false">'Raw Data'!H278</f>
        <v>2404</v>
      </c>
      <c r="I278" s="20" t="n">
        <f aca="false">'Raw Data'!I278</f>
        <v>18</v>
      </c>
      <c r="J278" s="20" t="str">
        <f aca="false">'Raw Data'!J278</f>
        <v>radio/TV</v>
      </c>
      <c r="K278" s="21" t="n">
        <f aca="false">H278/I278</f>
        <v>133.555555555556</v>
      </c>
      <c r="L278" s="21" t="n">
        <f aca="false">100-MIN(K278/Assumptions!$B$14,1)*100</f>
        <v>66.6111111111111</v>
      </c>
      <c r="M278" s="21" t="n">
        <f aca="false">VLOOKUP(F278,Assumptions!$A$19:$B$23,2,0)</f>
        <v>25</v>
      </c>
      <c r="N278" s="21" t="n">
        <f aca="false">VLOOKUP(G278,Assumptions!$A$27:$B$30,2,0)</f>
        <v>50</v>
      </c>
      <c r="O278" s="21" t="n">
        <f aca="false">VLOOKUP(D278,Assumptions!$A$34:$B$37,2,0)</f>
        <v>66</v>
      </c>
      <c r="P278" s="21" t="n">
        <f aca="false">VLOOKUP(E278,Assumptions!$A$41:$B$43,2,0)</f>
        <v>100</v>
      </c>
      <c r="Q278" s="22" t="n">
        <f aca="false">L278*Assumptions!$B$7+M278*Assumptions!$B$8+N278*Assumptions!$B$9+O278*Assumptions!$B$10+P278*Assumptions!$B$11</f>
        <v>56.1333333333333</v>
      </c>
      <c r="R278" s="11" t="str">
        <f aca="false">IF(Q278&lt;=33,"High Risk",IF(Q278&lt;=66,"Medium Risk","Low Risk"))</f>
        <v>Medium Risk</v>
      </c>
    </row>
    <row r="279" customFormat="false" ht="15" hidden="false" customHeight="true" outlineLevel="0" collapsed="false">
      <c r="A279" s="20" t="n">
        <f aca="false">'Raw Data'!A279</f>
        <v>278</v>
      </c>
      <c r="B279" s="20" t="n">
        <f aca="false">'Raw Data'!B279</f>
        <v>49</v>
      </c>
      <c r="C279" s="20" t="str">
        <f aca="false">'Raw Data'!C279</f>
        <v>male</v>
      </c>
      <c r="D279" s="20" t="n">
        <f aca="false">'Raw Data'!D279</f>
        <v>1</v>
      </c>
      <c r="E279" s="20" t="str">
        <f aca="false">'Raw Data'!E279</f>
        <v>own</v>
      </c>
      <c r="F279" s="20" t="str">
        <f aca="false">'Raw Data'!F279</f>
        <v>none</v>
      </c>
      <c r="G279" s="20" t="str">
        <f aca="false">'Raw Data'!G279</f>
        <v>little</v>
      </c>
      <c r="H279" s="20" t="n">
        <f aca="false">'Raw Data'!H279</f>
        <v>1262</v>
      </c>
      <c r="I279" s="20" t="n">
        <f aca="false">'Raw Data'!I279</f>
        <v>12</v>
      </c>
      <c r="J279" s="20" t="str">
        <f aca="false">'Raw Data'!J279</f>
        <v>furniture/equipment</v>
      </c>
      <c r="K279" s="21" t="n">
        <f aca="false">H279/I279</f>
        <v>105.166666666667</v>
      </c>
      <c r="L279" s="21" t="n">
        <f aca="false">100-MIN(K279/Assumptions!$B$14,1)*100</f>
        <v>73.7083333333333</v>
      </c>
      <c r="M279" s="21" t="n">
        <f aca="false">VLOOKUP(F279,Assumptions!$A$19:$B$23,2,0)</f>
        <v>40</v>
      </c>
      <c r="N279" s="21" t="n">
        <f aca="false">VLOOKUP(G279,Assumptions!$A$27:$B$30,2,0)</f>
        <v>25</v>
      </c>
      <c r="O279" s="21" t="n">
        <f aca="false">VLOOKUP(D279,Assumptions!$A$34:$B$37,2,0)</f>
        <v>33</v>
      </c>
      <c r="P279" s="21" t="n">
        <f aca="false">VLOOKUP(E279,Assumptions!$A$41:$B$43,2,0)</f>
        <v>100</v>
      </c>
      <c r="Q279" s="22" t="n">
        <f aca="false">L279*Assumptions!$B$7+M279*Assumptions!$B$8+N279*Assumptions!$B$9+O279*Assumptions!$B$10+P279*Assumptions!$B$11</f>
        <v>52.0625</v>
      </c>
      <c r="R279" s="11" t="str">
        <f aca="false">IF(Q279&lt;=33,"High Risk",IF(Q279&lt;=66,"Medium Risk","Low Risk"))</f>
        <v>Medium Risk</v>
      </c>
    </row>
    <row r="280" customFormat="false" ht="15" hidden="false" customHeight="true" outlineLevel="0" collapsed="false">
      <c r="A280" s="20" t="n">
        <f aca="false">'Raw Data'!A280</f>
        <v>279</v>
      </c>
      <c r="B280" s="20" t="n">
        <f aca="false">'Raw Data'!B280</f>
        <v>32</v>
      </c>
      <c r="C280" s="20" t="str">
        <f aca="false">'Raw Data'!C280</f>
        <v>female</v>
      </c>
      <c r="D280" s="20" t="n">
        <f aca="false">'Raw Data'!D280</f>
        <v>2</v>
      </c>
      <c r="E280" s="20" t="str">
        <f aca="false">'Raw Data'!E280</f>
        <v>own</v>
      </c>
      <c r="F280" s="20" t="str">
        <f aca="false">'Raw Data'!F280</f>
        <v>little</v>
      </c>
      <c r="G280" s="20" t="str">
        <f aca="false">'Raw Data'!G280</f>
        <v>none</v>
      </c>
      <c r="H280" s="20" t="n">
        <f aca="false">'Raw Data'!H280</f>
        <v>4611</v>
      </c>
      <c r="I280" s="20" t="n">
        <f aca="false">'Raw Data'!I280</f>
        <v>6</v>
      </c>
      <c r="J280" s="20" t="str">
        <f aca="false">'Raw Data'!J280</f>
        <v>furniture/equipment</v>
      </c>
      <c r="K280" s="21" t="n">
        <f aca="false">H280/I280</f>
        <v>768.5</v>
      </c>
      <c r="L280" s="21" t="n">
        <f aca="false">100-MIN(K280/Assumptions!$B$14,1)*100</f>
        <v>0</v>
      </c>
      <c r="M280" s="21" t="n">
        <f aca="false">VLOOKUP(F280,Assumptions!$A$19:$B$23,2,0)</f>
        <v>25</v>
      </c>
      <c r="N280" s="21" t="n">
        <f aca="false">VLOOKUP(G280,Assumptions!$A$27:$B$30,2,0)</f>
        <v>50</v>
      </c>
      <c r="O280" s="21" t="n">
        <f aca="false">VLOOKUP(D280,Assumptions!$A$34:$B$37,2,0)</f>
        <v>66</v>
      </c>
      <c r="P280" s="21" t="n">
        <f aca="false">VLOOKUP(E280,Assumptions!$A$41:$B$43,2,0)</f>
        <v>100</v>
      </c>
      <c r="Q280" s="22" t="n">
        <f aca="false">L280*Assumptions!$B$7+M280*Assumptions!$B$8+N280*Assumptions!$B$9+O280*Assumptions!$B$10+P280*Assumptions!$B$11</f>
        <v>36.15</v>
      </c>
      <c r="R280" s="11" t="str">
        <f aca="false">IF(Q280&lt;=33,"High Risk",IF(Q280&lt;=66,"Medium Risk","Low Risk"))</f>
        <v>Medium Risk</v>
      </c>
    </row>
    <row r="281" customFormat="false" ht="15" hidden="false" customHeight="true" outlineLevel="0" collapsed="false">
      <c r="A281" s="20" t="n">
        <f aca="false">'Raw Data'!A281</f>
        <v>280</v>
      </c>
      <c r="B281" s="20" t="n">
        <f aca="false">'Raw Data'!B281</f>
        <v>29</v>
      </c>
      <c r="C281" s="20" t="str">
        <f aca="false">'Raw Data'!C281</f>
        <v>male</v>
      </c>
      <c r="D281" s="20" t="n">
        <f aca="false">'Raw Data'!D281</f>
        <v>3</v>
      </c>
      <c r="E281" s="20" t="str">
        <f aca="false">'Raw Data'!E281</f>
        <v>rent</v>
      </c>
      <c r="F281" s="20" t="str">
        <f aca="false">'Raw Data'!F281</f>
        <v>moderate</v>
      </c>
      <c r="G281" s="20" t="str">
        <f aca="false">'Raw Data'!G281</f>
        <v>none</v>
      </c>
      <c r="H281" s="20" t="n">
        <f aca="false">'Raw Data'!H281</f>
        <v>1901</v>
      </c>
      <c r="I281" s="20" t="n">
        <f aca="false">'Raw Data'!I281</f>
        <v>24</v>
      </c>
      <c r="J281" s="20" t="str">
        <f aca="false">'Raw Data'!J281</f>
        <v>radio/TV</v>
      </c>
      <c r="K281" s="21" t="n">
        <f aca="false">H281/I281</f>
        <v>79.2083333333333</v>
      </c>
      <c r="L281" s="21" t="n">
        <f aca="false">100-MIN(K281/Assumptions!$B$14,1)*100</f>
        <v>80.1979166666667</v>
      </c>
      <c r="M281" s="21" t="n">
        <f aca="false">VLOOKUP(F281,Assumptions!$A$19:$B$23,2,0)</f>
        <v>50</v>
      </c>
      <c r="N281" s="21" t="n">
        <f aca="false">VLOOKUP(G281,Assumptions!$A$27:$B$30,2,0)</f>
        <v>50</v>
      </c>
      <c r="O281" s="21" t="n">
        <f aca="false">VLOOKUP(D281,Assumptions!$A$34:$B$37,2,0)</f>
        <v>100</v>
      </c>
      <c r="P281" s="21" t="n">
        <f aca="false">VLOOKUP(E281,Assumptions!$A$41:$B$43,2,0)</f>
        <v>30</v>
      </c>
      <c r="Q281" s="22" t="n">
        <f aca="false">L281*Assumptions!$B$7+M281*Assumptions!$B$8+N281*Assumptions!$B$9+O281*Assumptions!$B$10+P281*Assumptions!$B$11</f>
        <v>64.559375</v>
      </c>
      <c r="R281" s="11" t="str">
        <f aca="false">IF(Q281&lt;=33,"High Risk",IF(Q281&lt;=66,"Medium Risk","Low Risk"))</f>
        <v>Medium Risk</v>
      </c>
    </row>
    <row r="282" customFormat="false" ht="15" hidden="false" customHeight="true" outlineLevel="0" collapsed="false">
      <c r="A282" s="20" t="n">
        <f aca="false">'Raw Data'!A282</f>
        <v>281</v>
      </c>
      <c r="B282" s="20" t="n">
        <f aca="false">'Raw Data'!B282</f>
        <v>23</v>
      </c>
      <c r="C282" s="20" t="str">
        <f aca="false">'Raw Data'!C282</f>
        <v>male</v>
      </c>
      <c r="D282" s="20" t="n">
        <f aca="false">'Raw Data'!D282</f>
        <v>2</v>
      </c>
      <c r="E282" s="20" t="str">
        <f aca="false">'Raw Data'!E282</f>
        <v>rent</v>
      </c>
      <c r="F282" s="20" t="str">
        <f aca="false">'Raw Data'!F282</f>
        <v>rich</v>
      </c>
      <c r="G282" s="20" t="str">
        <f aca="false">'Raw Data'!G282</f>
        <v>none</v>
      </c>
      <c r="H282" s="20" t="n">
        <f aca="false">'Raw Data'!H282</f>
        <v>3368</v>
      </c>
      <c r="I282" s="20" t="n">
        <f aca="false">'Raw Data'!I282</f>
        <v>15</v>
      </c>
      <c r="J282" s="20" t="str">
        <f aca="false">'Raw Data'!J282</f>
        <v>car</v>
      </c>
      <c r="K282" s="21" t="n">
        <f aca="false">H282/I282</f>
        <v>224.533333333333</v>
      </c>
      <c r="L282" s="21" t="n">
        <f aca="false">100-MIN(K282/Assumptions!$B$14,1)*100</f>
        <v>43.8666666666667</v>
      </c>
      <c r="M282" s="21" t="n">
        <f aca="false">VLOOKUP(F282,Assumptions!$A$19:$B$23,2,0)</f>
        <v>100</v>
      </c>
      <c r="N282" s="21" t="n">
        <f aca="false">VLOOKUP(G282,Assumptions!$A$27:$B$30,2,0)</f>
        <v>50</v>
      </c>
      <c r="O282" s="21" t="n">
        <f aca="false">VLOOKUP(D282,Assumptions!$A$34:$B$37,2,0)</f>
        <v>66</v>
      </c>
      <c r="P282" s="21" t="n">
        <f aca="false">VLOOKUP(E282,Assumptions!$A$41:$B$43,2,0)</f>
        <v>30</v>
      </c>
      <c r="Q282" s="22" t="n">
        <f aca="false">L282*Assumptions!$B$7+M282*Assumptions!$B$8+N282*Assumptions!$B$9+O282*Assumptions!$B$10+P282*Assumptions!$B$11</f>
        <v>61.06</v>
      </c>
      <c r="R282" s="11" t="str">
        <f aca="false">IF(Q282&lt;=33,"High Risk",IF(Q282&lt;=66,"Medium Risk","Low Risk"))</f>
        <v>Medium Risk</v>
      </c>
    </row>
    <row r="283" customFormat="false" ht="15" hidden="false" customHeight="true" outlineLevel="0" collapsed="false">
      <c r="A283" s="20" t="n">
        <f aca="false">'Raw Data'!A283</f>
        <v>282</v>
      </c>
      <c r="B283" s="20" t="n">
        <f aca="false">'Raw Data'!B283</f>
        <v>50</v>
      </c>
      <c r="C283" s="20" t="str">
        <f aca="false">'Raw Data'!C283</f>
        <v>male</v>
      </c>
      <c r="D283" s="20" t="n">
        <f aca="false">'Raw Data'!D283</f>
        <v>2</v>
      </c>
      <c r="E283" s="20" t="str">
        <f aca="false">'Raw Data'!E283</f>
        <v>own</v>
      </c>
      <c r="F283" s="20" t="str">
        <f aca="false">'Raw Data'!F283</f>
        <v>little</v>
      </c>
      <c r="G283" s="20" t="str">
        <f aca="false">'Raw Data'!G283</f>
        <v>none</v>
      </c>
      <c r="H283" s="20" t="n">
        <f aca="false">'Raw Data'!H283</f>
        <v>1574</v>
      </c>
      <c r="I283" s="20" t="n">
        <f aca="false">'Raw Data'!I283</f>
        <v>12</v>
      </c>
      <c r="J283" s="20" t="str">
        <f aca="false">'Raw Data'!J283</f>
        <v>furniture/equipment</v>
      </c>
      <c r="K283" s="21" t="n">
        <f aca="false">H283/I283</f>
        <v>131.166666666667</v>
      </c>
      <c r="L283" s="21" t="n">
        <f aca="false">100-MIN(K283/Assumptions!$B$14,1)*100</f>
        <v>67.2083333333333</v>
      </c>
      <c r="M283" s="21" t="n">
        <f aca="false">VLOOKUP(F283,Assumptions!$A$19:$B$23,2,0)</f>
        <v>25</v>
      </c>
      <c r="N283" s="21" t="n">
        <f aca="false">VLOOKUP(G283,Assumptions!$A$27:$B$30,2,0)</f>
        <v>50</v>
      </c>
      <c r="O283" s="21" t="n">
        <f aca="false">VLOOKUP(D283,Assumptions!$A$34:$B$37,2,0)</f>
        <v>66</v>
      </c>
      <c r="P283" s="21" t="n">
        <f aca="false">VLOOKUP(E283,Assumptions!$A$41:$B$43,2,0)</f>
        <v>100</v>
      </c>
      <c r="Q283" s="22" t="n">
        <f aca="false">L283*Assumptions!$B$7+M283*Assumptions!$B$8+N283*Assumptions!$B$9+O283*Assumptions!$B$10+P283*Assumptions!$B$11</f>
        <v>56.3125</v>
      </c>
      <c r="R283" s="11" t="str">
        <f aca="false">IF(Q283&lt;=33,"High Risk",IF(Q283&lt;=66,"Medium Risk","Low Risk"))</f>
        <v>Medium Risk</v>
      </c>
    </row>
    <row r="284" customFormat="false" ht="15" hidden="false" customHeight="true" outlineLevel="0" collapsed="false">
      <c r="A284" s="20" t="n">
        <f aca="false">'Raw Data'!A284</f>
        <v>283</v>
      </c>
      <c r="B284" s="20" t="n">
        <f aca="false">'Raw Data'!B284</f>
        <v>49</v>
      </c>
      <c r="C284" s="20" t="str">
        <f aca="false">'Raw Data'!C284</f>
        <v>male</v>
      </c>
      <c r="D284" s="20" t="n">
        <f aca="false">'Raw Data'!D284</f>
        <v>1</v>
      </c>
      <c r="E284" s="20" t="str">
        <f aca="false">'Raw Data'!E284</f>
        <v>own</v>
      </c>
      <c r="F284" s="20" t="str">
        <f aca="false">'Raw Data'!F284</f>
        <v>none</v>
      </c>
      <c r="G284" s="20" t="str">
        <f aca="false">'Raw Data'!G284</f>
        <v>rich</v>
      </c>
      <c r="H284" s="20" t="n">
        <f aca="false">'Raw Data'!H284</f>
        <v>1445</v>
      </c>
      <c r="I284" s="20" t="n">
        <f aca="false">'Raw Data'!I284</f>
        <v>18</v>
      </c>
      <c r="J284" s="20" t="str">
        <f aca="false">'Raw Data'!J284</f>
        <v>radio/TV</v>
      </c>
      <c r="K284" s="21" t="n">
        <f aca="false">H284/I284</f>
        <v>80.2777777777778</v>
      </c>
      <c r="L284" s="21" t="n">
        <f aca="false">100-MIN(K284/Assumptions!$B$14,1)*100</f>
        <v>79.9305555555556</v>
      </c>
      <c r="M284" s="21" t="n">
        <f aca="false">VLOOKUP(F284,Assumptions!$A$19:$B$23,2,0)</f>
        <v>40</v>
      </c>
      <c r="N284" s="21" t="n">
        <f aca="false">VLOOKUP(G284,Assumptions!$A$27:$B$30,2,0)</f>
        <v>100</v>
      </c>
      <c r="O284" s="21" t="n">
        <f aca="false">VLOOKUP(D284,Assumptions!$A$34:$B$37,2,0)</f>
        <v>33</v>
      </c>
      <c r="P284" s="21" t="n">
        <f aca="false">VLOOKUP(E284,Assumptions!$A$41:$B$43,2,0)</f>
        <v>100</v>
      </c>
      <c r="Q284" s="22" t="n">
        <f aca="false">L284*Assumptions!$B$7+M284*Assumptions!$B$8+N284*Assumptions!$B$9+O284*Assumptions!$B$10+P284*Assumptions!$B$11</f>
        <v>68.9291666666667</v>
      </c>
      <c r="R284" s="11" t="str">
        <f aca="false">IF(Q284&lt;=33,"High Risk",IF(Q284&lt;=66,"Medium Risk","Low Risk"))</f>
        <v>Low Risk</v>
      </c>
    </row>
    <row r="285" customFormat="false" ht="15" hidden="false" customHeight="true" outlineLevel="0" collapsed="false">
      <c r="A285" s="20" t="n">
        <f aca="false">'Raw Data'!A285</f>
        <v>284</v>
      </c>
      <c r="B285" s="20" t="n">
        <f aca="false">'Raw Data'!B285</f>
        <v>63</v>
      </c>
      <c r="C285" s="20" t="str">
        <f aca="false">'Raw Data'!C285</f>
        <v>male</v>
      </c>
      <c r="D285" s="20" t="n">
        <f aca="false">'Raw Data'!D285</f>
        <v>2</v>
      </c>
      <c r="E285" s="20" t="str">
        <f aca="false">'Raw Data'!E285</f>
        <v>own</v>
      </c>
      <c r="F285" s="20" t="str">
        <f aca="false">'Raw Data'!F285</f>
        <v>none</v>
      </c>
      <c r="G285" s="20" t="str">
        <f aca="false">'Raw Data'!G285</f>
        <v>none</v>
      </c>
      <c r="H285" s="20" t="n">
        <f aca="false">'Raw Data'!H285</f>
        <v>1520</v>
      </c>
      <c r="I285" s="20" t="n">
        <f aca="false">'Raw Data'!I285</f>
        <v>15</v>
      </c>
      <c r="J285" s="20" t="str">
        <f aca="false">'Raw Data'!J285</f>
        <v>furniture/equipment</v>
      </c>
      <c r="K285" s="21" t="n">
        <f aca="false">H285/I285</f>
        <v>101.333333333333</v>
      </c>
      <c r="L285" s="21" t="n">
        <f aca="false">100-MIN(K285/Assumptions!$B$14,1)*100</f>
        <v>74.6666666666667</v>
      </c>
      <c r="M285" s="21" t="n">
        <f aca="false">VLOOKUP(F285,Assumptions!$A$19:$B$23,2,0)</f>
        <v>40</v>
      </c>
      <c r="N285" s="21" t="n">
        <f aca="false">VLOOKUP(G285,Assumptions!$A$27:$B$30,2,0)</f>
        <v>50</v>
      </c>
      <c r="O285" s="21" t="n">
        <f aca="false">VLOOKUP(D285,Assumptions!$A$34:$B$37,2,0)</f>
        <v>66</v>
      </c>
      <c r="P285" s="21" t="n">
        <f aca="false">VLOOKUP(E285,Assumptions!$A$41:$B$43,2,0)</f>
        <v>100</v>
      </c>
      <c r="Q285" s="22" t="n">
        <f aca="false">L285*Assumptions!$B$7+M285*Assumptions!$B$8+N285*Assumptions!$B$9+O285*Assumptions!$B$10+P285*Assumptions!$B$11</f>
        <v>62.3</v>
      </c>
      <c r="R285" s="11" t="str">
        <f aca="false">IF(Q285&lt;=33,"High Risk",IF(Q285&lt;=66,"Medium Risk","Low Risk"))</f>
        <v>Medium Risk</v>
      </c>
    </row>
    <row r="286" customFormat="false" ht="15" hidden="false" customHeight="true" outlineLevel="0" collapsed="false">
      <c r="A286" s="20" t="n">
        <f aca="false">'Raw Data'!A286</f>
        <v>285</v>
      </c>
      <c r="B286" s="20" t="n">
        <f aca="false">'Raw Data'!B286</f>
        <v>37</v>
      </c>
      <c r="C286" s="20" t="str">
        <f aca="false">'Raw Data'!C286</f>
        <v>male</v>
      </c>
      <c r="D286" s="20" t="n">
        <f aca="false">'Raw Data'!D286</f>
        <v>2</v>
      </c>
      <c r="E286" s="20" t="str">
        <f aca="false">'Raw Data'!E286</f>
        <v>own</v>
      </c>
      <c r="F286" s="20" t="str">
        <f aca="false">'Raw Data'!F286</f>
        <v>moderate</v>
      </c>
      <c r="G286" s="20" t="str">
        <f aca="false">'Raw Data'!G286</f>
        <v>moderate</v>
      </c>
      <c r="H286" s="20" t="n">
        <f aca="false">'Raw Data'!H286</f>
        <v>3878</v>
      </c>
      <c r="I286" s="20" t="n">
        <f aca="false">'Raw Data'!I286</f>
        <v>24</v>
      </c>
      <c r="J286" s="20" t="str">
        <f aca="false">'Raw Data'!J286</f>
        <v>car</v>
      </c>
      <c r="K286" s="21" t="n">
        <f aca="false">H286/I286</f>
        <v>161.583333333333</v>
      </c>
      <c r="L286" s="21" t="n">
        <f aca="false">100-MIN(K286/Assumptions!$B$14,1)*100</f>
        <v>59.6041666666667</v>
      </c>
      <c r="M286" s="21" t="n">
        <f aca="false">VLOOKUP(F286,Assumptions!$A$19:$B$23,2,0)</f>
        <v>50</v>
      </c>
      <c r="N286" s="21" t="n">
        <f aca="false">VLOOKUP(G286,Assumptions!$A$27:$B$30,2,0)</f>
        <v>60</v>
      </c>
      <c r="O286" s="21" t="n">
        <f aca="false">VLOOKUP(D286,Assumptions!$A$34:$B$37,2,0)</f>
        <v>66</v>
      </c>
      <c r="P286" s="21" t="n">
        <f aca="false">VLOOKUP(E286,Assumptions!$A$41:$B$43,2,0)</f>
        <v>100</v>
      </c>
      <c r="Q286" s="22" t="n">
        <f aca="false">L286*Assumptions!$B$7+M286*Assumptions!$B$8+N286*Assumptions!$B$9+O286*Assumptions!$B$10+P286*Assumptions!$B$11</f>
        <v>62.28125</v>
      </c>
      <c r="R286" s="11" t="str">
        <f aca="false">IF(Q286&lt;=33,"High Risk",IF(Q286&lt;=66,"Medium Risk","Low Risk"))</f>
        <v>Medium Risk</v>
      </c>
    </row>
    <row r="287" customFormat="false" ht="15" hidden="false" customHeight="true" outlineLevel="0" collapsed="false">
      <c r="A287" s="20" t="n">
        <f aca="false">'Raw Data'!A287</f>
        <v>286</v>
      </c>
      <c r="B287" s="20" t="n">
        <f aca="false">'Raw Data'!B287</f>
        <v>35</v>
      </c>
      <c r="C287" s="20" t="str">
        <f aca="false">'Raw Data'!C287</f>
        <v>female</v>
      </c>
      <c r="D287" s="20" t="n">
        <f aca="false">'Raw Data'!D287</f>
        <v>1</v>
      </c>
      <c r="E287" s="20" t="str">
        <f aca="false">'Raw Data'!E287</f>
        <v>own</v>
      </c>
      <c r="F287" s="20" t="str">
        <f aca="false">'Raw Data'!F287</f>
        <v>little</v>
      </c>
      <c r="G287" s="20" t="str">
        <f aca="false">'Raw Data'!G287</f>
        <v>little</v>
      </c>
      <c r="H287" s="20" t="n">
        <f aca="false">'Raw Data'!H287</f>
        <v>10722</v>
      </c>
      <c r="I287" s="20" t="n">
        <f aca="false">'Raw Data'!I287</f>
        <v>47</v>
      </c>
      <c r="J287" s="20" t="str">
        <f aca="false">'Raw Data'!J287</f>
        <v>car</v>
      </c>
      <c r="K287" s="21" t="n">
        <f aca="false">H287/I287</f>
        <v>228.127659574468</v>
      </c>
      <c r="L287" s="21" t="n">
        <f aca="false">100-MIN(K287/Assumptions!$B$14,1)*100</f>
        <v>42.968085106383</v>
      </c>
      <c r="M287" s="21" t="n">
        <f aca="false">VLOOKUP(F287,Assumptions!$A$19:$B$23,2,0)</f>
        <v>25</v>
      </c>
      <c r="N287" s="21" t="n">
        <f aca="false">VLOOKUP(G287,Assumptions!$A$27:$B$30,2,0)</f>
        <v>25</v>
      </c>
      <c r="O287" s="21" t="n">
        <f aca="false">VLOOKUP(D287,Assumptions!$A$34:$B$37,2,0)</f>
        <v>33</v>
      </c>
      <c r="P287" s="21" t="n">
        <f aca="false">VLOOKUP(E287,Assumptions!$A$41:$B$43,2,0)</f>
        <v>100</v>
      </c>
      <c r="Q287" s="22" t="n">
        <f aca="false">L287*Assumptions!$B$7+M287*Assumptions!$B$8+N287*Assumptions!$B$9+O287*Assumptions!$B$10+P287*Assumptions!$B$11</f>
        <v>39.0904255319149</v>
      </c>
      <c r="R287" s="11" t="str">
        <f aca="false">IF(Q287&lt;=33,"High Risk",IF(Q287&lt;=66,"Medium Risk","Low Risk"))</f>
        <v>Medium Risk</v>
      </c>
    </row>
    <row r="288" customFormat="false" ht="15" hidden="false" customHeight="true" outlineLevel="0" collapsed="false">
      <c r="A288" s="20" t="n">
        <f aca="false">'Raw Data'!A288</f>
        <v>287</v>
      </c>
      <c r="B288" s="20" t="n">
        <f aca="false">'Raw Data'!B288</f>
        <v>26</v>
      </c>
      <c r="C288" s="20" t="str">
        <f aca="false">'Raw Data'!C288</f>
        <v>male</v>
      </c>
      <c r="D288" s="20" t="n">
        <f aca="false">'Raw Data'!D288</f>
        <v>2</v>
      </c>
      <c r="E288" s="20" t="str">
        <f aca="false">'Raw Data'!E288</f>
        <v>own</v>
      </c>
      <c r="F288" s="20" t="str">
        <f aca="false">'Raw Data'!F288</f>
        <v>little</v>
      </c>
      <c r="G288" s="20" t="str">
        <f aca="false">'Raw Data'!G288</f>
        <v>little</v>
      </c>
      <c r="H288" s="20" t="n">
        <f aca="false">'Raw Data'!H288</f>
        <v>4788</v>
      </c>
      <c r="I288" s="20" t="n">
        <f aca="false">'Raw Data'!I288</f>
        <v>48</v>
      </c>
      <c r="J288" s="20" t="str">
        <f aca="false">'Raw Data'!J288</f>
        <v>car</v>
      </c>
      <c r="K288" s="21" t="n">
        <f aca="false">H288/I288</f>
        <v>99.75</v>
      </c>
      <c r="L288" s="21" t="n">
        <f aca="false">100-MIN(K288/Assumptions!$B$14,1)*100</f>
        <v>75.0625</v>
      </c>
      <c r="M288" s="21" t="n">
        <f aca="false">VLOOKUP(F288,Assumptions!$A$19:$B$23,2,0)</f>
        <v>25</v>
      </c>
      <c r="N288" s="21" t="n">
        <f aca="false">VLOOKUP(G288,Assumptions!$A$27:$B$30,2,0)</f>
        <v>25</v>
      </c>
      <c r="O288" s="21" t="n">
        <f aca="false">VLOOKUP(D288,Assumptions!$A$34:$B$37,2,0)</f>
        <v>66</v>
      </c>
      <c r="P288" s="21" t="n">
        <f aca="false">VLOOKUP(E288,Assumptions!$A$41:$B$43,2,0)</f>
        <v>100</v>
      </c>
      <c r="Q288" s="22" t="n">
        <f aca="false">L288*Assumptions!$B$7+M288*Assumptions!$B$8+N288*Assumptions!$B$9+O288*Assumptions!$B$10+P288*Assumptions!$B$11</f>
        <v>53.66875</v>
      </c>
      <c r="R288" s="11" t="str">
        <f aca="false">IF(Q288&lt;=33,"High Risk",IF(Q288&lt;=66,"Medium Risk","Low Risk"))</f>
        <v>Medium Risk</v>
      </c>
    </row>
    <row r="289" customFormat="false" ht="15" hidden="false" customHeight="true" outlineLevel="0" collapsed="false">
      <c r="A289" s="20" t="n">
        <f aca="false">'Raw Data'!A289</f>
        <v>288</v>
      </c>
      <c r="B289" s="20" t="n">
        <f aca="false">'Raw Data'!B289</f>
        <v>31</v>
      </c>
      <c r="C289" s="20" t="str">
        <f aca="false">'Raw Data'!C289</f>
        <v>male</v>
      </c>
      <c r="D289" s="20" t="n">
        <f aca="false">'Raw Data'!D289</f>
        <v>3</v>
      </c>
      <c r="E289" s="20" t="str">
        <f aca="false">'Raw Data'!E289</f>
        <v>free</v>
      </c>
      <c r="F289" s="20" t="str">
        <f aca="false">'Raw Data'!F289</f>
        <v>moderate</v>
      </c>
      <c r="G289" s="20" t="str">
        <f aca="false">'Raw Data'!G289</f>
        <v>moderate</v>
      </c>
      <c r="H289" s="20" t="n">
        <f aca="false">'Raw Data'!H289</f>
        <v>7582</v>
      </c>
      <c r="I289" s="20" t="n">
        <f aca="false">'Raw Data'!I289</f>
        <v>48</v>
      </c>
      <c r="J289" s="20" t="str">
        <f aca="false">'Raw Data'!J289</f>
        <v>vacation/others</v>
      </c>
      <c r="K289" s="21" t="n">
        <f aca="false">H289/I289</f>
        <v>157.958333333333</v>
      </c>
      <c r="L289" s="21" t="n">
        <f aca="false">100-MIN(K289/Assumptions!$B$14,1)*100</f>
        <v>60.5104166666667</v>
      </c>
      <c r="M289" s="21" t="n">
        <f aca="false">VLOOKUP(F289,Assumptions!$A$19:$B$23,2,0)</f>
        <v>50</v>
      </c>
      <c r="N289" s="21" t="n">
        <f aca="false">VLOOKUP(G289,Assumptions!$A$27:$B$30,2,0)</f>
        <v>60</v>
      </c>
      <c r="O289" s="21" t="n">
        <f aca="false">VLOOKUP(D289,Assumptions!$A$34:$B$37,2,0)</f>
        <v>100</v>
      </c>
      <c r="P289" s="21" t="n">
        <f aca="false">VLOOKUP(E289,Assumptions!$A$41:$B$43,2,0)</f>
        <v>60</v>
      </c>
      <c r="Q289" s="22" t="n">
        <f aca="false">L289*Assumptions!$B$7+M289*Assumptions!$B$8+N289*Assumptions!$B$9+O289*Assumptions!$B$10+P289*Assumptions!$B$11</f>
        <v>63.653125</v>
      </c>
      <c r="R289" s="11" t="str">
        <f aca="false">IF(Q289&lt;=33,"High Risk",IF(Q289&lt;=66,"Medium Risk","Low Risk"))</f>
        <v>Medium Risk</v>
      </c>
    </row>
    <row r="290" customFormat="false" ht="15" hidden="false" customHeight="true" outlineLevel="0" collapsed="false">
      <c r="A290" s="20" t="n">
        <f aca="false">'Raw Data'!A290</f>
        <v>289</v>
      </c>
      <c r="B290" s="20" t="n">
        <f aca="false">'Raw Data'!B290</f>
        <v>49</v>
      </c>
      <c r="C290" s="20" t="str">
        <f aca="false">'Raw Data'!C290</f>
        <v>female</v>
      </c>
      <c r="D290" s="20" t="n">
        <f aca="false">'Raw Data'!D290</f>
        <v>2</v>
      </c>
      <c r="E290" s="20" t="str">
        <f aca="false">'Raw Data'!E290</f>
        <v>own</v>
      </c>
      <c r="F290" s="20" t="str">
        <f aca="false">'Raw Data'!F290</f>
        <v>little</v>
      </c>
      <c r="G290" s="20" t="str">
        <f aca="false">'Raw Data'!G290</f>
        <v>moderate</v>
      </c>
      <c r="H290" s="20" t="n">
        <f aca="false">'Raw Data'!H290</f>
        <v>1092</v>
      </c>
      <c r="I290" s="20" t="n">
        <f aca="false">'Raw Data'!I290</f>
        <v>12</v>
      </c>
      <c r="J290" s="20" t="str">
        <f aca="false">'Raw Data'!J290</f>
        <v>radio/TV</v>
      </c>
      <c r="K290" s="21" t="n">
        <f aca="false">H290/I290</f>
        <v>91</v>
      </c>
      <c r="L290" s="21" t="n">
        <f aca="false">100-MIN(K290/Assumptions!$B$14,1)*100</f>
        <v>77.25</v>
      </c>
      <c r="M290" s="21" t="n">
        <f aca="false">VLOOKUP(F290,Assumptions!$A$19:$B$23,2,0)</f>
        <v>25</v>
      </c>
      <c r="N290" s="21" t="n">
        <f aca="false">VLOOKUP(G290,Assumptions!$A$27:$B$30,2,0)</f>
        <v>60</v>
      </c>
      <c r="O290" s="21" t="n">
        <f aca="false">VLOOKUP(D290,Assumptions!$A$34:$B$37,2,0)</f>
        <v>66</v>
      </c>
      <c r="P290" s="21" t="n">
        <f aca="false">VLOOKUP(E290,Assumptions!$A$41:$B$43,2,0)</f>
        <v>100</v>
      </c>
      <c r="Q290" s="22" t="n">
        <f aca="false">L290*Assumptions!$B$7+M290*Assumptions!$B$8+N290*Assumptions!$B$9+O290*Assumptions!$B$10+P290*Assumptions!$B$11</f>
        <v>61.325</v>
      </c>
      <c r="R290" s="11" t="str">
        <f aca="false">IF(Q290&lt;=33,"High Risk",IF(Q290&lt;=66,"Medium Risk","Low Risk"))</f>
        <v>Medium Risk</v>
      </c>
    </row>
    <row r="291" customFormat="false" ht="15" hidden="false" customHeight="true" outlineLevel="0" collapsed="false">
      <c r="A291" s="20" t="n">
        <f aca="false">'Raw Data'!A291</f>
        <v>290</v>
      </c>
      <c r="B291" s="20" t="n">
        <f aca="false">'Raw Data'!B291</f>
        <v>48</v>
      </c>
      <c r="C291" s="20" t="str">
        <f aca="false">'Raw Data'!C291</f>
        <v>male</v>
      </c>
      <c r="D291" s="20" t="n">
        <f aca="false">'Raw Data'!D291</f>
        <v>2</v>
      </c>
      <c r="E291" s="20" t="str">
        <f aca="false">'Raw Data'!E291</f>
        <v>own</v>
      </c>
      <c r="F291" s="20" t="str">
        <f aca="false">'Raw Data'!F291</f>
        <v>little</v>
      </c>
      <c r="G291" s="20" t="str">
        <f aca="false">'Raw Data'!G291</f>
        <v>little</v>
      </c>
      <c r="H291" s="20" t="n">
        <f aca="false">'Raw Data'!H291</f>
        <v>1024</v>
      </c>
      <c r="I291" s="20" t="n">
        <f aca="false">'Raw Data'!I291</f>
        <v>24</v>
      </c>
      <c r="J291" s="20" t="str">
        <f aca="false">'Raw Data'!J291</f>
        <v>radio/TV</v>
      </c>
      <c r="K291" s="21" t="n">
        <f aca="false">H291/I291</f>
        <v>42.6666666666667</v>
      </c>
      <c r="L291" s="21" t="n">
        <f aca="false">100-MIN(K291/Assumptions!$B$14,1)*100</f>
        <v>89.3333333333333</v>
      </c>
      <c r="M291" s="21" t="n">
        <f aca="false">VLOOKUP(F291,Assumptions!$A$19:$B$23,2,0)</f>
        <v>25</v>
      </c>
      <c r="N291" s="21" t="n">
        <f aca="false">VLOOKUP(G291,Assumptions!$A$27:$B$30,2,0)</f>
        <v>25</v>
      </c>
      <c r="O291" s="21" t="n">
        <f aca="false">VLOOKUP(D291,Assumptions!$A$34:$B$37,2,0)</f>
        <v>66</v>
      </c>
      <c r="P291" s="21" t="n">
        <f aca="false">VLOOKUP(E291,Assumptions!$A$41:$B$43,2,0)</f>
        <v>100</v>
      </c>
      <c r="Q291" s="22" t="n">
        <f aca="false">L291*Assumptions!$B$7+M291*Assumptions!$B$8+N291*Assumptions!$B$9+O291*Assumptions!$B$10+P291*Assumptions!$B$11</f>
        <v>57.95</v>
      </c>
      <c r="R291" s="11" t="str">
        <f aca="false">IF(Q291&lt;=33,"High Risk",IF(Q291&lt;=66,"Medium Risk","Low Risk"))</f>
        <v>Medium Risk</v>
      </c>
    </row>
    <row r="292" customFormat="false" ht="15" hidden="false" customHeight="true" outlineLevel="0" collapsed="false">
      <c r="A292" s="20" t="n">
        <f aca="false">'Raw Data'!A292</f>
        <v>291</v>
      </c>
      <c r="B292" s="20" t="n">
        <f aca="false">'Raw Data'!B292</f>
        <v>26</v>
      </c>
      <c r="C292" s="20" t="str">
        <f aca="false">'Raw Data'!C292</f>
        <v>male</v>
      </c>
      <c r="D292" s="20" t="n">
        <f aca="false">'Raw Data'!D292</f>
        <v>2</v>
      </c>
      <c r="E292" s="20" t="str">
        <f aca="false">'Raw Data'!E292</f>
        <v>own</v>
      </c>
      <c r="F292" s="20" t="str">
        <f aca="false">'Raw Data'!F292</f>
        <v>little</v>
      </c>
      <c r="G292" s="20" t="str">
        <f aca="false">'Raw Data'!G292</f>
        <v>none</v>
      </c>
      <c r="H292" s="20" t="n">
        <f aca="false">'Raw Data'!H292</f>
        <v>1076</v>
      </c>
      <c r="I292" s="20" t="n">
        <f aca="false">'Raw Data'!I292</f>
        <v>12</v>
      </c>
      <c r="J292" s="20" t="str">
        <f aca="false">'Raw Data'!J292</f>
        <v>business</v>
      </c>
      <c r="K292" s="21" t="n">
        <f aca="false">H292/I292</f>
        <v>89.6666666666667</v>
      </c>
      <c r="L292" s="21" t="n">
        <f aca="false">100-MIN(K292/Assumptions!$B$14,1)*100</f>
        <v>77.5833333333333</v>
      </c>
      <c r="M292" s="21" t="n">
        <f aca="false">VLOOKUP(F292,Assumptions!$A$19:$B$23,2,0)</f>
        <v>25</v>
      </c>
      <c r="N292" s="21" t="n">
        <f aca="false">VLOOKUP(G292,Assumptions!$A$27:$B$30,2,0)</f>
        <v>50</v>
      </c>
      <c r="O292" s="21" t="n">
        <f aca="false">VLOOKUP(D292,Assumptions!$A$34:$B$37,2,0)</f>
        <v>66</v>
      </c>
      <c r="P292" s="21" t="n">
        <f aca="false">VLOOKUP(E292,Assumptions!$A$41:$B$43,2,0)</f>
        <v>100</v>
      </c>
      <c r="Q292" s="22" t="n">
        <f aca="false">L292*Assumptions!$B$7+M292*Assumptions!$B$8+N292*Assumptions!$B$9+O292*Assumptions!$B$10+P292*Assumptions!$B$11</f>
        <v>59.425</v>
      </c>
      <c r="R292" s="11" t="str">
        <f aca="false">IF(Q292&lt;=33,"High Risk",IF(Q292&lt;=66,"Medium Risk","Low Risk"))</f>
        <v>Medium Risk</v>
      </c>
    </row>
    <row r="293" customFormat="false" ht="15" hidden="false" customHeight="true" outlineLevel="0" collapsed="false">
      <c r="A293" s="20" t="n">
        <f aca="false">'Raw Data'!A293</f>
        <v>292</v>
      </c>
      <c r="B293" s="20" t="n">
        <f aca="false">'Raw Data'!B293</f>
        <v>28</v>
      </c>
      <c r="C293" s="20" t="str">
        <f aca="false">'Raw Data'!C293</f>
        <v>male</v>
      </c>
      <c r="D293" s="20" t="n">
        <f aca="false">'Raw Data'!D293</f>
        <v>3</v>
      </c>
      <c r="E293" s="20" t="str">
        <f aca="false">'Raw Data'!E293</f>
        <v>rent</v>
      </c>
      <c r="F293" s="20" t="str">
        <f aca="false">'Raw Data'!F293</f>
        <v>little</v>
      </c>
      <c r="G293" s="20" t="str">
        <f aca="false">'Raw Data'!G293</f>
        <v>moderate</v>
      </c>
      <c r="H293" s="20" t="n">
        <f aca="false">'Raw Data'!H293</f>
        <v>9398</v>
      </c>
      <c r="I293" s="20" t="n">
        <f aca="false">'Raw Data'!I293</f>
        <v>36</v>
      </c>
      <c r="J293" s="20" t="str">
        <f aca="false">'Raw Data'!J293</f>
        <v>car</v>
      </c>
      <c r="K293" s="21" t="n">
        <f aca="false">H293/I293</f>
        <v>261.055555555556</v>
      </c>
      <c r="L293" s="21" t="n">
        <f aca="false">100-MIN(K293/Assumptions!$B$14,1)*100</f>
        <v>34.7361111111111</v>
      </c>
      <c r="M293" s="21" t="n">
        <f aca="false">VLOOKUP(F293,Assumptions!$A$19:$B$23,2,0)</f>
        <v>25</v>
      </c>
      <c r="N293" s="21" t="n">
        <f aca="false">VLOOKUP(G293,Assumptions!$A$27:$B$30,2,0)</f>
        <v>60</v>
      </c>
      <c r="O293" s="21" t="n">
        <f aca="false">VLOOKUP(D293,Assumptions!$A$34:$B$37,2,0)</f>
        <v>100</v>
      </c>
      <c r="P293" s="21" t="n">
        <f aca="false">VLOOKUP(E293,Assumptions!$A$41:$B$43,2,0)</f>
        <v>30</v>
      </c>
      <c r="Q293" s="22" t="n">
        <f aca="false">L293*Assumptions!$B$7+M293*Assumptions!$B$8+N293*Assumptions!$B$9+O293*Assumptions!$B$10+P293*Assumptions!$B$11</f>
        <v>46.6708333333333</v>
      </c>
      <c r="R293" s="11" t="str">
        <f aca="false">IF(Q293&lt;=33,"High Risk",IF(Q293&lt;=66,"Medium Risk","Low Risk"))</f>
        <v>Medium Risk</v>
      </c>
    </row>
    <row r="294" customFormat="false" ht="15" hidden="false" customHeight="true" outlineLevel="0" collapsed="false">
      <c r="A294" s="20" t="n">
        <f aca="false">'Raw Data'!A294</f>
        <v>293</v>
      </c>
      <c r="B294" s="20" t="n">
        <f aca="false">'Raw Data'!B294</f>
        <v>44</v>
      </c>
      <c r="C294" s="20" t="str">
        <f aca="false">'Raw Data'!C294</f>
        <v>female</v>
      </c>
      <c r="D294" s="20" t="n">
        <f aca="false">'Raw Data'!D294</f>
        <v>3</v>
      </c>
      <c r="E294" s="20" t="str">
        <f aca="false">'Raw Data'!E294</f>
        <v>free</v>
      </c>
      <c r="F294" s="20" t="str">
        <f aca="false">'Raw Data'!F294</f>
        <v>little</v>
      </c>
      <c r="G294" s="20" t="str">
        <f aca="false">'Raw Data'!G294</f>
        <v>little</v>
      </c>
      <c r="H294" s="20" t="n">
        <f aca="false">'Raw Data'!H294</f>
        <v>6419</v>
      </c>
      <c r="I294" s="20" t="n">
        <f aca="false">'Raw Data'!I294</f>
        <v>24</v>
      </c>
      <c r="J294" s="20" t="str">
        <f aca="false">'Raw Data'!J294</f>
        <v>car</v>
      </c>
      <c r="K294" s="21" t="n">
        <f aca="false">H294/I294</f>
        <v>267.458333333333</v>
      </c>
      <c r="L294" s="21" t="n">
        <f aca="false">100-MIN(K294/Assumptions!$B$14,1)*100</f>
        <v>33.1354166666667</v>
      </c>
      <c r="M294" s="21" t="n">
        <f aca="false">VLOOKUP(F294,Assumptions!$A$19:$B$23,2,0)</f>
        <v>25</v>
      </c>
      <c r="N294" s="21" t="n">
        <f aca="false">VLOOKUP(G294,Assumptions!$A$27:$B$30,2,0)</f>
        <v>25</v>
      </c>
      <c r="O294" s="21" t="n">
        <f aca="false">VLOOKUP(D294,Assumptions!$A$34:$B$37,2,0)</f>
        <v>100</v>
      </c>
      <c r="P294" s="21" t="n">
        <f aca="false">VLOOKUP(E294,Assumptions!$A$41:$B$43,2,0)</f>
        <v>60</v>
      </c>
      <c r="Q294" s="22" t="n">
        <f aca="false">L294*Assumptions!$B$7+M294*Assumptions!$B$8+N294*Assumptions!$B$9+O294*Assumptions!$B$10+P294*Assumptions!$B$11</f>
        <v>42.190625</v>
      </c>
      <c r="R294" s="11" t="str">
        <f aca="false">IF(Q294&lt;=33,"High Risk",IF(Q294&lt;=66,"Medium Risk","Low Risk"))</f>
        <v>Medium Risk</v>
      </c>
    </row>
    <row r="295" customFormat="false" ht="15" hidden="false" customHeight="true" outlineLevel="0" collapsed="false">
      <c r="A295" s="20" t="n">
        <f aca="false">'Raw Data'!A295</f>
        <v>294</v>
      </c>
      <c r="B295" s="20" t="n">
        <f aca="false">'Raw Data'!B295</f>
        <v>56</v>
      </c>
      <c r="C295" s="20" t="str">
        <f aca="false">'Raw Data'!C295</f>
        <v>male</v>
      </c>
      <c r="D295" s="20" t="n">
        <f aca="false">'Raw Data'!D295</f>
        <v>2</v>
      </c>
      <c r="E295" s="20" t="str">
        <f aca="false">'Raw Data'!E295</f>
        <v>free</v>
      </c>
      <c r="F295" s="20" t="str">
        <f aca="false">'Raw Data'!F295</f>
        <v>little</v>
      </c>
      <c r="G295" s="20" t="str">
        <f aca="false">'Raw Data'!G295</f>
        <v>rich</v>
      </c>
      <c r="H295" s="20" t="n">
        <f aca="false">'Raw Data'!H295</f>
        <v>4796</v>
      </c>
      <c r="I295" s="20" t="n">
        <f aca="false">'Raw Data'!I295</f>
        <v>42</v>
      </c>
      <c r="J295" s="20" t="str">
        <f aca="false">'Raw Data'!J295</f>
        <v>car</v>
      </c>
      <c r="K295" s="21" t="n">
        <f aca="false">H295/I295</f>
        <v>114.190476190476</v>
      </c>
      <c r="L295" s="21" t="n">
        <f aca="false">100-MIN(K295/Assumptions!$B$14,1)*100</f>
        <v>71.452380952381</v>
      </c>
      <c r="M295" s="21" t="n">
        <f aca="false">VLOOKUP(F295,Assumptions!$A$19:$B$23,2,0)</f>
        <v>25</v>
      </c>
      <c r="N295" s="21" t="n">
        <f aca="false">VLOOKUP(G295,Assumptions!$A$27:$B$30,2,0)</f>
        <v>100</v>
      </c>
      <c r="O295" s="21" t="n">
        <f aca="false">VLOOKUP(D295,Assumptions!$A$34:$B$37,2,0)</f>
        <v>66</v>
      </c>
      <c r="P295" s="21" t="n">
        <f aca="false">VLOOKUP(E295,Assumptions!$A$41:$B$43,2,0)</f>
        <v>60</v>
      </c>
      <c r="Q295" s="22" t="n">
        <f aca="false">L295*Assumptions!$B$7+M295*Assumptions!$B$8+N295*Assumptions!$B$9+O295*Assumptions!$B$10+P295*Assumptions!$B$11</f>
        <v>63.5857142857143</v>
      </c>
      <c r="R295" s="11" t="str">
        <f aca="false">IF(Q295&lt;=33,"High Risk",IF(Q295&lt;=66,"Medium Risk","Low Risk"))</f>
        <v>Medium Risk</v>
      </c>
    </row>
    <row r="296" customFormat="false" ht="15" hidden="false" customHeight="true" outlineLevel="0" collapsed="false">
      <c r="A296" s="20" t="n">
        <f aca="false">'Raw Data'!A296</f>
        <v>295</v>
      </c>
      <c r="B296" s="20" t="n">
        <f aca="false">'Raw Data'!B296</f>
        <v>46</v>
      </c>
      <c r="C296" s="20" t="str">
        <f aca="false">'Raw Data'!C296</f>
        <v>male</v>
      </c>
      <c r="D296" s="20" t="n">
        <f aca="false">'Raw Data'!D296</f>
        <v>3</v>
      </c>
      <c r="E296" s="20" t="str">
        <f aca="false">'Raw Data'!E296</f>
        <v>own</v>
      </c>
      <c r="F296" s="20" t="str">
        <f aca="false">'Raw Data'!F296</f>
        <v>none</v>
      </c>
      <c r="G296" s="20" t="str">
        <f aca="false">'Raw Data'!G296</f>
        <v>none</v>
      </c>
      <c r="H296" s="20" t="n">
        <f aca="false">'Raw Data'!H296</f>
        <v>7629</v>
      </c>
      <c r="I296" s="20" t="n">
        <f aca="false">'Raw Data'!I296</f>
        <v>48</v>
      </c>
      <c r="J296" s="20" t="str">
        <f aca="false">'Raw Data'!J296</f>
        <v>business</v>
      </c>
      <c r="K296" s="21" t="n">
        <f aca="false">H296/I296</f>
        <v>158.9375</v>
      </c>
      <c r="L296" s="21" t="n">
        <f aca="false">100-MIN(K296/Assumptions!$B$14,1)*100</f>
        <v>60.265625</v>
      </c>
      <c r="M296" s="21" t="n">
        <f aca="false">VLOOKUP(F296,Assumptions!$A$19:$B$23,2,0)</f>
        <v>40</v>
      </c>
      <c r="N296" s="21" t="n">
        <f aca="false">VLOOKUP(G296,Assumptions!$A$27:$B$30,2,0)</f>
        <v>50</v>
      </c>
      <c r="O296" s="21" t="n">
        <f aca="false">VLOOKUP(D296,Assumptions!$A$34:$B$37,2,0)</f>
        <v>100</v>
      </c>
      <c r="P296" s="21" t="n">
        <f aca="false">VLOOKUP(E296,Assumptions!$A$41:$B$43,2,0)</f>
        <v>100</v>
      </c>
      <c r="Q296" s="22" t="n">
        <f aca="false">L296*Assumptions!$B$7+M296*Assumptions!$B$8+N296*Assumptions!$B$9+O296*Assumptions!$B$10+P296*Assumptions!$B$11</f>
        <v>63.0796875</v>
      </c>
      <c r="R296" s="11" t="str">
        <f aca="false">IF(Q296&lt;=33,"High Risk",IF(Q296&lt;=66,"Medium Risk","Low Risk"))</f>
        <v>Medium Risk</v>
      </c>
    </row>
    <row r="297" customFormat="false" ht="15" hidden="false" customHeight="true" outlineLevel="0" collapsed="false">
      <c r="A297" s="20" t="n">
        <f aca="false">'Raw Data'!A297</f>
        <v>296</v>
      </c>
      <c r="B297" s="20" t="n">
        <f aca="false">'Raw Data'!B297</f>
        <v>26</v>
      </c>
      <c r="C297" s="20" t="str">
        <f aca="false">'Raw Data'!C297</f>
        <v>female</v>
      </c>
      <c r="D297" s="20" t="n">
        <f aca="false">'Raw Data'!D297</f>
        <v>2</v>
      </c>
      <c r="E297" s="20" t="str">
        <f aca="false">'Raw Data'!E297</f>
        <v>own</v>
      </c>
      <c r="F297" s="20" t="str">
        <f aca="false">'Raw Data'!F297</f>
        <v>little</v>
      </c>
      <c r="G297" s="20" t="str">
        <f aca="false">'Raw Data'!G297</f>
        <v>moderate</v>
      </c>
      <c r="H297" s="20" t="n">
        <f aca="false">'Raw Data'!H297</f>
        <v>9960</v>
      </c>
      <c r="I297" s="20" t="n">
        <f aca="false">'Raw Data'!I297</f>
        <v>48</v>
      </c>
      <c r="J297" s="20" t="str">
        <f aca="false">'Raw Data'!J297</f>
        <v>furniture/equipment</v>
      </c>
      <c r="K297" s="21" t="n">
        <f aca="false">H297/I297</f>
        <v>207.5</v>
      </c>
      <c r="L297" s="21" t="n">
        <f aca="false">100-MIN(K297/Assumptions!$B$14,1)*100</f>
        <v>48.125</v>
      </c>
      <c r="M297" s="21" t="n">
        <f aca="false">VLOOKUP(F297,Assumptions!$A$19:$B$23,2,0)</f>
        <v>25</v>
      </c>
      <c r="N297" s="21" t="n">
        <f aca="false">VLOOKUP(G297,Assumptions!$A$27:$B$30,2,0)</f>
        <v>60</v>
      </c>
      <c r="O297" s="21" t="n">
        <f aca="false">VLOOKUP(D297,Assumptions!$A$34:$B$37,2,0)</f>
        <v>66</v>
      </c>
      <c r="P297" s="21" t="n">
        <f aca="false">VLOOKUP(E297,Assumptions!$A$41:$B$43,2,0)</f>
        <v>100</v>
      </c>
      <c r="Q297" s="22" t="n">
        <f aca="false">L297*Assumptions!$B$7+M297*Assumptions!$B$8+N297*Assumptions!$B$9+O297*Assumptions!$B$10+P297*Assumptions!$B$11</f>
        <v>52.5875</v>
      </c>
      <c r="R297" s="11" t="str">
        <f aca="false">IF(Q297&lt;=33,"High Risk",IF(Q297&lt;=66,"Medium Risk","Low Risk"))</f>
        <v>Medium Risk</v>
      </c>
    </row>
    <row r="298" customFormat="false" ht="15" hidden="false" customHeight="true" outlineLevel="0" collapsed="false">
      <c r="A298" s="20" t="n">
        <f aca="false">'Raw Data'!A298</f>
        <v>297</v>
      </c>
      <c r="B298" s="20" t="n">
        <f aca="false">'Raw Data'!B298</f>
        <v>20</v>
      </c>
      <c r="C298" s="20" t="str">
        <f aca="false">'Raw Data'!C298</f>
        <v>female</v>
      </c>
      <c r="D298" s="20" t="n">
        <f aca="false">'Raw Data'!D298</f>
        <v>2</v>
      </c>
      <c r="E298" s="20" t="str">
        <f aca="false">'Raw Data'!E298</f>
        <v>rent</v>
      </c>
      <c r="F298" s="20" t="str">
        <f aca="false">'Raw Data'!F298</f>
        <v>none</v>
      </c>
      <c r="G298" s="20" t="str">
        <f aca="false">'Raw Data'!G298</f>
        <v>none</v>
      </c>
      <c r="H298" s="20" t="n">
        <f aca="false">'Raw Data'!H298</f>
        <v>4675</v>
      </c>
      <c r="I298" s="20" t="n">
        <f aca="false">'Raw Data'!I298</f>
        <v>12</v>
      </c>
      <c r="J298" s="20" t="str">
        <f aca="false">'Raw Data'!J298</f>
        <v>car</v>
      </c>
      <c r="K298" s="21" t="n">
        <f aca="false">H298/I298</f>
        <v>389.583333333333</v>
      </c>
      <c r="L298" s="21" t="n">
        <f aca="false">100-MIN(K298/Assumptions!$B$14,1)*100</f>
        <v>2.60416666666667</v>
      </c>
      <c r="M298" s="21" t="n">
        <f aca="false">VLOOKUP(F298,Assumptions!$A$19:$B$23,2,0)</f>
        <v>40</v>
      </c>
      <c r="N298" s="21" t="n">
        <f aca="false">VLOOKUP(G298,Assumptions!$A$27:$B$30,2,0)</f>
        <v>50</v>
      </c>
      <c r="O298" s="21" t="n">
        <f aca="false">VLOOKUP(D298,Assumptions!$A$34:$B$37,2,0)</f>
        <v>66</v>
      </c>
      <c r="P298" s="21" t="n">
        <f aca="false">VLOOKUP(E298,Assumptions!$A$41:$B$43,2,0)</f>
        <v>30</v>
      </c>
      <c r="Q298" s="22" t="n">
        <f aca="false">L298*Assumptions!$B$7+M298*Assumptions!$B$8+N298*Assumptions!$B$9+O298*Assumptions!$B$10+P298*Assumptions!$B$11</f>
        <v>33.68125</v>
      </c>
      <c r="R298" s="11" t="str">
        <f aca="false">IF(Q298&lt;=33,"High Risk",IF(Q298&lt;=66,"Medium Risk","Low Risk"))</f>
        <v>Medium Risk</v>
      </c>
    </row>
    <row r="299" customFormat="false" ht="15" hidden="false" customHeight="true" outlineLevel="0" collapsed="false">
      <c r="A299" s="20" t="n">
        <f aca="false">'Raw Data'!A299</f>
        <v>298</v>
      </c>
      <c r="B299" s="20" t="n">
        <f aca="false">'Raw Data'!B299</f>
        <v>45</v>
      </c>
      <c r="C299" s="20" t="str">
        <f aca="false">'Raw Data'!C299</f>
        <v>male</v>
      </c>
      <c r="D299" s="20" t="n">
        <f aca="false">'Raw Data'!D299</f>
        <v>1</v>
      </c>
      <c r="E299" s="20" t="str">
        <f aca="false">'Raw Data'!E299</f>
        <v>own</v>
      </c>
      <c r="F299" s="20" t="str">
        <f aca="false">'Raw Data'!F299</f>
        <v>none</v>
      </c>
      <c r="G299" s="20" t="str">
        <f aca="false">'Raw Data'!G299</f>
        <v>none</v>
      </c>
      <c r="H299" s="20" t="n">
        <f aca="false">'Raw Data'!H299</f>
        <v>1287</v>
      </c>
      <c r="I299" s="20" t="n">
        <f aca="false">'Raw Data'!I299</f>
        <v>10</v>
      </c>
      <c r="J299" s="20" t="str">
        <f aca="false">'Raw Data'!J299</f>
        <v>car</v>
      </c>
      <c r="K299" s="21" t="n">
        <f aca="false">H299/I299</f>
        <v>128.7</v>
      </c>
      <c r="L299" s="21" t="n">
        <f aca="false">100-MIN(K299/Assumptions!$B$14,1)*100</f>
        <v>67.825</v>
      </c>
      <c r="M299" s="21" t="n">
        <f aca="false">VLOOKUP(F299,Assumptions!$A$19:$B$23,2,0)</f>
        <v>40</v>
      </c>
      <c r="N299" s="21" t="n">
        <f aca="false">VLOOKUP(G299,Assumptions!$A$27:$B$30,2,0)</f>
        <v>50</v>
      </c>
      <c r="O299" s="21" t="n">
        <f aca="false">VLOOKUP(D299,Assumptions!$A$34:$B$37,2,0)</f>
        <v>33</v>
      </c>
      <c r="P299" s="21" t="n">
        <f aca="false">VLOOKUP(E299,Assumptions!$A$41:$B$43,2,0)</f>
        <v>100</v>
      </c>
      <c r="Q299" s="22" t="n">
        <f aca="false">L299*Assumptions!$B$7+M299*Assumptions!$B$8+N299*Assumptions!$B$9+O299*Assumptions!$B$10+P299*Assumptions!$B$11</f>
        <v>55.2975</v>
      </c>
      <c r="R299" s="11" t="str">
        <f aca="false">IF(Q299&lt;=33,"High Risk",IF(Q299&lt;=66,"Medium Risk","Low Risk"))</f>
        <v>Medium Risk</v>
      </c>
    </row>
    <row r="300" customFormat="false" ht="15" hidden="false" customHeight="true" outlineLevel="0" collapsed="false">
      <c r="A300" s="20" t="n">
        <f aca="false">'Raw Data'!A300</f>
        <v>299</v>
      </c>
      <c r="B300" s="20" t="n">
        <f aca="false">'Raw Data'!B300</f>
        <v>43</v>
      </c>
      <c r="C300" s="20" t="str">
        <f aca="false">'Raw Data'!C300</f>
        <v>male</v>
      </c>
      <c r="D300" s="20" t="n">
        <f aca="false">'Raw Data'!D300</f>
        <v>2</v>
      </c>
      <c r="E300" s="20" t="str">
        <f aca="false">'Raw Data'!E300</f>
        <v>own</v>
      </c>
      <c r="F300" s="20" t="str">
        <f aca="false">'Raw Data'!F300</f>
        <v>little</v>
      </c>
      <c r="G300" s="20" t="str">
        <f aca="false">'Raw Data'!G300</f>
        <v>none</v>
      </c>
      <c r="H300" s="20" t="n">
        <f aca="false">'Raw Data'!H300</f>
        <v>2515</v>
      </c>
      <c r="I300" s="20" t="n">
        <f aca="false">'Raw Data'!I300</f>
        <v>18</v>
      </c>
      <c r="J300" s="20" t="str">
        <f aca="false">'Raw Data'!J300</f>
        <v>furniture/equipment</v>
      </c>
      <c r="K300" s="21" t="n">
        <f aca="false">H300/I300</f>
        <v>139.722222222222</v>
      </c>
      <c r="L300" s="21" t="n">
        <f aca="false">100-MIN(K300/Assumptions!$B$14,1)*100</f>
        <v>65.0694444444444</v>
      </c>
      <c r="M300" s="21" t="n">
        <f aca="false">VLOOKUP(F300,Assumptions!$A$19:$B$23,2,0)</f>
        <v>25</v>
      </c>
      <c r="N300" s="21" t="n">
        <f aca="false">VLOOKUP(G300,Assumptions!$A$27:$B$30,2,0)</f>
        <v>50</v>
      </c>
      <c r="O300" s="21" t="n">
        <f aca="false">VLOOKUP(D300,Assumptions!$A$34:$B$37,2,0)</f>
        <v>66</v>
      </c>
      <c r="P300" s="21" t="n">
        <f aca="false">VLOOKUP(E300,Assumptions!$A$41:$B$43,2,0)</f>
        <v>100</v>
      </c>
      <c r="Q300" s="22" t="n">
        <f aca="false">L300*Assumptions!$B$7+M300*Assumptions!$B$8+N300*Assumptions!$B$9+O300*Assumptions!$B$10+P300*Assumptions!$B$11</f>
        <v>55.6708333333333</v>
      </c>
      <c r="R300" s="11" t="str">
        <f aca="false">IF(Q300&lt;=33,"High Risk",IF(Q300&lt;=66,"Medium Risk","Low Risk"))</f>
        <v>Medium Risk</v>
      </c>
    </row>
    <row r="301" customFormat="false" ht="15" hidden="false" customHeight="true" outlineLevel="0" collapsed="false">
      <c r="A301" s="20" t="n">
        <f aca="false">'Raw Data'!A301</f>
        <v>300</v>
      </c>
      <c r="B301" s="20" t="n">
        <f aca="false">'Raw Data'!B301</f>
        <v>32</v>
      </c>
      <c r="C301" s="20" t="str">
        <f aca="false">'Raw Data'!C301</f>
        <v>male</v>
      </c>
      <c r="D301" s="20" t="n">
        <f aca="false">'Raw Data'!D301</f>
        <v>2</v>
      </c>
      <c r="E301" s="20" t="str">
        <f aca="false">'Raw Data'!E301</f>
        <v>own</v>
      </c>
      <c r="F301" s="20" t="str">
        <f aca="false">'Raw Data'!F301</f>
        <v>rich</v>
      </c>
      <c r="G301" s="20" t="str">
        <f aca="false">'Raw Data'!G301</f>
        <v>moderate</v>
      </c>
      <c r="H301" s="20" t="n">
        <f aca="false">'Raw Data'!H301</f>
        <v>2745</v>
      </c>
      <c r="I301" s="20" t="n">
        <f aca="false">'Raw Data'!I301</f>
        <v>21</v>
      </c>
      <c r="J301" s="20" t="str">
        <f aca="false">'Raw Data'!J301</f>
        <v>furniture/equipment</v>
      </c>
      <c r="K301" s="21" t="n">
        <f aca="false">H301/I301</f>
        <v>130.714285714286</v>
      </c>
      <c r="L301" s="21" t="n">
        <f aca="false">100-MIN(K301/Assumptions!$B$14,1)*100</f>
        <v>67.3214285714286</v>
      </c>
      <c r="M301" s="21" t="n">
        <f aca="false">VLOOKUP(F301,Assumptions!$A$19:$B$23,2,0)</f>
        <v>100</v>
      </c>
      <c r="N301" s="21" t="n">
        <f aca="false">VLOOKUP(G301,Assumptions!$A$27:$B$30,2,0)</f>
        <v>60</v>
      </c>
      <c r="O301" s="21" t="n">
        <f aca="false">VLOOKUP(D301,Assumptions!$A$34:$B$37,2,0)</f>
        <v>66</v>
      </c>
      <c r="P301" s="21" t="n">
        <f aca="false">VLOOKUP(E301,Assumptions!$A$41:$B$43,2,0)</f>
        <v>100</v>
      </c>
      <c r="Q301" s="22" t="n">
        <f aca="false">L301*Assumptions!$B$7+M301*Assumptions!$B$8+N301*Assumptions!$B$9+O301*Assumptions!$B$10+P301*Assumptions!$B$11</f>
        <v>77.0964285714286</v>
      </c>
      <c r="R301" s="11" t="str">
        <f aca="false">IF(Q301&lt;=33,"High Risk",IF(Q301&lt;=66,"Medium Risk","Low Risk"))</f>
        <v>Low Risk</v>
      </c>
    </row>
    <row r="302" customFormat="false" ht="15" hidden="false" customHeight="true" outlineLevel="0" collapsed="false">
      <c r="A302" s="20" t="n">
        <f aca="false">'Raw Data'!A302</f>
        <v>301</v>
      </c>
      <c r="B302" s="20" t="n">
        <f aca="false">'Raw Data'!B302</f>
        <v>54</v>
      </c>
      <c r="C302" s="20" t="str">
        <f aca="false">'Raw Data'!C302</f>
        <v>female</v>
      </c>
      <c r="D302" s="20" t="n">
        <f aca="false">'Raw Data'!D302</f>
        <v>0</v>
      </c>
      <c r="E302" s="20" t="str">
        <f aca="false">'Raw Data'!E302</f>
        <v>own</v>
      </c>
      <c r="F302" s="20" t="str">
        <f aca="false">'Raw Data'!F302</f>
        <v>little</v>
      </c>
      <c r="G302" s="20" t="str">
        <f aca="false">'Raw Data'!G302</f>
        <v>none</v>
      </c>
      <c r="H302" s="20" t="n">
        <f aca="false">'Raw Data'!H302</f>
        <v>672</v>
      </c>
      <c r="I302" s="20" t="n">
        <f aca="false">'Raw Data'!I302</f>
        <v>6</v>
      </c>
      <c r="J302" s="20" t="str">
        <f aca="false">'Raw Data'!J302</f>
        <v>car</v>
      </c>
      <c r="K302" s="21" t="n">
        <f aca="false">H302/I302</f>
        <v>112</v>
      </c>
      <c r="L302" s="21" t="n">
        <f aca="false">100-MIN(K302/Assumptions!$B$14,1)*100</f>
        <v>72</v>
      </c>
      <c r="M302" s="21" t="n">
        <f aca="false">VLOOKUP(F302,Assumptions!$A$19:$B$23,2,0)</f>
        <v>25</v>
      </c>
      <c r="N302" s="21" t="n">
        <f aca="false">VLOOKUP(G302,Assumptions!$A$27:$B$30,2,0)</f>
        <v>50</v>
      </c>
      <c r="O302" s="21" t="n">
        <f aca="false">VLOOKUP(D302,Assumptions!$A$34:$B$37,2,0)</f>
        <v>0</v>
      </c>
      <c r="P302" s="21" t="n">
        <f aca="false">VLOOKUP(E302,Assumptions!$A$41:$B$43,2,0)</f>
        <v>100</v>
      </c>
      <c r="Q302" s="22" t="n">
        <f aca="false">L302*Assumptions!$B$7+M302*Assumptions!$B$8+N302*Assumptions!$B$9+O302*Assumptions!$B$10+P302*Assumptions!$B$11</f>
        <v>47.85</v>
      </c>
      <c r="R302" s="11" t="str">
        <f aca="false">IF(Q302&lt;=33,"High Risk",IF(Q302&lt;=66,"Medium Risk","Low Risk"))</f>
        <v>Medium Risk</v>
      </c>
    </row>
    <row r="303" customFormat="false" ht="15" hidden="false" customHeight="true" outlineLevel="0" collapsed="false">
      <c r="A303" s="20" t="n">
        <f aca="false">'Raw Data'!A303</f>
        <v>302</v>
      </c>
      <c r="B303" s="20" t="n">
        <f aca="false">'Raw Data'!B303</f>
        <v>42</v>
      </c>
      <c r="C303" s="20" t="str">
        <f aca="false">'Raw Data'!C303</f>
        <v>female</v>
      </c>
      <c r="D303" s="20" t="n">
        <f aca="false">'Raw Data'!D303</f>
        <v>2</v>
      </c>
      <c r="E303" s="20" t="str">
        <f aca="false">'Raw Data'!E303</f>
        <v>own</v>
      </c>
      <c r="F303" s="20" t="str">
        <f aca="false">'Raw Data'!F303</f>
        <v>little</v>
      </c>
      <c r="G303" s="20" t="str">
        <f aca="false">'Raw Data'!G303</f>
        <v>moderate</v>
      </c>
      <c r="H303" s="20" t="n">
        <f aca="false">'Raw Data'!H303</f>
        <v>3804</v>
      </c>
      <c r="I303" s="20" t="n">
        <f aca="false">'Raw Data'!I303</f>
        <v>36</v>
      </c>
      <c r="J303" s="20" t="str">
        <f aca="false">'Raw Data'!J303</f>
        <v>radio/TV</v>
      </c>
      <c r="K303" s="21" t="n">
        <f aca="false">H303/I303</f>
        <v>105.666666666667</v>
      </c>
      <c r="L303" s="21" t="n">
        <f aca="false">100-MIN(K303/Assumptions!$B$14,1)*100</f>
        <v>73.5833333333333</v>
      </c>
      <c r="M303" s="21" t="n">
        <f aca="false">VLOOKUP(F303,Assumptions!$A$19:$B$23,2,0)</f>
        <v>25</v>
      </c>
      <c r="N303" s="21" t="n">
        <f aca="false">VLOOKUP(G303,Assumptions!$A$27:$B$30,2,0)</f>
        <v>60</v>
      </c>
      <c r="O303" s="21" t="n">
        <f aca="false">VLOOKUP(D303,Assumptions!$A$34:$B$37,2,0)</f>
        <v>66</v>
      </c>
      <c r="P303" s="21" t="n">
        <f aca="false">VLOOKUP(E303,Assumptions!$A$41:$B$43,2,0)</f>
        <v>100</v>
      </c>
      <c r="Q303" s="22" t="n">
        <f aca="false">L303*Assumptions!$B$7+M303*Assumptions!$B$8+N303*Assumptions!$B$9+O303*Assumptions!$B$10+P303*Assumptions!$B$11</f>
        <v>60.225</v>
      </c>
      <c r="R303" s="11" t="str">
        <f aca="false">IF(Q303&lt;=33,"High Risk",IF(Q303&lt;=66,"Medium Risk","Low Risk"))</f>
        <v>Medium Risk</v>
      </c>
    </row>
    <row r="304" customFormat="false" ht="15" hidden="false" customHeight="true" outlineLevel="0" collapsed="false">
      <c r="A304" s="20" t="n">
        <f aca="false">'Raw Data'!A304</f>
        <v>303</v>
      </c>
      <c r="B304" s="20" t="n">
        <f aca="false">'Raw Data'!B304</f>
        <v>37</v>
      </c>
      <c r="C304" s="20" t="str">
        <f aca="false">'Raw Data'!C304</f>
        <v>male</v>
      </c>
      <c r="D304" s="20" t="n">
        <f aca="false">'Raw Data'!D304</f>
        <v>1</v>
      </c>
      <c r="E304" s="20" t="str">
        <f aca="false">'Raw Data'!E304</f>
        <v>own</v>
      </c>
      <c r="F304" s="20" t="str">
        <f aca="false">'Raw Data'!F304</f>
        <v>none</v>
      </c>
      <c r="G304" s="20" t="str">
        <f aca="false">'Raw Data'!G304</f>
        <v>rich</v>
      </c>
      <c r="H304" s="20" t="n">
        <f aca="false">'Raw Data'!H304</f>
        <v>1344</v>
      </c>
      <c r="I304" s="20" t="n">
        <f aca="false">'Raw Data'!I304</f>
        <v>24</v>
      </c>
      <c r="J304" s="20" t="str">
        <f aca="false">'Raw Data'!J304</f>
        <v>car</v>
      </c>
      <c r="K304" s="21" t="n">
        <f aca="false">H304/I304</f>
        <v>56</v>
      </c>
      <c r="L304" s="21" t="n">
        <f aca="false">100-MIN(K304/Assumptions!$B$14,1)*100</f>
        <v>86</v>
      </c>
      <c r="M304" s="21" t="n">
        <f aca="false">VLOOKUP(F304,Assumptions!$A$19:$B$23,2,0)</f>
        <v>40</v>
      </c>
      <c r="N304" s="21" t="n">
        <f aca="false">VLOOKUP(G304,Assumptions!$A$27:$B$30,2,0)</f>
        <v>100</v>
      </c>
      <c r="O304" s="21" t="n">
        <f aca="false">VLOOKUP(D304,Assumptions!$A$34:$B$37,2,0)</f>
        <v>33</v>
      </c>
      <c r="P304" s="21" t="n">
        <f aca="false">VLOOKUP(E304,Assumptions!$A$41:$B$43,2,0)</f>
        <v>100</v>
      </c>
      <c r="Q304" s="22" t="n">
        <f aca="false">L304*Assumptions!$B$7+M304*Assumptions!$B$8+N304*Assumptions!$B$9+O304*Assumptions!$B$10+P304*Assumptions!$B$11</f>
        <v>70.75</v>
      </c>
      <c r="R304" s="11" t="str">
        <f aca="false">IF(Q304&lt;=33,"High Risk",IF(Q304&lt;=66,"Medium Risk","Low Risk"))</f>
        <v>Low Risk</v>
      </c>
    </row>
    <row r="305" customFormat="false" ht="15" hidden="false" customHeight="true" outlineLevel="0" collapsed="false">
      <c r="A305" s="20" t="n">
        <f aca="false">'Raw Data'!A305</f>
        <v>304</v>
      </c>
      <c r="B305" s="20" t="n">
        <f aca="false">'Raw Data'!B305</f>
        <v>49</v>
      </c>
      <c r="C305" s="20" t="str">
        <f aca="false">'Raw Data'!C305</f>
        <v>male</v>
      </c>
      <c r="D305" s="20" t="n">
        <f aca="false">'Raw Data'!D305</f>
        <v>2</v>
      </c>
      <c r="E305" s="20" t="str">
        <f aca="false">'Raw Data'!E305</f>
        <v>own</v>
      </c>
      <c r="F305" s="20" t="str">
        <f aca="false">'Raw Data'!F305</f>
        <v>little</v>
      </c>
      <c r="G305" s="20" t="str">
        <f aca="false">'Raw Data'!G305</f>
        <v>little</v>
      </c>
      <c r="H305" s="20" t="n">
        <f aca="false">'Raw Data'!H305</f>
        <v>1038</v>
      </c>
      <c r="I305" s="20" t="n">
        <f aca="false">'Raw Data'!I305</f>
        <v>10</v>
      </c>
      <c r="J305" s="20" t="str">
        <f aca="false">'Raw Data'!J305</f>
        <v>car</v>
      </c>
      <c r="K305" s="21" t="n">
        <f aca="false">H305/I305</f>
        <v>103.8</v>
      </c>
      <c r="L305" s="21" t="n">
        <f aca="false">100-MIN(K305/Assumptions!$B$14,1)*100</f>
        <v>74.05</v>
      </c>
      <c r="M305" s="21" t="n">
        <f aca="false">VLOOKUP(F305,Assumptions!$A$19:$B$23,2,0)</f>
        <v>25</v>
      </c>
      <c r="N305" s="21" t="n">
        <f aca="false">VLOOKUP(G305,Assumptions!$A$27:$B$30,2,0)</f>
        <v>25</v>
      </c>
      <c r="O305" s="21" t="n">
        <f aca="false">VLOOKUP(D305,Assumptions!$A$34:$B$37,2,0)</f>
        <v>66</v>
      </c>
      <c r="P305" s="21" t="n">
        <f aca="false">VLOOKUP(E305,Assumptions!$A$41:$B$43,2,0)</f>
        <v>100</v>
      </c>
      <c r="Q305" s="22" t="n">
        <f aca="false">L305*Assumptions!$B$7+M305*Assumptions!$B$8+N305*Assumptions!$B$9+O305*Assumptions!$B$10+P305*Assumptions!$B$11</f>
        <v>53.365</v>
      </c>
      <c r="R305" s="11" t="str">
        <f aca="false">IF(Q305&lt;=33,"High Risk",IF(Q305&lt;=66,"Medium Risk","Low Risk"))</f>
        <v>Medium Risk</v>
      </c>
    </row>
    <row r="306" customFormat="false" ht="15" hidden="false" customHeight="true" outlineLevel="0" collapsed="false">
      <c r="A306" s="20" t="n">
        <f aca="false">'Raw Data'!A306</f>
        <v>305</v>
      </c>
      <c r="B306" s="20" t="n">
        <f aca="false">'Raw Data'!B306</f>
        <v>44</v>
      </c>
      <c r="C306" s="20" t="str">
        <f aca="false">'Raw Data'!C306</f>
        <v>male</v>
      </c>
      <c r="D306" s="20" t="n">
        <f aca="false">'Raw Data'!D306</f>
        <v>2</v>
      </c>
      <c r="E306" s="20" t="str">
        <f aca="false">'Raw Data'!E306</f>
        <v>free</v>
      </c>
      <c r="F306" s="20" t="str">
        <f aca="false">'Raw Data'!F306</f>
        <v>quite rich</v>
      </c>
      <c r="G306" s="20" t="str">
        <f aca="false">'Raw Data'!G306</f>
        <v>none</v>
      </c>
      <c r="H306" s="20" t="n">
        <f aca="false">'Raw Data'!H306</f>
        <v>10127</v>
      </c>
      <c r="I306" s="20" t="n">
        <f aca="false">'Raw Data'!I306</f>
        <v>48</v>
      </c>
      <c r="J306" s="20" t="str">
        <f aca="false">'Raw Data'!J306</f>
        <v>car</v>
      </c>
      <c r="K306" s="21" t="n">
        <f aca="false">H306/I306</f>
        <v>210.979166666667</v>
      </c>
      <c r="L306" s="21" t="n">
        <f aca="false">100-MIN(K306/Assumptions!$B$14,1)*100</f>
        <v>47.2552083333333</v>
      </c>
      <c r="M306" s="21" t="n">
        <f aca="false">VLOOKUP(F306,Assumptions!$A$19:$B$23,2,0)</f>
        <v>75</v>
      </c>
      <c r="N306" s="21" t="n">
        <f aca="false">VLOOKUP(G306,Assumptions!$A$27:$B$30,2,0)</f>
        <v>50</v>
      </c>
      <c r="O306" s="21" t="n">
        <f aca="false">VLOOKUP(D306,Assumptions!$A$34:$B$37,2,0)</f>
        <v>66</v>
      </c>
      <c r="P306" s="21" t="n">
        <f aca="false">VLOOKUP(E306,Assumptions!$A$41:$B$43,2,0)</f>
        <v>60</v>
      </c>
      <c r="Q306" s="22" t="n">
        <f aca="false">L306*Assumptions!$B$7+M306*Assumptions!$B$8+N306*Assumptions!$B$9+O306*Assumptions!$B$10+P306*Assumptions!$B$11</f>
        <v>58.8265625</v>
      </c>
      <c r="R306" s="11" t="str">
        <f aca="false">IF(Q306&lt;=33,"High Risk",IF(Q306&lt;=66,"Medium Risk","Low Risk"))</f>
        <v>Medium Risk</v>
      </c>
    </row>
    <row r="307" customFormat="false" ht="15" hidden="false" customHeight="true" outlineLevel="0" collapsed="false">
      <c r="A307" s="20" t="n">
        <f aca="false">'Raw Data'!A307</f>
        <v>306</v>
      </c>
      <c r="B307" s="20" t="n">
        <f aca="false">'Raw Data'!B307</f>
        <v>33</v>
      </c>
      <c r="C307" s="20" t="str">
        <f aca="false">'Raw Data'!C307</f>
        <v>male</v>
      </c>
      <c r="D307" s="20" t="n">
        <f aca="false">'Raw Data'!D307</f>
        <v>2</v>
      </c>
      <c r="E307" s="20" t="str">
        <f aca="false">'Raw Data'!E307</f>
        <v>own</v>
      </c>
      <c r="F307" s="20" t="str">
        <f aca="false">'Raw Data'!F307</f>
        <v>rich</v>
      </c>
      <c r="G307" s="20" t="str">
        <f aca="false">'Raw Data'!G307</f>
        <v>none</v>
      </c>
      <c r="H307" s="20" t="n">
        <f aca="false">'Raw Data'!H307</f>
        <v>1543</v>
      </c>
      <c r="I307" s="20" t="n">
        <f aca="false">'Raw Data'!I307</f>
        <v>6</v>
      </c>
      <c r="J307" s="20" t="str">
        <f aca="false">'Raw Data'!J307</f>
        <v>furniture/equipment</v>
      </c>
      <c r="K307" s="21" t="n">
        <f aca="false">H307/I307</f>
        <v>257.166666666667</v>
      </c>
      <c r="L307" s="21" t="n">
        <f aca="false">100-MIN(K307/Assumptions!$B$14,1)*100</f>
        <v>35.7083333333333</v>
      </c>
      <c r="M307" s="21" t="n">
        <f aca="false">VLOOKUP(F307,Assumptions!$A$19:$B$23,2,0)</f>
        <v>100</v>
      </c>
      <c r="N307" s="21" t="n">
        <f aca="false">VLOOKUP(G307,Assumptions!$A$27:$B$30,2,0)</f>
        <v>50</v>
      </c>
      <c r="O307" s="21" t="n">
        <f aca="false">VLOOKUP(D307,Assumptions!$A$34:$B$37,2,0)</f>
        <v>66</v>
      </c>
      <c r="P307" s="21" t="n">
        <f aca="false">VLOOKUP(E307,Assumptions!$A$41:$B$43,2,0)</f>
        <v>100</v>
      </c>
      <c r="Q307" s="22" t="n">
        <f aca="false">L307*Assumptions!$B$7+M307*Assumptions!$B$8+N307*Assumptions!$B$9+O307*Assumptions!$B$10+P307*Assumptions!$B$11</f>
        <v>65.6125</v>
      </c>
      <c r="R307" s="11" t="str">
        <f aca="false">IF(Q307&lt;=33,"High Risk",IF(Q307&lt;=66,"Medium Risk","Low Risk"))</f>
        <v>Medium Risk</v>
      </c>
    </row>
    <row r="308" customFormat="false" ht="15" hidden="false" customHeight="true" outlineLevel="0" collapsed="false">
      <c r="A308" s="20" t="n">
        <f aca="false">'Raw Data'!A308</f>
        <v>307</v>
      </c>
      <c r="B308" s="20" t="n">
        <f aca="false">'Raw Data'!B308</f>
        <v>24</v>
      </c>
      <c r="C308" s="20" t="str">
        <f aca="false">'Raw Data'!C308</f>
        <v>female</v>
      </c>
      <c r="D308" s="20" t="n">
        <f aca="false">'Raw Data'!D308</f>
        <v>1</v>
      </c>
      <c r="E308" s="20" t="str">
        <f aca="false">'Raw Data'!E308</f>
        <v>rent</v>
      </c>
      <c r="F308" s="20" t="str">
        <f aca="false">'Raw Data'!F308</f>
        <v>none</v>
      </c>
      <c r="G308" s="20" t="str">
        <f aca="false">'Raw Data'!G308</f>
        <v>none</v>
      </c>
      <c r="H308" s="20" t="n">
        <f aca="false">'Raw Data'!H308</f>
        <v>4811</v>
      </c>
      <c r="I308" s="20" t="n">
        <f aca="false">'Raw Data'!I308</f>
        <v>30</v>
      </c>
      <c r="J308" s="20" t="str">
        <f aca="false">'Raw Data'!J308</f>
        <v>car</v>
      </c>
      <c r="K308" s="21" t="n">
        <f aca="false">H308/I308</f>
        <v>160.366666666667</v>
      </c>
      <c r="L308" s="21" t="n">
        <f aca="false">100-MIN(K308/Assumptions!$B$14,1)*100</f>
        <v>59.9083333333333</v>
      </c>
      <c r="M308" s="21" t="n">
        <f aca="false">VLOOKUP(F308,Assumptions!$A$19:$B$23,2,0)</f>
        <v>40</v>
      </c>
      <c r="N308" s="21" t="n">
        <f aca="false">VLOOKUP(G308,Assumptions!$A$27:$B$30,2,0)</f>
        <v>50</v>
      </c>
      <c r="O308" s="21" t="n">
        <f aca="false">VLOOKUP(D308,Assumptions!$A$34:$B$37,2,0)</f>
        <v>33</v>
      </c>
      <c r="P308" s="21" t="n">
        <f aca="false">VLOOKUP(E308,Assumptions!$A$41:$B$43,2,0)</f>
        <v>30</v>
      </c>
      <c r="Q308" s="22" t="n">
        <f aca="false">L308*Assumptions!$B$7+M308*Assumptions!$B$8+N308*Assumptions!$B$9+O308*Assumptions!$B$10+P308*Assumptions!$B$11</f>
        <v>45.9225</v>
      </c>
      <c r="R308" s="11" t="str">
        <f aca="false">IF(Q308&lt;=33,"High Risk",IF(Q308&lt;=66,"Medium Risk","Low Risk"))</f>
        <v>Medium Risk</v>
      </c>
    </row>
    <row r="309" customFormat="false" ht="15" hidden="false" customHeight="true" outlineLevel="0" collapsed="false">
      <c r="A309" s="20" t="n">
        <f aca="false">'Raw Data'!A309</f>
        <v>308</v>
      </c>
      <c r="B309" s="20" t="n">
        <f aca="false">'Raw Data'!B309</f>
        <v>33</v>
      </c>
      <c r="C309" s="20" t="str">
        <f aca="false">'Raw Data'!C309</f>
        <v>male</v>
      </c>
      <c r="D309" s="20" t="n">
        <f aca="false">'Raw Data'!D309</f>
        <v>1</v>
      </c>
      <c r="E309" s="20" t="str">
        <f aca="false">'Raw Data'!E309</f>
        <v>own</v>
      </c>
      <c r="F309" s="20" t="str">
        <f aca="false">'Raw Data'!F309</f>
        <v>moderate</v>
      </c>
      <c r="G309" s="20" t="str">
        <f aca="false">'Raw Data'!G309</f>
        <v>little</v>
      </c>
      <c r="H309" s="20" t="n">
        <f aca="false">'Raw Data'!H309</f>
        <v>727</v>
      </c>
      <c r="I309" s="20" t="n">
        <f aca="false">'Raw Data'!I309</f>
        <v>12</v>
      </c>
      <c r="J309" s="20" t="str">
        <f aca="false">'Raw Data'!J309</f>
        <v>radio/TV</v>
      </c>
      <c r="K309" s="21" t="n">
        <f aca="false">H309/I309</f>
        <v>60.5833333333333</v>
      </c>
      <c r="L309" s="21" t="n">
        <f aca="false">100-MIN(K309/Assumptions!$B$14,1)*100</f>
        <v>84.8541666666667</v>
      </c>
      <c r="M309" s="21" t="n">
        <f aca="false">VLOOKUP(F309,Assumptions!$A$19:$B$23,2,0)</f>
        <v>50</v>
      </c>
      <c r="N309" s="21" t="n">
        <f aca="false">VLOOKUP(G309,Assumptions!$A$27:$B$30,2,0)</f>
        <v>25</v>
      </c>
      <c r="O309" s="21" t="n">
        <f aca="false">VLOOKUP(D309,Assumptions!$A$34:$B$37,2,0)</f>
        <v>33</v>
      </c>
      <c r="P309" s="21" t="n">
        <f aca="false">VLOOKUP(E309,Assumptions!$A$41:$B$43,2,0)</f>
        <v>100</v>
      </c>
      <c r="Q309" s="22" t="n">
        <f aca="false">L309*Assumptions!$B$7+M309*Assumptions!$B$8+N309*Assumptions!$B$9+O309*Assumptions!$B$10+P309*Assumptions!$B$11</f>
        <v>57.90625</v>
      </c>
      <c r="R309" s="11" t="str">
        <f aca="false">IF(Q309&lt;=33,"High Risk",IF(Q309&lt;=66,"Medium Risk","Low Risk"))</f>
        <v>Medium Risk</v>
      </c>
    </row>
    <row r="310" customFormat="false" ht="15" hidden="false" customHeight="true" outlineLevel="0" collapsed="false">
      <c r="A310" s="20" t="n">
        <f aca="false">'Raw Data'!A310</f>
        <v>309</v>
      </c>
      <c r="B310" s="20" t="n">
        <f aca="false">'Raw Data'!B310</f>
        <v>24</v>
      </c>
      <c r="C310" s="20" t="str">
        <f aca="false">'Raw Data'!C310</f>
        <v>female</v>
      </c>
      <c r="D310" s="20" t="n">
        <f aca="false">'Raw Data'!D310</f>
        <v>2</v>
      </c>
      <c r="E310" s="20" t="str">
        <f aca="false">'Raw Data'!E310</f>
        <v>own</v>
      </c>
      <c r="F310" s="20" t="str">
        <f aca="false">'Raw Data'!F310</f>
        <v>little</v>
      </c>
      <c r="G310" s="20" t="str">
        <f aca="false">'Raw Data'!G310</f>
        <v>moderate</v>
      </c>
      <c r="H310" s="20" t="n">
        <f aca="false">'Raw Data'!H310</f>
        <v>1237</v>
      </c>
      <c r="I310" s="20" t="n">
        <f aca="false">'Raw Data'!I310</f>
        <v>8</v>
      </c>
      <c r="J310" s="20" t="str">
        <f aca="false">'Raw Data'!J310</f>
        <v>furniture/equipment</v>
      </c>
      <c r="K310" s="21" t="n">
        <f aca="false">H310/I310</f>
        <v>154.625</v>
      </c>
      <c r="L310" s="21" t="n">
        <f aca="false">100-MIN(K310/Assumptions!$B$14,1)*100</f>
        <v>61.34375</v>
      </c>
      <c r="M310" s="21" t="n">
        <f aca="false">VLOOKUP(F310,Assumptions!$A$19:$B$23,2,0)</f>
        <v>25</v>
      </c>
      <c r="N310" s="21" t="n">
        <f aca="false">VLOOKUP(G310,Assumptions!$A$27:$B$30,2,0)</f>
        <v>60</v>
      </c>
      <c r="O310" s="21" t="n">
        <f aca="false">VLOOKUP(D310,Assumptions!$A$34:$B$37,2,0)</f>
        <v>66</v>
      </c>
      <c r="P310" s="21" t="n">
        <f aca="false">VLOOKUP(E310,Assumptions!$A$41:$B$43,2,0)</f>
        <v>100</v>
      </c>
      <c r="Q310" s="22" t="n">
        <f aca="false">L310*Assumptions!$B$7+M310*Assumptions!$B$8+N310*Assumptions!$B$9+O310*Assumptions!$B$10+P310*Assumptions!$B$11</f>
        <v>56.553125</v>
      </c>
      <c r="R310" s="11" t="str">
        <f aca="false">IF(Q310&lt;=33,"High Risk",IF(Q310&lt;=66,"Medium Risk","Low Risk"))</f>
        <v>Medium Risk</v>
      </c>
    </row>
    <row r="311" customFormat="false" ht="15" hidden="false" customHeight="true" outlineLevel="0" collapsed="false">
      <c r="A311" s="20" t="n">
        <f aca="false">'Raw Data'!A311</f>
        <v>310</v>
      </c>
      <c r="B311" s="20" t="n">
        <f aca="false">'Raw Data'!B311</f>
        <v>22</v>
      </c>
      <c r="C311" s="20" t="str">
        <f aca="false">'Raw Data'!C311</f>
        <v>male</v>
      </c>
      <c r="D311" s="20" t="n">
        <f aca="false">'Raw Data'!D311</f>
        <v>1</v>
      </c>
      <c r="E311" s="20" t="str">
        <f aca="false">'Raw Data'!E311</f>
        <v>rent</v>
      </c>
      <c r="F311" s="20" t="str">
        <f aca="false">'Raw Data'!F311</f>
        <v>little</v>
      </c>
      <c r="G311" s="20" t="str">
        <f aca="false">'Raw Data'!G311</f>
        <v>moderate</v>
      </c>
      <c r="H311" s="20" t="n">
        <f aca="false">'Raw Data'!H311</f>
        <v>276</v>
      </c>
      <c r="I311" s="20" t="n">
        <f aca="false">'Raw Data'!I311</f>
        <v>9</v>
      </c>
      <c r="J311" s="20" t="str">
        <f aca="false">'Raw Data'!J311</f>
        <v>car</v>
      </c>
      <c r="K311" s="21" t="n">
        <f aca="false">H311/I311</f>
        <v>30.6666666666667</v>
      </c>
      <c r="L311" s="21" t="n">
        <f aca="false">100-MIN(K311/Assumptions!$B$14,1)*100</f>
        <v>92.3333333333333</v>
      </c>
      <c r="M311" s="21" t="n">
        <f aca="false">VLOOKUP(F311,Assumptions!$A$19:$B$23,2,0)</f>
        <v>25</v>
      </c>
      <c r="N311" s="21" t="n">
        <f aca="false">VLOOKUP(G311,Assumptions!$A$27:$B$30,2,0)</f>
        <v>60</v>
      </c>
      <c r="O311" s="21" t="n">
        <f aca="false">VLOOKUP(D311,Assumptions!$A$34:$B$37,2,0)</f>
        <v>33</v>
      </c>
      <c r="P311" s="21" t="n">
        <f aca="false">VLOOKUP(E311,Assumptions!$A$41:$B$43,2,0)</f>
        <v>30</v>
      </c>
      <c r="Q311" s="22" t="n">
        <f aca="false">L311*Assumptions!$B$7+M311*Assumptions!$B$8+N311*Assumptions!$B$9+O311*Assumptions!$B$10+P311*Assumptions!$B$11</f>
        <v>53.9</v>
      </c>
      <c r="R311" s="11" t="str">
        <f aca="false">IF(Q311&lt;=33,"High Risk",IF(Q311&lt;=66,"Medium Risk","Low Risk"))</f>
        <v>Medium Risk</v>
      </c>
    </row>
    <row r="312" customFormat="false" ht="15" hidden="false" customHeight="true" outlineLevel="0" collapsed="false">
      <c r="A312" s="20" t="n">
        <f aca="false">'Raw Data'!A312</f>
        <v>311</v>
      </c>
      <c r="B312" s="20" t="n">
        <f aca="false">'Raw Data'!B312</f>
        <v>40</v>
      </c>
      <c r="C312" s="20" t="str">
        <f aca="false">'Raw Data'!C312</f>
        <v>male</v>
      </c>
      <c r="D312" s="20" t="n">
        <f aca="false">'Raw Data'!D312</f>
        <v>0</v>
      </c>
      <c r="E312" s="20" t="str">
        <f aca="false">'Raw Data'!E312</f>
        <v>free</v>
      </c>
      <c r="F312" s="20" t="str">
        <f aca="false">'Raw Data'!F312</f>
        <v>none</v>
      </c>
      <c r="G312" s="20" t="str">
        <f aca="false">'Raw Data'!G312</f>
        <v>moderate</v>
      </c>
      <c r="H312" s="20" t="n">
        <f aca="false">'Raw Data'!H312</f>
        <v>5381</v>
      </c>
      <c r="I312" s="20" t="n">
        <f aca="false">'Raw Data'!I312</f>
        <v>48</v>
      </c>
      <c r="J312" s="20" t="str">
        <f aca="false">'Raw Data'!J312</f>
        <v>vacation/others</v>
      </c>
      <c r="K312" s="21" t="n">
        <f aca="false">H312/I312</f>
        <v>112.104166666667</v>
      </c>
      <c r="L312" s="21" t="n">
        <f aca="false">100-MIN(K312/Assumptions!$B$14,1)*100</f>
        <v>71.9739583333333</v>
      </c>
      <c r="M312" s="21" t="n">
        <f aca="false">VLOOKUP(F312,Assumptions!$A$19:$B$23,2,0)</f>
        <v>40</v>
      </c>
      <c r="N312" s="21" t="n">
        <f aca="false">VLOOKUP(G312,Assumptions!$A$27:$B$30,2,0)</f>
        <v>60</v>
      </c>
      <c r="O312" s="21" t="n">
        <f aca="false">VLOOKUP(D312,Assumptions!$A$34:$B$37,2,0)</f>
        <v>0</v>
      </c>
      <c r="P312" s="21" t="n">
        <f aca="false">VLOOKUP(E312,Assumptions!$A$41:$B$43,2,0)</f>
        <v>60</v>
      </c>
      <c r="Q312" s="22" t="n">
        <f aca="false">L312*Assumptions!$B$7+M312*Assumptions!$B$8+N312*Assumptions!$B$9+O312*Assumptions!$B$10+P312*Assumptions!$B$11</f>
        <v>49.5921875</v>
      </c>
      <c r="R312" s="11" t="str">
        <f aca="false">IF(Q312&lt;=33,"High Risk",IF(Q312&lt;=66,"Medium Risk","Low Risk"))</f>
        <v>Medium Risk</v>
      </c>
    </row>
    <row r="313" customFormat="false" ht="15" hidden="false" customHeight="true" outlineLevel="0" collapsed="false">
      <c r="A313" s="20" t="n">
        <f aca="false">'Raw Data'!A313</f>
        <v>312</v>
      </c>
      <c r="B313" s="20" t="n">
        <f aca="false">'Raw Data'!B313</f>
        <v>25</v>
      </c>
      <c r="C313" s="20" t="str">
        <f aca="false">'Raw Data'!C313</f>
        <v>male</v>
      </c>
      <c r="D313" s="20" t="n">
        <f aca="false">'Raw Data'!D313</f>
        <v>2</v>
      </c>
      <c r="E313" s="20" t="str">
        <f aca="false">'Raw Data'!E313</f>
        <v>own</v>
      </c>
      <c r="F313" s="20" t="str">
        <f aca="false">'Raw Data'!F313</f>
        <v>moderate</v>
      </c>
      <c r="G313" s="20" t="str">
        <f aca="false">'Raw Data'!G313</f>
        <v>none</v>
      </c>
      <c r="H313" s="20" t="n">
        <f aca="false">'Raw Data'!H313</f>
        <v>5511</v>
      </c>
      <c r="I313" s="20" t="n">
        <f aca="false">'Raw Data'!I313</f>
        <v>24</v>
      </c>
      <c r="J313" s="20" t="str">
        <f aca="false">'Raw Data'!J313</f>
        <v>furniture/equipment</v>
      </c>
      <c r="K313" s="21" t="n">
        <f aca="false">H313/I313</f>
        <v>229.625</v>
      </c>
      <c r="L313" s="21" t="n">
        <f aca="false">100-MIN(K313/Assumptions!$B$14,1)*100</f>
        <v>42.59375</v>
      </c>
      <c r="M313" s="21" t="n">
        <f aca="false">VLOOKUP(F313,Assumptions!$A$19:$B$23,2,0)</f>
        <v>50</v>
      </c>
      <c r="N313" s="21" t="n">
        <f aca="false">VLOOKUP(G313,Assumptions!$A$27:$B$30,2,0)</f>
        <v>50</v>
      </c>
      <c r="O313" s="21" t="n">
        <f aca="false">VLOOKUP(D313,Assumptions!$A$34:$B$37,2,0)</f>
        <v>66</v>
      </c>
      <c r="P313" s="21" t="n">
        <f aca="false">VLOOKUP(E313,Assumptions!$A$41:$B$43,2,0)</f>
        <v>100</v>
      </c>
      <c r="Q313" s="22" t="n">
        <f aca="false">L313*Assumptions!$B$7+M313*Assumptions!$B$8+N313*Assumptions!$B$9+O313*Assumptions!$B$10+P313*Assumptions!$B$11</f>
        <v>55.178125</v>
      </c>
      <c r="R313" s="11" t="str">
        <f aca="false">IF(Q313&lt;=33,"High Risk",IF(Q313&lt;=66,"Medium Risk","Low Risk"))</f>
        <v>Medium Risk</v>
      </c>
    </row>
    <row r="314" customFormat="false" ht="15" hidden="false" customHeight="true" outlineLevel="0" collapsed="false">
      <c r="A314" s="20" t="n">
        <f aca="false">'Raw Data'!A314</f>
        <v>313</v>
      </c>
      <c r="B314" s="20" t="n">
        <f aca="false">'Raw Data'!B314</f>
        <v>26</v>
      </c>
      <c r="C314" s="20" t="str">
        <f aca="false">'Raw Data'!C314</f>
        <v>female</v>
      </c>
      <c r="D314" s="20" t="n">
        <f aca="false">'Raw Data'!D314</f>
        <v>2</v>
      </c>
      <c r="E314" s="20" t="str">
        <f aca="false">'Raw Data'!E314</f>
        <v>own</v>
      </c>
      <c r="F314" s="20" t="str">
        <f aca="false">'Raw Data'!F314</f>
        <v>little</v>
      </c>
      <c r="G314" s="20" t="str">
        <f aca="false">'Raw Data'!G314</f>
        <v>rich</v>
      </c>
      <c r="H314" s="20" t="n">
        <f aca="false">'Raw Data'!H314</f>
        <v>3749</v>
      </c>
      <c r="I314" s="20" t="n">
        <f aca="false">'Raw Data'!I314</f>
        <v>24</v>
      </c>
      <c r="J314" s="20" t="str">
        <f aca="false">'Raw Data'!J314</f>
        <v>furniture/equipment</v>
      </c>
      <c r="K314" s="21" t="n">
        <f aca="false">H314/I314</f>
        <v>156.208333333333</v>
      </c>
      <c r="L314" s="21" t="n">
        <f aca="false">100-MIN(K314/Assumptions!$B$14,1)*100</f>
        <v>60.9479166666667</v>
      </c>
      <c r="M314" s="21" t="n">
        <f aca="false">VLOOKUP(F314,Assumptions!$A$19:$B$23,2,0)</f>
        <v>25</v>
      </c>
      <c r="N314" s="21" t="n">
        <f aca="false">VLOOKUP(G314,Assumptions!$A$27:$B$30,2,0)</f>
        <v>100</v>
      </c>
      <c r="O314" s="21" t="n">
        <f aca="false">VLOOKUP(D314,Assumptions!$A$34:$B$37,2,0)</f>
        <v>66</v>
      </c>
      <c r="P314" s="21" t="n">
        <f aca="false">VLOOKUP(E314,Assumptions!$A$41:$B$43,2,0)</f>
        <v>100</v>
      </c>
      <c r="Q314" s="22" t="n">
        <f aca="false">L314*Assumptions!$B$7+M314*Assumptions!$B$8+N314*Assumptions!$B$9+O314*Assumptions!$B$10+P314*Assumptions!$B$11</f>
        <v>64.434375</v>
      </c>
      <c r="R314" s="11" t="str">
        <f aca="false">IF(Q314&lt;=33,"High Risk",IF(Q314&lt;=66,"Medium Risk","Low Risk"))</f>
        <v>Medium Risk</v>
      </c>
    </row>
    <row r="315" customFormat="false" ht="15" hidden="false" customHeight="true" outlineLevel="0" collapsed="false">
      <c r="A315" s="20" t="n">
        <f aca="false">'Raw Data'!A315</f>
        <v>314</v>
      </c>
      <c r="B315" s="20" t="n">
        <f aca="false">'Raw Data'!B315</f>
        <v>25</v>
      </c>
      <c r="C315" s="20" t="str">
        <f aca="false">'Raw Data'!C315</f>
        <v>male</v>
      </c>
      <c r="D315" s="20" t="n">
        <f aca="false">'Raw Data'!D315</f>
        <v>1</v>
      </c>
      <c r="E315" s="20" t="str">
        <f aca="false">'Raw Data'!E315</f>
        <v>own</v>
      </c>
      <c r="F315" s="20" t="str">
        <f aca="false">'Raw Data'!F315</f>
        <v>little</v>
      </c>
      <c r="G315" s="20" t="str">
        <f aca="false">'Raw Data'!G315</f>
        <v>moderate</v>
      </c>
      <c r="H315" s="20" t="n">
        <f aca="false">'Raw Data'!H315</f>
        <v>685</v>
      </c>
      <c r="I315" s="20" t="n">
        <f aca="false">'Raw Data'!I315</f>
        <v>12</v>
      </c>
      <c r="J315" s="20" t="str">
        <f aca="false">'Raw Data'!J315</f>
        <v>car</v>
      </c>
      <c r="K315" s="21" t="n">
        <f aca="false">H315/I315</f>
        <v>57.0833333333333</v>
      </c>
      <c r="L315" s="21" t="n">
        <f aca="false">100-MIN(K315/Assumptions!$B$14,1)*100</f>
        <v>85.7291666666667</v>
      </c>
      <c r="M315" s="21" t="n">
        <f aca="false">VLOOKUP(F315,Assumptions!$A$19:$B$23,2,0)</f>
        <v>25</v>
      </c>
      <c r="N315" s="21" t="n">
        <f aca="false">VLOOKUP(G315,Assumptions!$A$27:$B$30,2,0)</f>
        <v>60</v>
      </c>
      <c r="O315" s="21" t="n">
        <f aca="false">VLOOKUP(D315,Assumptions!$A$34:$B$37,2,0)</f>
        <v>33</v>
      </c>
      <c r="P315" s="21" t="n">
        <f aca="false">VLOOKUP(E315,Assumptions!$A$41:$B$43,2,0)</f>
        <v>100</v>
      </c>
      <c r="Q315" s="22" t="n">
        <f aca="false">L315*Assumptions!$B$7+M315*Assumptions!$B$8+N315*Assumptions!$B$9+O315*Assumptions!$B$10+P315*Assumptions!$B$11</f>
        <v>58.91875</v>
      </c>
      <c r="R315" s="11" t="str">
        <f aca="false">IF(Q315&lt;=33,"High Risk",IF(Q315&lt;=66,"Medium Risk","Low Risk"))</f>
        <v>Medium Risk</v>
      </c>
    </row>
    <row r="316" customFormat="false" ht="15" hidden="false" customHeight="true" outlineLevel="0" collapsed="false">
      <c r="A316" s="20" t="n">
        <f aca="false">'Raw Data'!A316</f>
        <v>315</v>
      </c>
      <c r="B316" s="20" t="n">
        <f aca="false">'Raw Data'!B316</f>
        <v>29</v>
      </c>
      <c r="C316" s="20" t="str">
        <f aca="false">'Raw Data'!C316</f>
        <v>male</v>
      </c>
      <c r="D316" s="20" t="n">
        <f aca="false">'Raw Data'!D316</f>
        <v>1</v>
      </c>
      <c r="E316" s="20" t="str">
        <f aca="false">'Raw Data'!E316</f>
        <v>own</v>
      </c>
      <c r="F316" s="20" t="str">
        <f aca="false">'Raw Data'!F316</f>
        <v>none</v>
      </c>
      <c r="G316" s="20" t="str">
        <f aca="false">'Raw Data'!G316</f>
        <v>rich</v>
      </c>
      <c r="H316" s="20" t="n">
        <f aca="false">'Raw Data'!H316</f>
        <v>1494</v>
      </c>
      <c r="I316" s="20" t="n">
        <f aca="false">'Raw Data'!I316</f>
        <v>4</v>
      </c>
      <c r="J316" s="20" t="str">
        <f aca="false">'Raw Data'!J316</f>
        <v>car</v>
      </c>
      <c r="K316" s="21" t="n">
        <f aca="false">H316/I316</f>
        <v>373.5</v>
      </c>
      <c r="L316" s="21" t="n">
        <f aca="false">100-MIN(K316/Assumptions!$B$14,1)*100</f>
        <v>6.625</v>
      </c>
      <c r="M316" s="21" t="n">
        <f aca="false">VLOOKUP(F316,Assumptions!$A$19:$B$23,2,0)</f>
        <v>40</v>
      </c>
      <c r="N316" s="21" t="n">
        <f aca="false">VLOOKUP(G316,Assumptions!$A$27:$B$30,2,0)</f>
        <v>100</v>
      </c>
      <c r="O316" s="21" t="n">
        <f aca="false">VLOOKUP(D316,Assumptions!$A$34:$B$37,2,0)</f>
        <v>33</v>
      </c>
      <c r="P316" s="21" t="n">
        <f aca="false">VLOOKUP(E316,Assumptions!$A$41:$B$43,2,0)</f>
        <v>100</v>
      </c>
      <c r="Q316" s="22" t="n">
        <f aca="false">L316*Assumptions!$B$7+M316*Assumptions!$B$8+N316*Assumptions!$B$9+O316*Assumptions!$B$10+P316*Assumptions!$B$11</f>
        <v>46.9375</v>
      </c>
      <c r="R316" s="11" t="str">
        <f aca="false">IF(Q316&lt;=33,"High Risk",IF(Q316&lt;=66,"Medium Risk","Low Risk"))</f>
        <v>Medium Risk</v>
      </c>
    </row>
    <row r="317" customFormat="false" ht="15" hidden="false" customHeight="true" outlineLevel="0" collapsed="false">
      <c r="A317" s="20" t="n">
        <f aca="false">'Raw Data'!A317</f>
        <v>316</v>
      </c>
      <c r="B317" s="20" t="n">
        <f aca="false">'Raw Data'!B317</f>
        <v>31</v>
      </c>
      <c r="C317" s="20" t="str">
        <f aca="false">'Raw Data'!C317</f>
        <v>male</v>
      </c>
      <c r="D317" s="20" t="n">
        <f aca="false">'Raw Data'!D317</f>
        <v>2</v>
      </c>
      <c r="E317" s="20" t="str">
        <f aca="false">'Raw Data'!E317</f>
        <v>own</v>
      </c>
      <c r="F317" s="20" t="str">
        <f aca="false">'Raw Data'!F317</f>
        <v>little</v>
      </c>
      <c r="G317" s="20" t="str">
        <f aca="false">'Raw Data'!G317</f>
        <v>little</v>
      </c>
      <c r="H317" s="20" t="n">
        <f aca="false">'Raw Data'!H317</f>
        <v>2746</v>
      </c>
      <c r="I317" s="20" t="n">
        <f aca="false">'Raw Data'!I317</f>
        <v>36</v>
      </c>
      <c r="J317" s="20" t="str">
        <f aca="false">'Raw Data'!J317</f>
        <v>furniture/equipment</v>
      </c>
      <c r="K317" s="21" t="n">
        <f aca="false">H317/I317</f>
        <v>76.2777777777778</v>
      </c>
      <c r="L317" s="21" t="n">
        <f aca="false">100-MIN(K317/Assumptions!$B$14,1)*100</f>
        <v>80.9305555555556</v>
      </c>
      <c r="M317" s="21" t="n">
        <f aca="false">VLOOKUP(F317,Assumptions!$A$19:$B$23,2,0)</f>
        <v>25</v>
      </c>
      <c r="N317" s="21" t="n">
        <f aca="false">VLOOKUP(G317,Assumptions!$A$27:$B$30,2,0)</f>
        <v>25</v>
      </c>
      <c r="O317" s="21" t="n">
        <f aca="false">VLOOKUP(D317,Assumptions!$A$34:$B$37,2,0)</f>
        <v>66</v>
      </c>
      <c r="P317" s="21" t="n">
        <f aca="false">VLOOKUP(E317,Assumptions!$A$41:$B$43,2,0)</f>
        <v>100</v>
      </c>
      <c r="Q317" s="22" t="n">
        <f aca="false">L317*Assumptions!$B$7+M317*Assumptions!$B$8+N317*Assumptions!$B$9+O317*Assumptions!$B$10+P317*Assumptions!$B$11</f>
        <v>55.4291666666667</v>
      </c>
      <c r="R317" s="11" t="str">
        <f aca="false">IF(Q317&lt;=33,"High Risk",IF(Q317&lt;=66,"Medium Risk","Low Risk"))</f>
        <v>Medium Risk</v>
      </c>
    </row>
    <row r="318" customFormat="false" ht="15" hidden="false" customHeight="true" outlineLevel="0" collapsed="false">
      <c r="A318" s="20" t="n">
        <f aca="false">'Raw Data'!A318</f>
        <v>317</v>
      </c>
      <c r="B318" s="20" t="n">
        <f aca="false">'Raw Data'!B318</f>
        <v>38</v>
      </c>
      <c r="C318" s="20" t="str">
        <f aca="false">'Raw Data'!C318</f>
        <v>male</v>
      </c>
      <c r="D318" s="20" t="n">
        <f aca="false">'Raw Data'!D318</f>
        <v>1</v>
      </c>
      <c r="E318" s="20" t="str">
        <f aca="false">'Raw Data'!E318</f>
        <v>own</v>
      </c>
      <c r="F318" s="20" t="str">
        <f aca="false">'Raw Data'!F318</f>
        <v>little</v>
      </c>
      <c r="G318" s="20" t="str">
        <f aca="false">'Raw Data'!G318</f>
        <v>little</v>
      </c>
      <c r="H318" s="20" t="n">
        <f aca="false">'Raw Data'!H318</f>
        <v>708</v>
      </c>
      <c r="I318" s="20" t="n">
        <f aca="false">'Raw Data'!I318</f>
        <v>12</v>
      </c>
      <c r="J318" s="20" t="str">
        <f aca="false">'Raw Data'!J318</f>
        <v>furniture/equipment</v>
      </c>
      <c r="K318" s="21" t="n">
        <f aca="false">H318/I318</f>
        <v>59</v>
      </c>
      <c r="L318" s="21" t="n">
        <f aca="false">100-MIN(K318/Assumptions!$B$14,1)*100</f>
        <v>85.25</v>
      </c>
      <c r="M318" s="21" t="n">
        <f aca="false">VLOOKUP(F318,Assumptions!$A$19:$B$23,2,0)</f>
        <v>25</v>
      </c>
      <c r="N318" s="21" t="n">
        <f aca="false">VLOOKUP(G318,Assumptions!$A$27:$B$30,2,0)</f>
        <v>25</v>
      </c>
      <c r="O318" s="21" t="n">
        <f aca="false">VLOOKUP(D318,Assumptions!$A$34:$B$37,2,0)</f>
        <v>33</v>
      </c>
      <c r="P318" s="21" t="n">
        <f aca="false">VLOOKUP(E318,Assumptions!$A$41:$B$43,2,0)</f>
        <v>100</v>
      </c>
      <c r="Q318" s="22" t="n">
        <f aca="false">L318*Assumptions!$B$7+M318*Assumptions!$B$8+N318*Assumptions!$B$9+O318*Assumptions!$B$10+P318*Assumptions!$B$11</f>
        <v>51.775</v>
      </c>
      <c r="R318" s="11" t="str">
        <f aca="false">IF(Q318&lt;=33,"High Risk",IF(Q318&lt;=66,"Medium Risk","Low Risk"))</f>
        <v>Medium Risk</v>
      </c>
    </row>
    <row r="319" customFormat="false" ht="15" hidden="false" customHeight="true" outlineLevel="0" collapsed="false">
      <c r="A319" s="20" t="n">
        <f aca="false">'Raw Data'!A319</f>
        <v>318</v>
      </c>
      <c r="B319" s="20" t="n">
        <f aca="false">'Raw Data'!B319</f>
        <v>48</v>
      </c>
      <c r="C319" s="20" t="str">
        <f aca="false">'Raw Data'!C319</f>
        <v>female</v>
      </c>
      <c r="D319" s="20" t="n">
        <f aca="false">'Raw Data'!D319</f>
        <v>1</v>
      </c>
      <c r="E319" s="20" t="str">
        <f aca="false">'Raw Data'!E319</f>
        <v>own</v>
      </c>
      <c r="F319" s="20" t="str">
        <f aca="false">'Raw Data'!F319</f>
        <v>none</v>
      </c>
      <c r="G319" s="20" t="str">
        <f aca="false">'Raw Data'!G319</f>
        <v>moderate</v>
      </c>
      <c r="H319" s="20" t="n">
        <f aca="false">'Raw Data'!H319</f>
        <v>4351</v>
      </c>
      <c r="I319" s="20" t="n">
        <f aca="false">'Raw Data'!I319</f>
        <v>24</v>
      </c>
      <c r="J319" s="20" t="str">
        <f aca="false">'Raw Data'!J319</f>
        <v>furniture/equipment</v>
      </c>
      <c r="K319" s="21" t="n">
        <f aca="false">H319/I319</f>
        <v>181.291666666667</v>
      </c>
      <c r="L319" s="21" t="n">
        <f aca="false">100-MIN(K319/Assumptions!$B$14,1)*100</f>
        <v>54.6770833333333</v>
      </c>
      <c r="M319" s="21" t="n">
        <f aca="false">VLOOKUP(F319,Assumptions!$A$19:$B$23,2,0)</f>
        <v>40</v>
      </c>
      <c r="N319" s="21" t="n">
        <f aca="false">VLOOKUP(G319,Assumptions!$A$27:$B$30,2,0)</f>
        <v>60</v>
      </c>
      <c r="O319" s="21" t="n">
        <f aca="false">VLOOKUP(D319,Assumptions!$A$34:$B$37,2,0)</f>
        <v>33</v>
      </c>
      <c r="P319" s="21" t="n">
        <f aca="false">VLOOKUP(E319,Assumptions!$A$41:$B$43,2,0)</f>
        <v>100</v>
      </c>
      <c r="Q319" s="22" t="n">
        <f aca="false">L319*Assumptions!$B$7+M319*Assumptions!$B$8+N319*Assumptions!$B$9+O319*Assumptions!$B$10+P319*Assumptions!$B$11</f>
        <v>53.353125</v>
      </c>
      <c r="R319" s="11" t="str">
        <f aca="false">IF(Q319&lt;=33,"High Risk",IF(Q319&lt;=66,"Medium Risk","Low Risk"))</f>
        <v>Medium Risk</v>
      </c>
    </row>
    <row r="320" customFormat="false" ht="15" hidden="false" customHeight="true" outlineLevel="0" collapsed="false">
      <c r="A320" s="20" t="n">
        <f aca="false">'Raw Data'!A320</f>
        <v>319</v>
      </c>
      <c r="B320" s="20" t="n">
        <f aca="false">'Raw Data'!B320</f>
        <v>32</v>
      </c>
      <c r="C320" s="20" t="str">
        <f aca="false">'Raw Data'!C320</f>
        <v>male</v>
      </c>
      <c r="D320" s="20" t="n">
        <f aca="false">'Raw Data'!D320</f>
        <v>2</v>
      </c>
      <c r="E320" s="20" t="str">
        <f aca="false">'Raw Data'!E320</f>
        <v>own</v>
      </c>
      <c r="F320" s="20" t="str">
        <f aca="false">'Raw Data'!F320</f>
        <v>little</v>
      </c>
      <c r="G320" s="20" t="str">
        <f aca="false">'Raw Data'!G320</f>
        <v>none</v>
      </c>
      <c r="H320" s="20" t="n">
        <f aca="false">'Raw Data'!H320</f>
        <v>701</v>
      </c>
      <c r="I320" s="20" t="n">
        <f aca="false">'Raw Data'!I320</f>
        <v>12</v>
      </c>
      <c r="J320" s="20" t="str">
        <f aca="false">'Raw Data'!J320</f>
        <v>education</v>
      </c>
      <c r="K320" s="21" t="n">
        <f aca="false">H320/I320</f>
        <v>58.4166666666667</v>
      </c>
      <c r="L320" s="21" t="n">
        <f aca="false">100-MIN(K320/Assumptions!$B$14,1)*100</f>
        <v>85.3958333333333</v>
      </c>
      <c r="M320" s="21" t="n">
        <f aca="false">VLOOKUP(F320,Assumptions!$A$19:$B$23,2,0)</f>
        <v>25</v>
      </c>
      <c r="N320" s="21" t="n">
        <f aca="false">VLOOKUP(G320,Assumptions!$A$27:$B$30,2,0)</f>
        <v>50</v>
      </c>
      <c r="O320" s="21" t="n">
        <f aca="false">VLOOKUP(D320,Assumptions!$A$34:$B$37,2,0)</f>
        <v>66</v>
      </c>
      <c r="P320" s="21" t="n">
        <f aca="false">VLOOKUP(E320,Assumptions!$A$41:$B$43,2,0)</f>
        <v>100</v>
      </c>
      <c r="Q320" s="22" t="n">
        <f aca="false">L320*Assumptions!$B$7+M320*Assumptions!$B$8+N320*Assumptions!$B$9+O320*Assumptions!$B$10+P320*Assumptions!$B$11</f>
        <v>61.76875</v>
      </c>
      <c r="R320" s="11" t="str">
        <f aca="false">IF(Q320&lt;=33,"High Risk",IF(Q320&lt;=66,"Medium Risk","Low Risk"))</f>
        <v>Medium Risk</v>
      </c>
    </row>
    <row r="321" customFormat="false" ht="15" hidden="false" customHeight="true" outlineLevel="0" collapsed="false">
      <c r="A321" s="20" t="n">
        <f aca="false">'Raw Data'!A321</f>
        <v>320</v>
      </c>
      <c r="B321" s="20" t="n">
        <f aca="false">'Raw Data'!B321</f>
        <v>27</v>
      </c>
      <c r="C321" s="20" t="str">
        <f aca="false">'Raw Data'!C321</f>
        <v>female</v>
      </c>
      <c r="D321" s="20" t="n">
        <f aca="false">'Raw Data'!D321</f>
        <v>1</v>
      </c>
      <c r="E321" s="20" t="str">
        <f aca="false">'Raw Data'!E321</f>
        <v>own</v>
      </c>
      <c r="F321" s="20" t="str">
        <f aca="false">'Raw Data'!F321</f>
        <v>little</v>
      </c>
      <c r="G321" s="20" t="str">
        <f aca="false">'Raw Data'!G321</f>
        <v>little</v>
      </c>
      <c r="H321" s="20" t="n">
        <f aca="false">'Raw Data'!H321</f>
        <v>3643</v>
      </c>
      <c r="I321" s="20" t="n">
        <f aca="false">'Raw Data'!I321</f>
        <v>15</v>
      </c>
      <c r="J321" s="20" t="str">
        <f aca="false">'Raw Data'!J321</f>
        <v>furniture/equipment</v>
      </c>
      <c r="K321" s="21" t="n">
        <f aca="false">H321/I321</f>
        <v>242.866666666667</v>
      </c>
      <c r="L321" s="21" t="n">
        <f aca="false">100-MIN(K321/Assumptions!$B$14,1)*100</f>
        <v>39.2833333333333</v>
      </c>
      <c r="M321" s="21" t="n">
        <f aca="false">VLOOKUP(F321,Assumptions!$A$19:$B$23,2,0)</f>
        <v>25</v>
      </c>
      <c r="N321" s="21" t="n">
        <f aca="false">VLOOKUP(G321,Assumptions!$A$27:$B$30,2,0)</f>
        <v>25</v>
      </c>
      <c r="O321" s="21" t="n">
        <f aca="false">VLOOKUP(D321,Assumptions!$A$34:$B$37,2,0)</f>
        <v>33</v>
      </c>
      <c r="P321" s="21" t="n">
        <f aca="false">VLOOKUP(E321,Assumptions!$A$41:$B$43,2,0)</f>
        <v>100</v>
      </c>
      <c r="Q321" s="22" t="n">
        <f aca="false">L321*Assumptions!$B$7+M321*Assumptions!$B$8+N321*Assumptions!$B$9+O321*Assumptions!$B$10+P321*Assumptions!$B$11</f>
        <v>37.985</v>
      </c>
      <c r="R321" s="11" t="str">
        <f aca="false">IF(Q321&lt;=33,"High Risk",IF(Q321&lt;=66,"Medium Risk","Low Risk"))</f>
        <v>Medium Risk</v>
      </c>
    </row>
    <row r="322" customFormat="false" ht="15" hidden="false" customHeight="true" outlineLevel="0" collapsed="false">
      <c r="A322" s="20" t="n">
        <f aca="false">'Raw Data'!A322</f>
        <v>321</v>
      </c>
      <c r="B322" s="20" t="n">
        <f aca="false">'Raw Data'!B322</f>
        <v>28</v>
      </c>
      <c r="C322" s="20" t="str">
        <f aca="false">'Raw Data'!C322</f>
        <v>male</v>
      </c>
      <c r="D322" s="20" t="n">
        <f aca="false">'Raw Data'!D322</f>
        <v>3</v>
      </c>
      <c r="E322" s="20" t="str">
        <f aca="false">'Raw Data'!E322</f>
        <v>own</v>
      </c>
      <c r="F322" s="20" t="str">
        <f aca="false">'Raw Data'!F322</f>
        <v>little</v>
      </c>
      <c r="G322" s="20" t="str">
        <f aca="false">'Raw Data'!G322</f>
        <v>moderate</v>
      </c>
      <c r="H322" s="20" t="n">
        <f aca="false">'Raw Data'!H322</f>
        <v>4249</v>
      </c>
      <c r="I322" s="20" t="n">
        <f aca="false">'Raw Data'!I322</f>
        <v>30</v>
      </c>
      <c r="J322" s="20" t="str">
        <f aca="false">'Raw Data'!J322</f>
        <v>car</v>
      </c>
      <c r="K322" s="21" t="n">
        <f aca="false">H322/I322</f>
        <v>141.633333333333</v>
      </c>
      <c r="L322" s="21" t="n">
        <f aca="false">100-MIN(K322/Assumptions!$B$14,1)*100</f>
        <v>64.5916666666667</v>
      </c>
      <c r="M322" s="21" t="n">
        <f aca="false">VLOOKUP(F322,Assumptions!$A$19:$B$23,2,0)</f>
        <v>25</v>
      </c>
      <c r="N322" s="21" t="n">
        <f aca="false">VLOOKUP(G322,Assumptions!$A$27:$B$30,2,0)</f>
        <v>60</v>
      </c>
      <c r="O322" s="21" t="n">
        <f aca="false">VLOOKUP(D322,Assumptions!$A$34:$B$37,2,0)</f>
        <v>100</v>
      </c>
      <c r="P322" s="21" t="n">
        <f aca="false">VLOOKUP(E322,Assumptions!$A$41:$B$43,2,0)</f>
        <v>100</v>
      </c>
      <c r="Q322" s="22" t="n">
        <f aca="false">L322*Assumptions!$B$7+M322*Assumptions!$B$8+N322*Assumptions!$B$9+O322*Assumptions!$B$10+P322*Assumptions!$B$11</f>
        <v>62.6275</v>
      </c>
      <c r="R322" s="11" t="str">
        <f aca="false">IF(Q322&lt;=33,"High Risk",IF(Q322&lt;=66,"Medium Risk","Low Risk"))</f>
        <v>Medium Risk</v>
      </c>
    </row>
    <row r="323" customFormat="false" ht="15" hidden="false" customHeight="true" outlineLevel="0" collapsed="false">
      <c r="A323" s="20" t="n">
        <f aca="false">'Raw Data'!A323</f>
        <v>322</v>
      </c>
      <c r="B323" s="20" t="n">
        <f aca="false">'Raw Data'!B323</f>
        <v>32</v>
      </c>
      <c r="C323" s="20" t="str">
        <f aca="false">'Raw Data'!C323</f>
        <v>male</v>
      </c>
      <c r="D323" s="20" t="n">
        <f aca="false">'Raw Data'!D323</f>
        <v>2</v>
      </c>
      <c r="E323" s="20" t="str">
        <f aca="false">'Raw Data'!E323</f>
        <v>own</v>
      </c>
      <c r="F323" s="20" t="str">
        <f aca="false">'Raw Data'!F323</f>
        <v>little</v>
      </c>
      <c r="G323" s="20" t="str">
        <f aca="false">'Raw Data'!G323</f>
        <v>little</v>
      </c>
      <c r="H323" s="20" t="n">
        <f aca="false">'Raw Data'!H323</f>
        <v>1938</v>
      </c>
      <c r="I323" s="20" t="n">
        <f aca="false">'Raw Data'!I323</f>
        <v>24</v>
      </c>
      <c r="J323" s="20" t="str">
        <f aca="false">'Raw Data'!J323</f>
        <v>radio/TV</v>
      </c>
      <c r="K323" s="21" t="n">
        <f aca="false">H323/I323</f>
        <v>80.75</v>
      </c>
      <c r="L323" s="21" t="n">
        <f aca="false">100-MIN(K323/Assumptions!$B$14,1)*100</f>
        <v>79.8125</v>
      </c>
      <c r="M323" s="21" t="n">
        <f aca="false">VLOOKUP(F323,Assumptions!$A$19:$B$23,2,0)</f>
        <v>25</v>
      </c>
      <c r="N323" s="21" t="n">
        <f aca="false">VLOOKUP(G323,Assumptions!$A$27:$B$30,2,0)</f>
        <v>25</v>
      </c>
      <c r="O323" s="21" t="n">
        <f aca="false">VLOOKUP(D323,Assumptions!$A$34:$B$37,2,0)</f>
        <v>66</v>
      </c>
      <c r="P323" s="21" t="n">
        <f aca="false">VLOOKUP(E323,Assumptions!$A$41:$B$43,2,0)</f>
        <v>100</v>
      </c>
      <c r="Q323" s="22" t="n">
        <f aca="false">L323*Assumptions!$B$7+M323*Assumptions!$B$8+N323*Assumptions!$B$9+O323*Assumptions!$B$10+P323*Assumptions!$B$11</f>
        <v>55.09375</v>
      </c>
      <c r="R323" s="11" t="str">
        <f aca="false">IF(Q323&lt;=33,"High Risk",IF(Q323&lt;=66,"Medium Risk","Low Risk"))</f>
        <v>Medium Risk</v>
      </c>
    </row>
    <row r="324" customFormat="false" ht="15" hidden="false" customHeight="true" outlineLevel="0" collapsed="false">
      <c r="A324" s="20" t="n">
        <f aca="false">'Raw Data'!A324</f>
        <v>323</v>
      </c>
      <c r="B324" s="20" t="n">
        <f aca="false">'Raw Data'!B324</f>
        <v>34</v>
      </c>
      <c r="C324" s="20" t="str">
        <f aca="false">'Raw Data'!C324</f>
        <v>male</v>
      </c>
      <c r="D324" s="20" t="n">
        <f aca="false">'Raw Data'!D324</f>
        <v>3</v>
      </c>
      <c r="E324" s="20" t="str">
        <f aca="false">'Raw Data'!E324</f>
        <v>free</v>
      </c>
      <c r="F324" s="20" t="str">
        <f aca="false">'Raw Data'!F324</f>
        <v>little</v>
      </c>
      <c r="G324" s="20" t="str">
        <f aca="false">'Raw Data'!G324</f>
        <v>little</v>
      </c>
      <c r="H324" s="20" t="n">
        <f aca="false">'Raw Data'!H324</f>
        <v>2910</v>
      </c>
      <c r="I324" s="20" t="n">
        <f aca="false">'Raw Data'!I324</f>
        <v>24</v>
      </c>
      <c r="J324" s="20" t="str">
        <f aca="false">'Raw Data'!J324</f>
        <v>car</v>
      </c>
      <c r="K324" s="21" t="n">
        <f aca="false">H324/I324</f>
        <v>121.25</v>
      </c>
      <c r="L324" s="21" t="n">
        <f aca="false">100-MIN(K324/Assumptions!$B$14,1)*100</f>
        <v>69.6875</v>
      </c>
      <c r="M324" s="21" t="n">
        <f aca="false">VLOOKUP(F324,Assumptions!$A$19:$B$23,2,0)</f>
        <v>25</v>
      </c>
      <c r="N324" s="21" t="n">
        <f aca="false">VLOOKUP(G324,Assumptions!$A$27:$B$30,2,0)</f>
        <v>25</v>
      </c>
      <c r="O324" s="21" t="n">
        <f aca="false">VLOOKUP(D324,Assumptions!$A$34:$B$37,2,0)</f>
        <v>100</v>
      </c>
      <c r="P324" s="21" t="n">
        <f aca="false">VLOOKUP(E324,Assumptions!$A$41:$B$43,2,0)</f>
        <v>60</v>
      </c>
      <c r="Q324" s="22" t="n">
        <f aca="false">L324*Assumptions!$B$7+M324*Assumptions!$B$8+N324*Assumptions!$B$9+O324*Assumptions!$B$10+P324*Assumptions!$B$11</f>
        <v>53.15625</v>
      </c>
      <c r="R324" s="11" t="str">
        <f aca="false">IF(Q324&lt;=33,"High Risk",IF(Q324&lt;=66,"Medium Risk","Low Risk"))</f>
        <v>Medium Risk</v>
      </c>
    </row>
    <row r="325" customFormat="false" ht="15" hidden="false" customHeight="true" outlineLevel="0" collapsed="false">
      <c r="A325" s="20" t="n">
        <f aca="false">'Raw Data'!A325</f>
        <v>324</v>
      </c>
      <c r="B325" s="20" t="n">
        <f aca="false">'Raw Data'!B325</f>
        <v>28</v>
      </c>
      <c r="C325" s="20" t="str">
        <f aca="false">'Raw Data'!C325</f>
        <v>male</v>
      </c>
      <c r="D325" s="20" t="n">
        <f aca="false">'Raw Data'!D325</f>
        <v>2</v>
      </c>
      <c r="E325" s="20" t="str">
        <f aca="false">'Raw Data'!E325</f>
        <v>own</v>
      </c>
      <c r="F325" s="20" t="str">
        <f aca="false">'Raw Data'!F325</f>
        <v>rich</v>
      </c>
      <c r="G325" s="20" t="str">
        <f aca="false">'Raw Data'!G325</f>
        <v>little</v>
      </c>
      <c r="H325" s="20" t="n">
        <f aca="false">'Raw Data'!H325</f>
        <v>2659</v>
      </c>
      <c r="I325" s="20" t="n">
        <f aca="false">'Raw Data'!I325</f>
        <v>18</v>
      </c>
      <c r="J325" s="20" t="str">
        <f aca="false">'Raw Data'!J325</f>
        <v>furniture/equipment</v>
      </c>
      <c r="K325" s="21" t="n">
        <f aca="false">H325/I325</f>
        <v>147.722222222222</v>
      </c>
      <c r="L325" s="21" t="n">
        <f aca="false">100-MIN(K325/Assumptions!$B$14,1)*100</f>
        <v>63.0694444444444</v>
      </c>
      <c r="M325" s="21" t="n">
        <f aca="false">VLOOKUP(F325,Assumptions!$A$19:$B$23,2,0)</f>
        <v>100</v>
      </c>
      <c r="N325" s="21" t="n">
        <f aca="false">VLOOKUP(G325,Assumptions!$A$27:$B$30,2,0)</f>
        <v>25</v>
      </c>
      <c r="O325" s="21" t="n">
        <f aca="false">VLOOKUP(D325,Assumptions!$A$34:$B$37,2,0)</f>
        <v>66</v>
      </c>
      <c r="P325" s="21" t="n">
        <f aca="false">VLOOKUP(E325,Assumptions!$A$41:$B$43,2,0)</f>
        <v>100</v>
      </c>
      <c r="Q325" s="22" t="n">
        <f aca="false">L325*Assumptions!$B$7+M325*Assumptions!$B$8+N325*Assumptions!$B$9+O325*Assumptions!$B$10+P325*Assumptions!$B$11</f>
        <v>68.8208333333333</v>
      </c>
      <c r="R325" s="11" t="str">
        <f aca="false">IF(Q325&lt;=33,"High Risk",IF(Q325&lt;=66,"Medium Risk","Low Risk"))</f>
        <v>Low Risk</v>
      </c>
    </row>
    <row r="326" customFormat="false" ht="15" hidden="false" customHeight="true" outlineLevel="0" collapsed="false">
      <c r="A326" s="20" t="n">
        <f aca="false">'Raw Data'!A326</f>
        <v>325</v>
      </c>
      <c r="B326" s="20" t="n">
        <f aca="false">'Raw Data'!B326</f>
        <v>36</v>
      </c>
      <c r="C326" s="20" t="str">
        <f aca="false">'Raw Data'!C326</f>
        <v>female</v>
      </c>
      <c r="D326" s="20" t="n">
        <f aca="false">'Raw Data'!D326</f>
        <v>2</v>
      </c>
      <c r="E326" s="20" t="str">
        <f aca="false">'Raw Data'!E326</f>
        <v>own</v>
      </c>
      <c r="F326" s="20" t="str">
        <f aca="false">'Raw Data'!F326</f>
        <v>little</v>
      </c>
      <c r="G326" s="20" t="str">
        <f aca="false">'Raw Data'!G326</f>
        <v>none</v>
      </c>
      <c r="H326" s="20" t="n">
        <f aca="false">'Raw Data'!H326</f>
        <v>1028</v>
      </c>
      <c r="I326" s="20" t="n">
        <f aca="false">'Raw Data'!I326</f>
        <v>18</v>
      </c>
      <c r="J326" s="20" t="str">
        <f aca="false">'Raw Data'!J326</f>
        <v>car</v>
      </c>
      <c r="K326" s="21" t="n">
        <f aca="false">H326/I326</f>
        <v>57.1111111111111</v>
      </c>
      <c r="L326" s="21" t="n">
        <f aca="false">100-MIN(K326/Assumptions!$B$14,1)*100</f>
        <v>85.7222222222222</v>
      </c>
      <c r="M326" s="21" t="n">
        <f aca="false">VLOOKUP(F326,Assumptions!$A$19:$B$23,2,0)</f>
        <v>25</v>
      </c>
      <c r="N326" s="21" t="n">
        <f aca="false">VLOOKUP(G326,Assumptions!$A$27:$B$30,2,0)</f>
        <v>50</v>
      </c>
      <c r="O326" s="21" t="n">
        <f aca="false">VLOOKUP(D326,Assumptions!$A$34:$B$37,2,0)</f>
        <v>66</v>
      </c>
      <c r="P326" s="21" t="n">
        <f aca="false">VLOOKUP(E326,Assumptions!$A$41:$B$43,2,0)</f>
        <v>100</v>
      </c>
      <c r="Q326" s="22" t="n">
        <f aca="false">L326*Assumptions!$B$7+M326*Assumptions!$B$8+N326*Assumptions!$B$9+O326*Assumptions!$B$10+P326*Assumptions!$B$11</f>
        <v>61.8666666666667</v>
      </c>
      <c r="R326" s="11" t="str">
        <f aca="false">IF(Q326&lt;=33,"High Risk",IF(Q326&lt;=66,"Medium Risk","Low Risk"))</f>
        <v>Medium Risk</v>
      </c>
    </row>
    <row r="327" customFormat="false" ht="15" hidden="false" customHeight="true" outlineLevel="0" collapsed="false">
      <c r="A327" s="20" t="n">
        <f aca="false">'Raw Data'!A327</f>
        <v>326</v>
      </c>
      <c r="B327" s="20" t="n">
        <f aca="false">'Raw Data'!B327</f>
        <v>39</v>
      </c>
      <c r="C327" s="20" t="str">
        <f aca="false">'Raw Data'!C327</f>
        <v>male</v>
      </c>
      <c r="D327" s="20" t="n">
        <f aca="false">'Raw Data'!D327</f>
        <v>1</v>
      </c>
      <c r="E327" s="20" t="str">
        <f aca="false">'Raw Data'!E327</f>
        <v>own</v>
      </c>
      <c r="F327" s="20" t="str">
        <f aca="false">'Raw Data'!F327</f>
        <v>little</v>
      </c>
      <c r="G327" s="20" t="str">
        <f aca="false">'Raw Data'!G327</f>
        <v>little</v>
      </c>
      <c r="H327" s="20" t="n">
        <f aca="false">'Raw Data'!H327</f>
        <v>3398</v>
      </c>
      <c r="I327" s="20" t="n">
        <f aca="false">'Raw Data'!I327</f>
        <v>8</v>
      </c>
      <c r="J327" s="20" t="str">
        <f aca="false">'Raw Data'!J327</f>
        <v>car</v>
      </c>
      <c r="K327" s="21" t="n">
        <f aca="false">H327/I327</f>
        <v>424.75</v>
      </c>
      <c r="L327" s="21" t="n">
        <f aca="false">100-MIN(K327/Assumptions!$B$14,1)*100</f>
        <v>0</v>
      </c>
      <c r="M327" s="21" t="n">
        <f aca="false">VLOOKUP(F327,Assumptions!$A$19:$B$23,2,0)</f>
        <v>25</v>
      </c>
      <c r="N327" s="21" t="n">
        <f aca="false">VLOOKUP(G327,Assumptions!$A$27:$B$30,2,0)</f>
        <v>25</v>
      </c>
      <c r="O327" s="21" t="n">
        <f aca="false">VLOOKUP(D327,Assumptions!$A$34:$B$37,2,0)</f>
        <v>33</v>
      </c>
      <c r="P327" s="21" t="n">
        <f aca="false">VLOOKUP(E327,Assumptions!$A$41:$B$43,2,0)</f>
        <v>100</v>
      </c>
      <c r="Q327" s="22" t="n">
        <f aca="false">L327*Assumptions!$B$7+M327*Assumptions!$B$8+N327*Assumptions!$B$9+O327*Assumptions!$B$10+P327*Assumptions!$B$11</f>
        <v>26.2</v>
      </c>
      <c r="R327" s="11" t="str">
        <f aca="false">IF(Q327&lt;=33,"High Risk",IF(Q327&lt;=66,"Medium Risk","Low Risk"))</f>
        <v>High Risk</v>
      </c>
    </row>
    <row r="328" customFormat="false" ht="15" hidden="false" customHeight="true" outlineLevel="0" collapsed="false">
      <c r="A328" s="20" t="n">
        <f aca="false">'Raw Data'!A328</f>
        <v>327</v>
      </c>
      <c r="B328" s="20" t="n">
        <f aca="false">'Raw Data'!B328</f>
        <v>49</v>
      </c>
      <c r="C328" s="20" t="str">
        <f aca="false">'Raw Data'!C328</f>
        <v>male</v>
      </c>
      <c r="D328" s="20" t="n">
        <f aca="false">'Raw Data'!D328</f>
        <v>2</v>
      </c>
      <c r="E328" s="20" t="str">
        <f aca="false">'Raw Data'!E328</f>
        <v>rent</v>
      </c>
      <c r="F328" s="20" t="str">
        <f aca="false">'Raw Data'!F328</f>
        <v>none</v>
      </c>
      <c r="G328" s="20" t="str">
        <f aca="false">'Raw Data'!G328</f>
        <v>none</v>
      </c>
      <c r="H328" s="20" t="n">
        <f aca="false">'Raw Data'!H328</f>
        <v>5801</v>
      </c>
      <c r="I328" s="20" t="n">
        <f aca="false">'Raw Data'!I328</f>
        <v>12</v>
      </c>
      <c r="J328" s="20" t="str">
        <f aca="false">'Raw Data'!J328</f>
        <v>furniture/equipment</v>
      </c>
      <c r="K328" s="21" t="n">
        <f aca="false">H328/I328</f>
        <v>483.416666666667</v>
      </c>
      <c r="L328" s="21" t="n">
        <f aca="false">100-MIN(K328/Assumptions!$B$14,1)*100</f>
        <v>0</v>
      </c>
      <c r="M328" s="21" t="n">
        <f aca="false">VLOOKUP(F328,Assumptions!$A$19:$B$23,2,0)</f>
        <v>40</v>
      </c>
      <c r="N328" s="21" t="n">
        <f aca="false">VLOOKUP(G328,Assumptions!$A$27:$B$30,2,0)</f>
        <v>50</v>
      </c>
      <c r="O328" s="21" t="n">
        <f aca="false">VLOOKUP(D328,Assumptions!$A$34:$B$37,2,0)</f>
        <v>66</v>
      </c>
      <c r="P328" s="21" t="n">
        <f aca="false">VLOOKUP(E328,Assumptions!$A$41:$B$43,2,0)</f>
        <v>30</v>
      </c>
      <c r="Q328" s="22" t="n">
        <f aca="false">L328*Assumptions!$B$7+M328*Assumptions!$B$8+N328*Assumptions!$B$9+O328*Assumptions!$B$10+P328*Assumptions!$B$11</f>
        <v>32.9</v>
      </c>
      <c r="R328" s="11" t="str">
        <f aca="false">IF(Q328&lt;=33,"High Risk",IF(Q328&lt;=66,"Medium Risk","Low Risk"))</f>
        <v>High Risk</v>
      </c>
    </row>
    <row r="329" customFormat="false" ht="15" hidden="false" customHeight="true" outlineLevel="0" collapsed="false">
      <c r="A329" s="20" t="n">
        <f aca="false">'Raw Data'!A329</f>
        <v>328</v>
      </c>
      <c r="B329" s="20" t="n">
        <f aca="false">'Raw Data'!B329</f>
        <v>34</v>
      </c>
      <c r="C329" s="20" t="str">
        <f aca="false">'Raw Data'!C329</f>
        <v>female</v>
      </c>
      <c r="D329" s="20" t="n">
        <f aca="false">'Raw Data'!D329</f>
        <v>2</v>
      </c>
      <c r="E329" s="20" t="str">
        <f aca="false">'Raw Data'!E329</f>
        <v>own</v>
      </c>
      <c r="F329" s="20" t="str">
        <f aca="false">'Raw Data'!F329</f>
        <v>rich</v>
      </c>
      <c r="G329" s="20" t="str">
        <f aca="false">'Raw Data'!G329</f>
        <v>none</v>
      </c>
      <c r="H329" s="20" t="n">
        <f aca="false">'Raw Data'!H329</f>
        <v>1525</v>
      </c>
      <c r="I329" s="20" t="n">
        <f aca="false">'Raw Data'!I329</f>
        <v>24</v>
      </c>
      <c r="J329" s="20" t="str">
        <f aca="false">'Raw Data'!J329</f>
        <v>car</v>
      </c>
      <c r="K329" s="21" t="n">
        <f aca="false">H329/I329</f>
        <v>63.5416666666667</v>
      </c>
      <c r="L329" s="21" t="n">
        <f aca="false">100-MIN(K329/Assumptions!$B$14,1)*100</f>
        <v>84.1145833333333</v>
      </c>
      <c r="M329" s="21" t="n">
        <f aca="false">VLOOKUP(F329,Assumptions!$A$19:$B$23,2,0)</f>
        <v>100</v>
      </c>
      <c r="N329" s="21" t="n">
        <f aca="false">VLOOKUP(G329,Assumptions!$A$27:$B$30,2,0)</f>
        <v>50</v>
      </c>
      <c r="O329" s="21" t="n">
        <f aca="false">VLOOKUP(D329,Assumptions!$A$34:$B$37,2,0)</f>
        <v>66</v>
      </c>
      <c r="P329" s="21" t="n">
        <f aca="false">VLOOKUP(E329,Assumptions!$A$41:$B$43,2,0)</f>
        <v>100</v>
      </c>
      <c r="Q329" s="22" t="n">
        <f aca="false">L329*Assumptions!$B$7+M329*Assumptions!$B$8+N329*Assumptions!$B$9+O329*Assumptions!$B$10+P329*Assumptions!$B$11</f>
        <v>80.134375</v>
      </c>
      <c r="R329" s="11" t="str">
        <f aca="false">IF(Q329&lt;=33,"High Risk",IF(Q329&lt;=66,"Medium Risk","Low Risk"))</f>
        <v>Low Risk</v>
      </c>
    </row>
    <row r="330" customFormat="false" ht="15" hidden="false" customHeight="true" outlineLevel="0" collapsed="false">
      <c r="A330" s="20" t="n">
        <f aca="false">'Raw Data'!A330</f>
        <v>329</v>
      </c>
      <c r="B330" s="20" t="n">
        <f aca="false">'Raw Data'!B330</f>
        <v>31</v>
      </c>
      <c r="C330" s="20" t="str">
        <f aca="false">'Raw Data'!C330</f>
        <v>male</v>
      </c>
      <c r="D330" s="20" t="n">
        <f aca="false">'Raw Data'!D330</f>
        <v>2</v>
      </c>
      <c r="E330" s="20" t="str">
        <f aca="false">'Raw Data'!E330</f>
        <v>own</v>
      </c>
      <c r="F330" s="20" t="str">
        <f aca="false">'Raw Data'!F330</f>
        <v>little</v>
      </c>
      <c r="G330" s="20" t="str">
        <f aca="false">'Raw Data'!G330</f>
        <v>rich</v>
      </c>
      <c r="H330" s="20" t="n">
        <f aca="false">'Raw Data'!H330</f>
        <v>4473</v>
      </c>
      <c r="I330" s="20" t="n">
        <f aca="false">'Raw Data'!I330</f>
        <v>36</v>
      </c>
      <c r="J330" s="20" t="str">
        <f aca="false">'Raw Data'!J330</f>
        <v>radio/TV</v>
      </c>
      <c r="K330" s="21" t="n">
        <f aca="false">H330/I330</f>
        <v>124.25</v>
      </c>
      <c r="L330" s="21" t="n">
        <f aca="false">100-MIN(K330/Assumptions!$B$14,1)*100</f>
        <v>68.9375</v>
      </c>
      <c r="M330" s="21" t="n">
        <f aca="false">VLOOKUP(F330,Assumptions!$A$19:$B$23,2,0)</f>
        <v>25</v>
      </c>
      <c r="N330" s="21" t="n">
        <f aca="false">VLOOKUP(G330,Assumptions!$A$27:$B$30,2,0)</f>
        <v>100</v>
      </c>
      <c r="O330" s="21" t="n">
        <f aca="false">VLOOKUP(D330,Assumptions!$A$34:$B$37,2,0)</f>
        <v>66</v>
      </c>
      <c r="P330" s="21" t="n">
        <f aca="false">VLOOKUP(E330,Assumptions!$A$41:$B$43,2,0)</f>
        <v>100</v>
      </c>
      <c r="Q330" s="22" t="n">
        <f aca="false">L330*Assumptions!$B$7+M330*Assumptions!$B$8+N330*Assumptions!$B$9+O330*Assumptions!$B$10+P330*Assumptions!$B$11</f>
        <v>66.83125</v>
      </c>
      <c r="R330" s="11" t="str">
        <f aca="false">IF(Q330&lt;=33,"High Risk",IF(Q330&lt;=66,"Medium Risk","Low Risk"))</f>
        <v>Low Risk</v>
      </c>
    </row>
    <row r="331" customFormat="false" ht="15" hidden="false" customHeight="true" outlineLevel="0" collapsed="false">
      <c r="A331" s="20" t="n">
        <f aca="false">'Raw Data'!A331</f>
        <v>330</v>
      </c>
      <c r="B331" s="20" t="n">
        <f aca="false">'Raw Data'!B331</f>
        <v>28</v>
      </c>
      <c r="C331" s="20" t="str">
        <f aca="false">'Raw Data'!C331</f>
        <v>male</v>
      </c>
      <c r="D331" s="20" t="n">
        <f aca="false">'Raw Data'!D331</f>
        <v>2</v>
      </c>
      <c r="E331" s="20" t="str">
        <f aca="false">'Raw Data'!E331</f>
        <v>own</v>
      </c>
      <c r="F331" s="20" t="str">
        <f aca="false">'Raw Data'!F331</f>
        <v>little</v>
      </c>
      <c r="G331" s="20" t="str">
        <f aca="false">'Raw Data'!G331</f>
        <v>moderate</v>
      </c>
      <c r="H331" s="20" t="n">
        <f aca="false">'Raw Data'!H331</f>
        <v>1068</v>
      </c>
      <c r="I331" s="20" t="n">
        <f aca="false">'Raw Data'!I331</f>
        <v>6</v>
      </c>
      <c r="J331" s="20" t="str">
        <f aca="false">'Raw Data'!J331</f>
        <v>radio/TV</v>
      </c>
      <c r="K331" s="21" t="n">
        <f aca="false">H331/I331</f>
        <v>178</v>
      </c>
      <c r="L331" s="21" t="n">
        <f aca="false">100-MIN(K331/Assumptions!$B$14,1)*100</f>
        <v>55.5</v>
      </c>
      <c r="M331" s="21" t="n">
        <f aca="false">VLOOKUP(F331,Assumptions!$A$19:$B$23,2,0)</f>
        <v>25</v>
      </c>
      <c r="N331" s="21" t="n">
        <f aca="false">VLOOKUP(G331,Assumptions!$A$27:$B$30,2,0)</f>
        <v>60</v>
      </c>
      <c r="O331" s="21" t="n">
        <f aca="false">VLOOKUP(D331,Assumptions!$A$34:$B$37,2,0)</f>
        <v>66</v>
      </c>
      <c r="P331" s="21" t="n">
        <f aca="false">VLOOKUP(E331,Assumptions!$A$41:$B$43,2,0)</f>
        <v>100</v>
      </c>
      <c r="Q331" s="22" t="n">
        <f aca="false">L331*Assumptions!$B$7+M331*Assumptions!$B$8+N331*Assumptions!$B$9+O331*Assumptions!$B$10+P331*Assumptions!$B$11</f>
        <v>54.8</v>
      </c>
      <c r="R331" s="11" t="str">
        <f aca="false">IF(Q331&lt;=33,"High Risk",IF(Q331&lt;=66,"Medium Risk","Low Risk"))</f>
        <v>Medium Risk</v>
      </c>
    </row>
    <row r="332" customFormat="false" ht="15" hidden="false" customHeight="true" outlineLevel="0" collapsed="false">
      <c r="A332" s="20" t="n">
        <f aca="false">'Raw Data'!A332</f>
        <v>331</v>
      </c>
      <c r="B332" s="20" t="n">
        <f aca="false">'Raw Data'!B332</f>
        <v>75</v>
      </c>
      <c r="C332" s="20" t="str">
        <f aca="false">'Raw Data'!C332</f>
        <v>male</v>
      </c>
      <c r="D332" s="20" t="n">
        <f aca="false">'Raw Data'!D332</f>
        <v>3</v>
      </c>
      <c r="E332" s="20" t="str">
        <f aca="false">'Raw Data'!E332</f>
        <v>free</v>
      </c>
      <c r="F332" s="20" t="str">
        <f aca="false">'Raw Data'!F332</f>
        <v>little</v>
      </c>
      <c r="G332" s="20" t="str">
        <f aca="false">'Raw Data'!G332</f>
        <v>little</v>
      </c>
      <c r="H332" s="20" t="n">
        <f aca="false">'Raw Data'!H332</f>
        <v>6615</v>
      </c>
      <c r="I332" s="20" t="n">
        <f aca="false">'Raw Data'!I332</f>
        <v>24</v>
      </c>
      <c r="J332" s="20" t="str">
        <f aca="false">'Raw Data'!J332</f>
        <v>car</v>
      </c>
      <c r="K332" s="21" t="n">
        <f aca="false">H332/I332</f>
        <v>275.625</v>
      </c>
      <c r="L332" s="21" t="n">
        <f aca="false">100-MIN(K332/Assumptions!$B$14,1)*100</f>
        <v>31.09375</v>
      </c>
      <c r="M332" s="21" t="n">
        <f aca="false">VLOOKUP(F332,Assumptions!$A$19:$B$23,2,0)</f>
        <v>25</v>
      </c>
      <c r="N332" s="21" t="n">
        <f aca="false">VLOOKUP(G332,Assumptions!$A$27:$B$30,2,0)</f>
        <v>25</v>
      </c>
      <c r="O332" s="21" t="n">
        <f aca="false">VLOOKUP(D332,Assumptions!$A$34:$B$37,2,0)</f>
        <v>100</v>
      </c>
      <c r="P332" s="21" t="n">
        <f aca="false">VLOOKUP(E332,Assumptions!$A$41:$B$43,2,0)</f>
        <v>60</v>
      </c>
      <c r="Q332" s="22" t="n">
        <f aca="false">L332*Assumptions!$B$7+M332*Assumptions!$B$8+N332*Assumptions!$B$9+O332*Assumptions!$B$10+P332*Assumptions!$B$11</f>
        <v>41.578125</v>
      </c>
      <c r="R332" s="11" t="str">
        <f aca="false">IF(Q332&lt;=33,"High Risk",IF(Q332&lt;=66,"Medium Risk","Low Risk"))</f>
        <v>Medium Risk</v>
      </c>
    </row>
    <row r="333" customFormat="false" ht="15" hidden="false" customHeight="true" outlineLevel="0" collapsed="false">
      <c r="A333" s="20" t="n">
        <f aca="false">'Raw Data'!A333</f>
        <v>332</v>
      </c>
      <c r="B333" s="20" t="n">
        <f aca="false">'Raw Data'!B333</f>
        <v>30</v>
      </c>
      <c r="C333" s="20" t="str">
        <f aca="false">'Raw Data'!C333</f>
        <v>female</v>
      </c>
      <c r="D333" s="20" t="n">
        <f aca="false">'Raw Data'!D333</f>
        <v>2</v>
      </c>
      <c r="E333" s="20" t="str">
        <f aca="false">'Raw Data'!E333</f>
        <v>own</v>
      </c>
      <c r="F333" s="20" t="str">
        <f aca="false">'Raw Data'!F333</f>
        <v>moderate</v>
      </c>
      <c r="G333" s="20" t="str">
        <f aca="false">'Raw Data'!G333</f>
        <v>none</v>
      </c>
      <c r="H333" s="20" t="n">
        <f aca="false">'Raw Data'!H333</f>
        <v>1864</v>
      </c>
      <c r="I333" s="20" t="n">
        <f aca="false">'Raw Data'!I333</f>
        <v>18</v>
      </c>
      <c r="J333" s="20" t="str">
        <f aca="false">'Raw Data'!J333</f>
        <v>education</v>
      </c>
      <c r="K333" s="21" t="n">
        <f aca="false">H333/I333</f>
        <v>103.555555555556</v>
      </c>
      <c r="L333" s="21" t="n">
        <f aca="false">100-MIN(K333/Assumptions!$B$14,1)*100</f>
        <v>74.1111111111111</v>
      </c>
      <c r="M333" s="21" t="n">
        <f aca="false">VLOOKUP(F333,Assumptions!$A$19:$B$23,2,0)</f>
        <v>50</v>
      </c>
      <c r="N333" s="21" t="n">
        <f aca="false">VLOOKUP(G333,Assumptions!$A$27:$B$30,2,0)</f>
        <v>50</v>
      </c>
      <c r="O333" s="21" t="n">
        <f aca="false">VLOOKUP(D333,Assumptions!$A$34:$B$37,2,0)</f>
        <v>66</v>
      </c>
      <c r="P333" s="21" t="n">
        <f aca="false">VLOOKUP(E333,Assumptions!$A$41:$B$43,2,0)</f>
        <v>100</v>
      </c>
      <c r="Q333" s="22" t="n">
        <f aca="false">L333*Assumptions!$B$7+M333*Assumptions!$B$8+N333*Assumptions!$B$9+O333*Assumptions!$B$10+P333*Assumptions!$B$11</f>
        <v>64.6333333333333</v>
      </c>
      <c r="R333" s="11" t="str">
        <f aca="false">IF(Q333&lt;=33,"High Risk",IF(Q333&lt;=66,"Medium Risk","Low Risk"))</f>
        <v>Medium Risk</v>
      </c>
    </row>
    <row r="334" customFormat="false" ht="15" hidden="false" customHeight="true" outlineLevel="0" collapsed="false">
      <c r="A334" s="20" t="n">
        <f aca="false">'Raw Data'!A334</f>
        <v>333</v>
      </c>
      <c r="B334" s="20" t="n">
        <f aca="false">'Raw Data'!B334</f>
        <v>24</v>
      </c>
      <c r="C334" s="20" t="str">
        <f aca="false">'Raw Data'!C334</f>
        <v>female</v>
      </c>
      <c r="D334" s="20" t="n">
        <f aca="false">'Raw Data'!D334</f>
        <v>3</v>
      </c>
      <c r="E334" s="20" t="str">
        <f aca="false">'Raw Data'!E334</f>
        <v>own</v>
      </c>
      <c r="F334" s="20" t="str">
        <f aca="false">'Raw Data'!F334</f>
        <v>moderate</v>
      </c>
      <c r="G334" s="20" t="str">
        <f aca="false">'Raw Data'!G334</f>
        <v>moderate</v>
      </c>
      <c r="H334" s="20" t="n">
        <f aca="false">'Raw Data'!H334</f>
        <v>7408</v>
      </c>
      <c r="I334" s="20" t="n">
        <f aca="false">'Raw Data'!I334</f>
        <v>60</v>
      </c>
      <c r="J334" s="20" t="str">
        <f aca="false">'Raw Data'!J334</f>
        <v>car</v>
      </c>
      <c r="K334" s="21" t="n">
        <f aca="false">H334/I334</f>
        <v>123.466666666667</v>
      </c>
      <c r="L334" s="21" t="n">
        <f aca="false">100-MIN(K334/Assumptions!$B$14,1)*100</f>
        <v>69.1333333333333</v>
      </c>
      <c r="M334" s="21" t="n">
        <f aca="false">VLOOKUP(F334,Assumptions!$A$19:$B$23,2,0)</f>
        <v>50</v>
      </c>
      <c r="N334" s="21" t="n">
        <f aca="false">VLOOKUP(G334,Assumptions!$A$27:$B$30,2,0)</f>
        <v>60</v>
      </c>
      <c r="O334" s="21" t="n">
        <f aca="false">VLOOKUP(D334,Assumptions!$A$34:$B$37,2,0)</f>
        <v>100</v>
      </c>
      <c r="P334" s="21" t="n">
        <f aca="false">VLOOKUP(E334,Assumptions!$A$41:$B$43,2,0)</f>
        <v>100</v>
      </c>
      <c r="Q334" s="22" t="n">
        <f aca="false">L334*Assumptions!$B$7+M334*Assumptions!$B$8+N334*Assumptions!$B$9+O334*Assumptions!$B$10+P334*Assumptions!$B$11</f>
        <v>70.24</v>
      </c>
      <c r="R334" s="11" t="str">
        <f aca="false">IF(Q334&lt;=33,"High Risk",IF(Q334&lt;=66,"Medium Risk","Low Risk"))</f>
        <v>Low Risk</v>
      </c>
    </row>
    <row r="335" customFormat="false" ht="15" hidden="false" customHeight="true" outlineLevel="0" collapsed="false">
      <c r="A335" s="20" t="n">
        <f aca="false">'Raw Data'!A335</f>
        <v>334</v>
      </c>
      <c r="B335" s="20" t="n">
        <f aca="false">'Raw Data'!B335</f>
        <v>24</v>
      </c>
      <c r="C335" s="20" t="str">
        <f aca="false">'Raw Data'!C335</f>
        <v>female</v>
      </c>
      <c r="D335" s="20" t="n">
        <f aca="false">'Raw Data'!D335</f>
        <v>1</v>
      </c>
      <c r="E335" s="20" t="str">
        <f aca="false">'Raw Data'!E335</f>
        <v>rent</v>
      </c>
      <c r="F335" s="20" t="str">
        <f aca="false">'Raw Data'!F335</f>
        <v>moderate</v>
      </c>
      <c r="G335" s="20" t="str">
        <f aca="false">'Raw Data'!G335</f>
        <v>none</v>
      </c>
      <c r="H335" s="20" t="n">
        <f aca="false">'Raw Data'!H335</f>
        <v>11590</v>
      </c>
      <c r="I335" s="20" t="n">
        <f aca="false">'Raw Data'!I335</f>
        <v>48</v>
      </c>
      <c r="J335" s="20" t="str">
        <f aca="false">'Raw Data'!J335</f>
        <v>car</v>
      </c>
      <c r="K335" s="21" t="n">
        <f aca="false">H335/I335</f>
        <v>241.458333333333</v>
      </c>
      <c r="L335" s="21" t="n">
        <f aca="false">100-MIN(K335/Assumptions!$B$14,1)*100</f>
        <v>39.6354166666667</v>
      </c>
      <c r="M335" s="21" t="n">
        <f aca="false">VLOOKUP(F335,Assumptions!$A$19:$B$23,2,0)</f>
        <v>50</v>
      </c>
      <c r="N335" s="21" t="n">
        <f aca="false">VLOOKUP(G335,Assumptions!$A$27:$B$30,2,0)</f>
        <v>50</v>
      </c>
      <c r="O335" s="21" t="n">
        <f aca="false">VLOOKUP(D335,Assumptions!$A$34:$B$37,2,0)</f>
        <v>33</v>
      </c>
      <c r="P335" s="21" t="n">
        <f aca="false">VLOOKUP(E335,Assumptions!$A$41:$B$43,2,0)</f>
        <v>30</v>
      </c>
      <c r="Q335" s="22" t="n">
        <f aca="false">L335*Assumptions!$B$7+M335*Assumptions!$B$8+N335*Assumptions!$B$9+O335*Assumptions!$B$10+P335*Assumptions!$B$11</f>
        <v>42.340625</v>
      </c>
      <c r="R335" s="11" t="str">
        <f aca="false">IF(Q335&lt;=33,"High Risk",IF(Q335&lt;=66,"Medium Risk","Low Risk"))</f>
        <v>Medium Risk</v>
      </c>
    </row>
    <row r="336" customFormat="false" ht="15" hidden="false" customHeight="true" outlineLevel="0" collapsed="false">
      <c r="A336" s="20" t="n">
        <f aca="false">'Raw Data'!A336</f>
        <v>335</v>
      </c>
      <c r="B336" s="20" t="n">
        <f aca="false">'Raw Data'!B336</f>
        <v>23</v>
      </c>
      <c r="C336" s="20" t="str">
        <f aca="false">'Raw Data'!C336</f>
        <v>male</v>
      </c>
      <c r="D336" s="20" t="n">
        <f aca="false">'Raw Data'!D336</f>
        <v>2</v>
      </c>
      <c r="E336" s="20" t="str">
        <f aca="false">'Raw Data'!E336</f>
        <v>rent</v>
      </c>
      <c r="F336" s="20" t="str">
        <f aca="false">'Raw Data'!F336</f>
        <v>little</v>
      </c>
      <c r="G336" s="20" t="str">
        <f aca="false">'Raw Data'!G336</f>
        <v>little</v>
      </c>
      <c r="H336" s="20" t="n">
        <f aca="false">'Raw Data'!H336</f>
        <v>4110</v>
      </c>
      <c r="I336" s="20" t="n">
        <f aca="false">'Raw Data'!I336</f>
        <v>24</v>
      </c>
      <c r="J336" s="20" t="str">
        <f aca="false">'Raw Data'!J336</f>
        <v>furniture/equipment</v>
      </c>
      <c r="K336" s="21" t="n">
        <f aca="false">H336/I336</f>
        <v>171.25</v>
      </c>
      <c r="L336" s="21" t="n">
        <f aca="false">100-MIN(K336/Assumptions!$B$14,1)*100</f>
        <v>57.1875</v>
      </c>
      <c r="M336" s="21" t="n">
        <f aca="false">VLOOKUP(F336,Assumptions!$A$19:$B$23,2,0)</f>
        <v>25</v>
      </c>
      <c r="N336" s="21" t="n">
        <f aca="false">VLOOKUP(G336,Assumptions!$A$27:$B$30,2,0)</f>
        <v>25</v>
      </c>
      <c r="O336" s="21" t="n">
        <f aca="false">VLOOKUP(D336,Assumptions!$A$34:$B$37,2,0)</f>
        <v>66</v>
      </c>
      <c r="P336" s="21" t="n">
        <f aca="false">VLOOKUP(E336,Assumptions!$A$41:$B$43,2,0)</f>
        <v>30</v>
      </c>
      <c r="Q336" s="22" t="n">
        <f aca="false">L336*Assumptions!$B$7+M336*Assumptions!$B$8+N336*Assumptions!$B$9+O336*Assumptions!$B$10+P336*Assumptions!$B$11</f>
        <v>41.30625</v>
      </c>
      <c r="R336" s="11" t="str">
        <f aca="false">IF(Q336&lt;=33,"High Risk",IF(Q336&lt;=66,"Medium Risk","Low Risk"))</f>
        <v>Medium Risk</v>
      </c>
    </row>
    <row r="337" customFormat="false" ht="15" hidden="false" customHeight="true" outlineLevel="0" collapsed="false">
      <c r="A337" s="20" t="n">
        <f aca="false">'Raw Data'!A337</f>
        <v>336</v>
      </c>
      <c r="B337" s="20" t="n">
        <f aca="false">'Raw Data'!B337</f>
        <v>44</v>
      </c>
      <c r="C337" s="20" t="str">
        <f aca="false">'Raw Data'!C337</f>
        <v>male</v>
      </c>
      <c r="D337" s="20" t="n">
        <f aca="false">'Raw Data'!D337</f>
        <v>3</v>
      </c>
      <c r="E337" s="20" t="str">
        <f aca="false">'Raw Data'!E337</f>
        <v>rent</v>
      </c>
      <c r="F337" s="20" t="str">
        <f aca="false">'Raw Data'!F337</f>
        <v>little</v>
      </c>
      <c r="G337" s="20" t="str">
        <f aca="false">'Raw Data'!G337</f>
        <v>little</v>
      </c>
      <c r="H337" s="20" t="n">
        <f aca="false">'Raw Data'!H337</f>
        <v>3384</v>
      </c>
      <c r="I337" s="20" t="n">
        <f aca="false">'Raw Data'!I337</f>
        <v>6</v>
      </c>
      <c r="J337" s="20" t="str">
        <f aca="false">'Raw Data'!J337</f>
        <v>furniture/equipment</v>
      </c>
      <c r="K337" s="21" t="n">
        <f aca="false">H337/I337</f>
        <v>564</v>
      </c>
      <c r="L337" s="21" t="n">
        <f aca="false">100-MIN(K337/Assumptions!$B$14,1)*100</f>
        <v>0</v>
      </c>
      <c r="M337" s="21" t="n">
        <f aca="false">VLOOKUP(F337,Assumptions!$A$19:$B$23,2,0)</f>
        <v>25</v>
      </c>
      <c r="N337" s="21" t="n">
        <f aca="false">VLOOKUP(G337,Assumptions!$A$27:$B$30,2,0)</f>
        <v>25</v>
      </c>
      <c r="O337" s="21" t="n">
        <f aca="false">VLOOKUP(D337,Assumptions!$A$34:$B$37,2,0)</f>
        <v>100</v>
      </c>
      <c r="P337" s="21" t="n">
        <f aca="false">VLOOKUP(E337,Assumptions!$A$41:$B$43,2,0)</f>
        <v>30</v>
      </c>
      <c r="Q337" s="22" t="n">
        <f aca="false">L337*Assumptions!$B$7+M337*Assumptions!$B$8+N337*Assumptions!$B$9+O337*Assumptions!$B$10+P337*Assumptions!$B$11</f>
        <v>29.25</v>
      </c>
      <c r="R337" s="11" t="str">
        <f aca="false">IF(Q337&lt;=33,"High Risk",IF(Q337&lt;=66,"Medium Risk","Low Risk"))</f>
        <v>High Risk</v>
      </c>
    </row>
    <row r="338" customFormat="false" ht="15" hidden="false" customHeight="true" outlineLevel="0" collapsed="false">
      <c r="A338" s="20" t="n">
        <f aca="false">'Raw Data'!A338</f>
        <v>337</v>
      </c>
      <c r="B338" s="20" t="n">
        <f aca="false">'Raw Data'!B338</f>
        <v>23</v>
      </c>
      <c r="C338" s="20" t="str">
        <f aca="false">'Raw Data'!C338</f>
        <v>female</v>
      </c>
      <c r="D338" s="20" t="n">
        <f aca="false">'Raw Data'!D338</f>
        <v>1</v>
      </c>
      <c r="E338" s="20" t="str">
        <f aca="false">'Raw Data'!E338</f>
        <v>own</v>
      </c>
      <c r="F338" s="20" t="str">
        <f aca="false">'Raw Data'!F338</f>
        <v>little</v>
      </c>
      <c r="G338" s="20" t="str">
        <f aca="false">'Raw Data'!G338</f>
        <v>moderate</v>
      </c>
      <c r="H338" s="20" t="n">
        <f aca="false">'Raw Data'!H338</f>
        <v>2101</v>
      </c>
      <c r="I338" s="20" t="n">
        <f aca="false">'Raw Data'!I338</f>
        <v>13</v>
      </c>
      <c r="J338" s="20" t="str">
        <f aca="false">'Raw Data'!J338</f>
        <v>radio/TV</v>
      </c>
      <c r="K338" s="21" t="n">
        <f aca="false">H338/I338</f>
        <v>161.615384615385</v>
      </c>
      <c r="L338" s="21" t="n">
        <f aca="false">100-MIN(K338/Assumptions!$B$14,1)*100</f>
        <v>59.5961538461539</v>
      </c>
      <c r="M338" s="21" t="n">
        <f aca="false">VLOOKUP(F338,Assumptions!$A$19:$B$23,2,0)</f>
        <v>25</v>
      </c>
      <c r="N338" s="21" t="n">
        <f aca="false">VLOOKUP(G338,Assumptions!$A$27:$B$30,2,0)</f>
        <v>60</v>
      </c>
      <c r="O338" s="21" t="n">
        <f aca="false">VLOOKUP(D338,Assumptions!$A$34:$B$37,2,0)</f>
        <v>33</v>
      </c>
      <c r="P338" s="21" t="n">
        <f aca="false">VLOOKUP(E338,Assumptions!$A$41:$B$43,2,0)</f>
        <v>100</v>
      </c>
      <c r="Q338" s="22" t="n">
        <f aca="false">L338*Assumptions!$B$7+M338*Assumptions!$B$8+N338*Assumptions!$B$9+O338*Assumptions!$B$10+P338*Assumptions!$B$11</f>
        <v>51.0788461538462</v>
      </c>
      <c r="R338" s="11" t="str">
        <f aca="false">IF(Q338&lt;=33,"High Risk",IF(Q338&lt;=66,"Medium Risk","Low Risk"))</f>
        <v>Medium Risk</v>
      </c>
    </row>
    <row r="339" customFormat="false" ht="15" hidden="false" customHeight="true" outlineLevel="0" collapsed="false">
      <c r="A339" s="20" t="n">
        <f aca="false">'Raw Data'!A339</f>
        <v>338</v>
      </c>
      <c r="B339" s="20" t="n">
        <f aca="false">'Raw Data'!B339</f>
        <v>24</v>
      </c>
      <c r="C339" s="20" t="str">
        <f aca="false">'Raw Data'!C339</f>
        <v>female</v>
      </c>
      <c r="D339" s="20" t="n">
        <f aca="false">'Raw Data'!D339</f>
        <v>2</v>
      </c>
      <c r="E339" s="20" t="str">
        <f aca="false">'Raw Data'!E339</f>
        <v>rent</v>
      </c>
      <c r="F339" s="20" t="str">
        <f aca="false">'Raw Data'!F339</f>
        <v>none</v>
      </c>
      <c r="G339" s="20" t="str">
        <f aca="false">'Raw Data'!G339</f>
        <v>little</v>
      </c>
      <c r="H339" s="20" t="n">
        <f aca="false">'Raw Data'!H339</f>
        <v>1275</v>
      </c>
      <c r="I339" s="20" t="n">
        <f aca="false">'Raw Data'!I339</f>
        <v>15</v>
      </c>
      <c r="J339" s="20" t="str">
        <f aca="false">'Raw Data'!J339</f>
        <v>domestic appliances</v>
      </c>
      <c r="K339" s="21" t="n">
        <f aca="false">H339/I339</f>
        <v>85</v>
      </c>
      <c r="L339" s="21" t="n">
        <f aca="false">100-MIN(K339/Assumptions!$B$14,1)*100</f>
        <v>78.75</v>
      </c>
      <c r="M339" s="21" t="n">
        <f aca="false">VLOOKUP(F339,Assumptions!$A$19:$B$23,2,0)</f>
        <v>40</v>
      </c>
      <c r="N339" s="21" t="n">
        <f aca="false">VLOOKUP(G339,Assumptions!$A$27:$B$30,2,0)</f>
        <v>25</v>
      </c>
      <c r="O339" s="21" t="n">
        <f aca="false">VLOOKUP(D339,Assumptions!$A$34:$B$37,2,0)</f>
        <v>66</v>
      </c>
      <c r="P339" s="21" t="n">
        <f aca="false">VLOOKUP(E339,Assumptions!$A$41:$B$43,2,0)</f>
        <v>30</v>
      </c>
      <c r="Q339" s="22" t="n">
        <f aca="false">L339*Assumptions!$B$7+M339*Assumptions!$B$8+N339*Assumptions!$B$9+O339*Assumptions!$B$10+P339*Assumptions!$B$11</f>
        <v>51.525</v>
      </c>
      <c r="R339" s="11" t="str">
        <f aca="false">IF(Q339&lt;=33,"High Risk",IF(Q339&lt;=66,"Medium Risk","Low Risk"))</f>
        <v>Medium Risk</v>
      </c>
    </row>
    <row r="340" customFormat="false" ht="15" hidden="false" customHeight="true" outlineLevel="0" collapsed="false">
      <c r="A340" s="20" t="n">
        <f aca="false">'Raw Data'!A340</f>
        <v>339</v>
      </c>
      <c r="B340" s="20" t="n">
        <f aca="false">'Raw Data'!B340</f>
        <v>28</v>
      </c>
      <c r="C340" s="20" t="str">
        <f aca="false">'Raw Data'!C340</f>
        <v>male</v>
      </c>
      <c r="D340" s="20" t="n">
        <f aca="false">'Raw Data'!D340</f>
        <v>2</v>
      </c>
      <c r="E340" s="20" t="str">
        <f aca="false">'Raw Data'!E340</f>
        <v>own</v>
      </c>
      <c r="F340" s="20" t="str">
        <f aca="false">'Raw Data'!F340</f>
        <v>little</v>
      </c>
      <c r="G340" s="20" t="str">
        <f aca="false">'Raw Data'!G340</f>
        <v>little</v>
      </c>
      <c r="H340" s="20" t="n">
        <f aca="false">'Raw Data'!H340</f>
        <v>4169</v>
      </c>
      <c r="I340" s="20" t="n">
        <f aca="false">'Raw Data'!I340</f>
        <v>24</v>
      </c>
      <c r="J340" s="20" t="str">
        <f aca="false">'Raw Data'!J340</f>
        <v>furniture/equipment</v>
      </c>
      <c r="K340" s="21" t="n">
        <f aca="false">H340/I340</f>
        <v>173.708333333333</v>
      </c>
      <c r="L340" s="21" t="n">
        <f aca="false">100-MIN(K340/Assumptions!$B$14,1)*100</f>
        <v>56.5729166666667</v>
      </c>
      <c r="M340" s="21" t="n">
        <f aca="false">VLOOKUP(F340,Assumptions!$A$19:$B$23,2,0)</f>
        <v>25</v>
      </c>
      <c r="N340" s="21" t="n">
        <f aca="false">VLOOKUP(G340,Assumptions!$A$27:$B$30,2,0)</f>
        <v>25</v>
      </c>
      <c r="O340" s="21" t="n">
        <f aca="false">VLOOKUP(D340,Assumptions!$A$34:$B$37,2,0)</f>
        <v>66</v>
      </c>
      <c r="P340" s="21" t="n">
        <f aca="false">VLOOKUP(E340,Assumptions!$A$41:$B$43,2,0)</f>
        <v>100</v>
      </c>
      <c r="Q340" s="22" t="n">
        <f aca="false">L340*Assumptions!$B$7+M340*Assumptions!$B$8+N340*Assumptions!$B$9+O340*Assumptions!$B$10+P340*Assumptions!$B$11</f>
        <v>48.121875</v>
      </c>
      <c r="R340" s="11" t="str">
        <f aca="false">IF(Q340&lt;=33,"High Risk",IF(Q340&lt;=66,"Medium Risk","Low Risk"))</f>
        <v>Medium Risk</v>
      </c>
    </row>
    <row r="341" customFormat="false" ht="15" hidden="false" customHeight="true" outlineLevel="0" collapsed="false">
      <c r="A341" s="20" t="n">
        <f aca="false">'Raw Data'!A341</f>
        <v>340</v>
      </c>
      <c r="B341" s="20" t="n">
        <f aca="false">'Raw Data'!B341</f>
        <v>31</v>
      </c>
      <c r="C341" s="20" t="str">
        <f aca="false">'Raw Data'!C341</f>
        <v>male</v>
      </c>
      <c r="D341" s="20" t="n">
        <f aca="false">'Raw Data'!D341</f>
        <v>1</v>
      </c>
      <c r="E341" s="20" t="str">
        <f aca="false">'Raw Data'!E341</f>
        <v>own</v>
      </c>
      <c r="F341" s="20" t="str">
        <f aca="false">'Raw Data'!F341</f>
        <v>little</v>
      </c>
      <c r="G341" s="20" t="str">
        <f aca="false">'Raw Data'!G341</f>
        <v>moderate</v>
      </c>
      <c r="H341" s="20" t="n">
        <f aca="false">'Raw Data'!H341</f>
        <v>1521</v>
      </c>
      <c r="I341" s="20" t="n">
        <f aca="false">'Raw Data'!I341</f>
        <v>10</v>
      </c>
      <c r="J341" s="20" t="str">
        <f aca="false">'Raw Data'!J341</f>
        <v>furniture/equipment</v>
      </c>
      <c r="K341" s="21" t="n">
        <f aca="false">H341/I341</f>
        <v>152.1</v>
      </c>
      <c r="L341" s="21" t="n">
        <f aca="false">100-MIN(K341/Assumptions!$B$14,1)*100</f>
        <v>61.975</v>
      </c>
      <c r="M341" s="21" t="n">
        <f aca="false">VLOOKUP(F341,Assumptions!$A$19:$B$23,2,0)</f>
        <v>25</v>
      </c>
      <c r="N341" s="21" t="n">
        <f aca="false">VLOOKUP(G341,Assumptions!$A$27:$B$30,2,0)</f>
        <v>60</v>
      </c>
      <c r="O341" s="21" t="n">
        <f aca="false">VLOOKUP(D341,Assumptions!$A$34:$B$37,2,0)</f>
        <v>33</v>
      </c>
      <c r="P341" s="21" t="n">
        <f aca="false">VLOOKUP(E341,Assumptions!$A$41:$B$43,2,0)</f>
        <v>100</v>
      </c>
      <c r="Q341" s="22" t="n">
        <f aca="false">L341*Assumptions!$B$7+M341*Assumptions!$B$8+N341*Assumptions!$B$9+O341*Assumptions!$B$10+P341*Assumptions!$B$11</f>
        <v>51.7925</v>
      </c>
      <c r="R341" s="11" t="str">
        <f aca="false">IF(Q341&lt;=33,"High Risk",IF(Q341&lt;=66,"Medium Risk","Low Risk"))</f>
        <v>Medium Risk</v>
      </c>
    </row>
    <row r="342" customFormat="false" ht="15" hidden="false" customHeight="true" outlineLevel="0" collapsed="false">
      <c r="A342" s="20" t="n">
        <f aca="false">'Raw Data'!A342</f>
        <v>341</v>
      </c>
      <c r="B342" s="20" t="n">
        <f aca="false">'Raw Data'!B342</f>
        <v>24</v>
      </c>
      <c r="C342" s="20" t="str">
        <f aca="false">'Raw Data'!C342</f>
        <v>female</v>
      </c>
      <c r="D342" s="20" t="n">
        <f aca="false">'Raw Data'!D342</f>
        <v>2</v>
      </c>
      <c r="E342" s="20" t="str">
        <f aca="false">'Raw Data'!E342</f>
        <v>free</v>
      </c>
      <c r="F342" s="20" t="str">
        <f aca="false">'Raw Data'!F342</f>
        <v>little</v>
      </c>
      <c r="G342" s="20" t="str">
        <f aca="false">'Raw Data'!G342</f>
        <v>moderate</v>
      </c>
      <c r="H342" s="20" t="n">
        <f aca="false">'Raw Data'!H342</f>
        <v>5743</v>
      </c>
      <c r="I342" s="20" t="n">
        <f aca="false">'Raw Data'!I342</f>
        <v>24</v>
      </c>
      <c r="J342" s="20" t="str">
        <f aca="false">'Raw Data'!J342</f>
        <v>education</v>
      </c>
      <c r="K342" s="21" t="n">
        <f aca="false">H342/I342</f>
        <v>239.291666666667</v>
      </c>
      <c r="L342" s="21" t="n">
        <f aca="false">100-MIN(K342/Assumptions!$B$14,1)*100</f>
        <v>40.1770833333333</v>
      </c>
      <c r="M342" s="21" t="n">
        <f aca="false">VLOOKUP(F342,Assumptions!$A$19:$B$23,2,0)</f>
        <v>25</v>
      </c>
      <c r="N342" s="21" t="n">
        <f aca="false">VLOOKUP(G342,Assumptions!$A$27:$B$30,2,0)</f>
        <v>60</v>
      </c>
      <c r="O342" s="21" t="n">
        <f aca="false">VLOOKUP(D342,Assumptions!$A$34:$B$37,2,0)</f>
        <v>66</v>
      </c>
      <c r="P342" s="21" t="n">
        <f aca="false">VLOOKUP(E342,Assumptions!$A$41:$B$43,2,0)</f>
        <v>60</v>
      </c>
      <c r="Q342" s="22" t="n">
        <f aca="false">L342*Assumptions!$B$7+M342*Assumptions!$B$8+N342*Assumptions!$B$9+O342*Assumptions!$B$10+P342*Assumptions!$B$11</f>
        <v>46.203125</v>
      </c>
      <c r="R342" s="11" t="str">
        <f aca="false">IF(Q342&lt;=33,"High Risk",IF(Q342&lt;=66,"Medium Risk","Low Risk"))</f>
        <v>Medium Risk</v>
      </c>
    </row>
    <row r="343" customFormat="false" ht="15" hidden="false" customHeight="true" outlineLevel="0" collapsed="false">
      <c r="A343" s="20" t="n">
        <f aca="false">'Raw Data'!A343</f>
        <v>342</v>
      </c>
      <c r="B343" s="20" t="n">
        <f aca="false">'Raw Data'!B343</f>
        <v>26</v>
      </c>
      <c r="C343" s="20" t="str">
        <f aca="false">'Raw Data'!C343</f>
        <v>female</v>
      </c>
      <c r="D343" s="20" t="n">
        <f aca="false">'Raw Data'!D343</f>
        <v>1</v>
      </c>
      <c r="E343" s="20" t="str">
        <f aca="false">'Raw Data'!E343</f>
        <v>rent</v>
      </c>
      <c r="F343" s="20" t="str">
        <f aca="false">'Raw Data'!F343</f>
        <v>little</v>
      </c>
      <c r="G343" s="20" t="str">
        <f aca="false">'Raw Data'!G343</f>
        <v>little</v>
      </c>
      <c r="H343" s="20" t="n">
        <f aca="false">'Raw Data'!H343</f>
        <v>3599</v>
      </c>
      <c r="I343" s="20" t="n">
        <f aca="false">'Raw Data'!I343</f>
        <v>21</v>
      </c>
      <c r="J343" s="20" t="str">
        <f aca="false">'Raw Data'!J343</f>
        <v>furniture/equipment</v>
      </c>
      <c r="K343" s="21" t="n">
        <f aca="false">H343/I343</f>
        <v>171.380952380952</v>
      </c>
      <c r="L343" s="21" t="n">
        <f aca="false">100-MIN(K343/Assumptions!$B$14,1)*100</f>
        <v>57.1547619047619</v>
      </c>
      <c r="M343" s="21" t="n">
        <f aca="false">VLOOKUP(F343,Assumptions!$A$19:$B$23,2,0)</f>
        <v>25</v>
      </c>
      <c r="N343" s="21" t="n">
        <f aca="false">VLOOKUP(G343,Assumptions!$A$27:$B$30,2,0)</f>
        <v>25</v>
      </c>
      <c r="O343" s="21" t="n">
        <f aca="false">VLOOKUP(D343,Assumptions!$A$34:$B$37,2,0)</f>
        <v>33</v>
      </c>
      <c r="P343" s="21" t="n">
        <f aca="false">VLOOKUP(E343,Assumptions!$A$41:$B$43,2,0)</f>
        <v>30</v>
      </c>
      <c r="Q343" s="22" t="n">
        <f aca="false">L343*Assumptions!$B$7+M343*Assumptions!$B$8+N343*Assumptions!$B$9+O343*Assumptions!$B$10+P343*Assumptions!$B$11</f>
        <v>36.3464285714286</v>
      </c>
      <c r="R343" s="11" t="str">
        <f aca="false">IF(Q343&lt;=33,"High Risk",IF(Q343&lt;=66,"Medium Risk","Low Risk"))</f>
        <v>Medium Risk</v>
      </c>
    </row>
    <row r="344" customFormat="false" ht="15" hidden="false" customHeight="true" outlineLevel="0" collapsed="false">
      <c r="A344" s="20" t="n">
        <f aca="false">'Raw Data'!A344</f>
        <v>343</v>
      </c>
      <c r="B344" s="20" t="n">
        <f aca="false">'Raw Data'!B344</f>
        <v>25</v>
      </c>
      <c r="C344" s="20" t="str">
        <f aca="false">'Raw Data'!C344</f>
        <v>male</v>
      </c>
      <c r="D344" s="20" t="n">
        <f aca="false">'Raw Data'!D344</f>
        <v>2</v>
      </c>
      <c r="E344" s="20" t="str">
        <f aca="false">'Raw Data'!E344</f>
        <v>rent</v>
      </c>
      <c r="F344" s="20" t="str">
        <f aca="false">'Raw Data'!F344</f>
        <v>quite rich</v>
      </c>
      <c r="G344" s="20" t="str">
        <f aca="false">'Raw Data'!G344</f>
        <v>moderate</v>
      </c>
      <c r="H344" s="20" t="n">
        <f aca="false">'Raw Data'!H344</f>
        <v>3213</v>
      </c>
      <c r="I344" s="20" t="n">
        <f aca="false">'Raw Data'!I344</f>
        <v>18</v>
      </c>
      <c r="J344" s="20" t="str">
        <f aca="false">'Raw Data'!J344</f>
        <v>radio/TV</v>
      </c>
      <c r="K344" s="21" t="n">
        <f aca="false">H344/I344</f>
        <v>178.5</v>
      </c>
      <c r="L344" s="21" t="n">
        <f aca="false">100-MIN(K344/Assumptions!$B$14,1)*100</f>
        <v>55.375</v>
      </c>
      <c r="M344" s="21" t="n">
        <f aca="false">VLOOKUP(F344,Assumptions!$A$19:$B$23,2,0)</f>
        <v>75</v>
      </c>
      <c r="N344" s="21" t="n">
        <f aca="false">VLOOKUP(G344,Assumptions!$A$27:$B$30,2,0)</f>
        <v>60</v>
      </c>
      <c r="O344" s="21" t="n">
        <f aca="false">VLOOKUP(D344,Assumptions!$A$34:$B$37,2,0)</f>
        <v>66</v>
      </c>
      <c r="P344" s="21" t="n">
        <f aca="false">VLOOKUP(E344,Assumptions!$A$41:$B$43,2,0)</f>
        <v>30</v>
      </c>
      <c r="Q344" s="22" t="n">
        <f aca="false">L344*Assumptions!$B$7+M344*Assumptions!$B$8+N344*Assumptions!$B$9+O344*Assumptions!$B$10+P344*Assumptions!$B$11</f>
        <v>60.2625</v>
      </c>
      <c r="R344" s="11" t="str">
        <f aca="false">IF(Q344&lt;=33,"High Risk",IF(Q344&lt;=66,"Medium Risk","Low Risk"))</f>
        <v>Medium Risk</v>
      </c>
    </row>
    <row r="345" customFormat="false" ht="15" hidden="false" customHeight="true" outlineLevel="0" collapsed="false">
      <c r="A345" s="20" t="n">
        <f aca="false">'Raw Data'!A345</f>
        <v>344</v>
      </c>
      <c r="B345" s="20" t="n">
        <f aca="false">'Raw Data'!B345</f>
        <v>33</v>
      </c>
      <c r="C345" s="20" t="str">
        <f aca="false">'Raw Data'!C345</f>
        <v>male</v>
      </c>
      <c r="D345" s="20" t="n">
        <f aca="false">'Raw Data'!D345</f>
        <v>3</v>
      </c>
      <c r="E345" s="20" t="str">
        <f aca="false">'Raw Data'!E345</f>
        <v>own</v>
      </c>
      <c r="F345" s="20" t="str">
        <f aca="false">'Raw Data'!F345</f>
        <v>little</v>
      </c>
      <c r="G345" s="20" t="str">
        <f aca="false">'Raw Data'!G345</f>
        <v>moderate</v>
      </c>
      <c r="H345" s="20" t="n">
        <f aca="false">'Raw Data'!H345</f>
        <v>4439</v>
      </c>
      <c r="I345" s="20" t="n">
        <f aca="false">'Raw Data'!I345</f>
        <v>18</v>
      </c>
      <c r="J345" s="20" t="str">
        <f aca="false">'Raw Data'!J345</f>
        <v>business</v>
      </c>
      <c r="K345" s="21" t="n">
        <f aca="false">H345/I345</f>
        <v>246.611111111111</v>
      </c>
      <c r="L345" s="21" t="n">
        <f aca="false">100-MIN(K345/Assumptions!$B$14,1)*100</f>
        <v>38.3472222222222</v>
      </c>
      <c r="M345" s="21" t="n">
        <f aca="false">VLOOKUP(F345,Assumptions!$A$19:$B$23,2,0)</f>
        <v>25</v>
      </c>
      <c r="N345" s="21" t="n">
        <f aca="false">VLOOKUP(G345,Assumptions!$A$27:$B$30,2,0)</f>
        <v>60</v>
      </c>
      <c r="O345" s="21" t="n">
        <f aca="false">VLOOKUP(D345,Assumptions!$A$34:$B$37,2,0)</f>
        <v>100</v>
      </c>
      <c r="P345" s="21" t="n">
        <f aca="false">VLOOKUP(E345,Assumptions!$A$41:$B$43,2,0)</f>
        <v>100</v>
      </c>
      <c r="Q345" s="22" t="n">
        <f aca="false">L345*Assumptions!$B$7+M345*Assumptions!$B$8+N345*Assumptions!$B$9+O345*Assumptions!$B$10+P345*Assumptions!$B$11</f>
        <v>54.7541666666667</v>
      </c>
      <c r="R345" s="11" t="str">
        <f aca="false">IF(Q345&lt;=33,"High Risk",IF(Q345&lt;=66,"Medium Risk","Low Risk"))</f>
        <v>Medium Risk</v>
      </c>
    </row>
    <row r="346" customFormat="false" ht="15" hidden="false" customHeight="true" outlineLevel="0" collapsed="false">
      <c r="A346" s="20" t="n">
        <f aca="false">'Raw Data'!A346</f>
        <v>345</v>
      </c>
      <c r="B346" s="20" t="n">
        <f aca="false">'Raw Data'!B346</f>
        <v>37</v>
      </c>
      <c r="C346" s="20" t="str">
        <f aca="false">'Raw Data'!C346</f>
        <v>male</v>
      </c>
      <c r="D346" s="20" t="n">
        <f aca="false">'Raw Data'!D346</f>
        <v>1</v>
      </c>
      <c r="E346" s="20" t="str">
        <f aca="false">'Raw Data'!E346</f>
        <v>own</v>
      </c>
      <c r="F346" s="20" t="str">
        <f aca="false">'Raw Data'!F346</f>
        <v>little</v>
      </c>
      <c r="G346" s="20" t="str">
        <f aca="false">'Raw Data'!G346</f>
        <v>rich</v>
      </c>
      <c r="H346" s="20" t="n">
        <f aca="false">'Raw Data'!H346</f>
        <v>3949</v>
      </c>
      <c r="I346" s="20" t="n">
        <f aca="false">'Raw Data'!I346</f>
        <v>10</v>
      </c>
      <c r="J346" s="20" t="str">
        <f aca="false">'Raw Data'!J346</f>
        <v>car</v>
      </c>
      <c r="K346" s="21" t="n">
        <f aca="false">H346/I346</f>
        <v>394.9</v>
      </c>
      <c r="L346" s="21" t="n">
        <f aca="false">100-MIN(K346/Assumptions!$B$14,1)*100</f>
        <v>1.27500000000001</v>
      </c>
      <c r="M346" s="21" t="n">
        <f aca="false">VLOOKUP(F346,Assumptions!$A$19:$B$23,2,0)</f>
        <v>25</v>
      </c>
      <c r="N346" s="21" t="n">
        <f aca="false">VLOOKUP(G346,Assumptions!$A$27:$B$30,2,0)</f>
        <v>100</v>
      </c>
      <c r="O346" s="21" t="n">
        <f aca="false">VLOOKUP(D346,Assumptions!$A$34:$B$37,2,0)</f>
        <v>33</v>
      </c>
      <c r="P346" s="21" t="n">
        <f aca="false">VLOOKUP(E346,Assumptions!$A$41:$B$43,2,0)</f>
        <v>100</v>
      </c>
      <c r="Q346" s="22" t="n">
        <f aca="false">L346*Assumptions!$B$7+M346*Assumptions!$B$8+N346*Assumptions!$B$9+O346*Assumptions!$B$10+P346*Assumptions!$B$11</f>
        <v>41.5825</v>
      </c>
      <c r="R346" s="11" t="str">
        <f aca="false">IF(Q346&lt;=33,"High Risk",IF(Q346&lt;=66,"Medium Risk","Low Risk"))</f>
        <v>Medium Risk</v>
      </c>
    </row>
    <row r="347" customFormat="false" ht="15" hidden="false" customHeight="true" outlineLevel="0" collapsed="false">
      <c r="A347" s="20" t="n">
        <f aca="false">'Raw Data'!A347</f>
        <v>346</v>
      </c>
      <c r="B347" s="20" t="n">
        <f aca="false">'Raw Data'!B347</f>
        <v>43</v>
      </c>
      <c r="C347" s="20" t="str">
        <f aca="false">'Raw Data'!C347</f>
        <v>female</v>
      </c>
      <c r="D347" s="20" t="n">
        <f aca="false">'Raw Data'!D347</f>
        <v>1</v>
      </c>
      <c r="E347" s="20" t="str">
        <f aca="false">'Raw Data'!E347</f>
        <v>own</v>
      </c>
      <c r="F347" s="20" t="str">
        <f aca="false">'Raw Data'!F347</f>
        <v>little</v>
      </c>
      <c r="G347" s="20" t="str">
        <f aca="false">'Raw Data'!G347</f>
        <v>none</v>
      </c>
      <c r="H347" s="20" t="n">
        <f aca="false">'Raw Data'!H347</f>
        <v>1459</v>
      </c>
      <c r="I347" s="20" t="n">
        <f aca="false">'Raw Data'!I347</f>
        <v>15</v>
      </c>
      <c r="J347" s="20" t="str">
        <f aca="false">'Raw Data'!J347</f>
        <v>radio/TV</v>
      </c>
      <c r="K347" s="21" t="n">
        <f aca="false">H347/I347</f>
        <v>97.2666666666667</v>
      </c>
      <c r="L347" s="21" t="n">
        <f aca="false">100-MIN(K347/Assumptions!$B$14,1)*100</f>
        <v>75.6833333333333</v>
      </c>
      <c r="M347" s="21" t="n">
        <f aca="false">VLOOKUP(F347,Assumptions!$A$19:$B$23,2,0)</f>
        <v>25</v>
      </c>
      <c r="N347" s="21" t="n">
        <f aca="false">VLOOKUP(G347,Assumptions!$A$27:$B$30,2,0)</f>
        <v>50</v>
      </c>
      <c r="O347" s="21" t="n">
        <f aca="false">VLOOKUP(D347,Assumptions!$A$34:$B$37,2,0)</f>
        <v>33</v>
      </c>
      <c r="P347" s="21" t="n">
        <f aca="false">VLOOKUP(E347,Assumptions!$A$41:$B$43,2,0)</f>
        <v>100</v>
      </c>
      <c r="Q347" s="22" t="n">
        <f aca="false">L347*Assumptions!$B$7+M347*Assumptions!$B$8+N347*Assumptions!$B$9+O347*Assumptions!$B$10+P347*Assumptions!$B$11</f>
        <v>53.905</v>
      </c>
      <c r="R347" s="11" t="str">
        <f aca="false">IF(Q347&lt;=33,"High Risk",IF(Q347&lt;=66,"Medium Risk","Low Risk"))</f>
        <v>Medium Risk</v>
      </c>
    </row>
    <row r="348" customFormat="false" ht="15" hidden="false" customHeight="true" outlineLevel="0" collapsed="false">
      <c r="A348" s="20" t="n">
        <f aca="false">'Raw Data'!A348</f>
        <v>347</v>
      </c>
      <c r="B348" s="20" t="n">
        <f aca="false">'Raw Data'!B348</f>
        <v>23</v>
      </c>
      <c r="C348" s="20" t="str">
        <f aca="false">'Raw Data'!C348</f>
        <v>male</v>
      </c>
      <c r="D348" s="20" t="n">
        <f aca="false">'Raw Data'!D348</f>
        <v>2</v>
      </c>
      <c r="E348" s="20" t="str">
        <f aca="false">'Raw Data'!E348</f>
        <v>own</v>
      </c>
      <c r="F348" s="20" t="str">
        <f aca="false">'Raw Data'!F348</f>
        <v>little</v>
      </c>
      <c r="G348" s="20" t="str">
        <f aca="false">'Raw Data'!G348</f>
        <v>moderate</v>
      </c>
      <c r="H348" s="20" t="n">
        <f aca="false">'Raw Data'!H348</f>
        <v>882</v>
      </c>
      <c r="I348" s="20" t="n">
        <f aca="false">'Raw Data'!I348</f>
        <v>13</v>
      </c>
      <c r="J348" s="20" t="str">
        <f aca="false">'Raw Data'!J348</f>
        <v>radio/TV</v>
      </c>
      <c r="K348" s="21" t="n">
        <f aca="false">H348/I348</f>
        <v>67.8461538461538</v>
      </c>
      <c r="L348" s="21" t="n">
        <f aca="false">100-MIN(K348/Assumptions!$B$14,1)*100</f>
        <v>83.0384615384616</v>
      </c>
      <c r="M348" s="21" t="n">
        <f aca="false">VLOOKUP(F348,Assumptions!$A$19:$B$23,2,0)</f>
        <v>25</v>
      </c>
      <c r="N348" s="21" t="n">
        <f aca="false">VLOOKUP(G348,Assumptions!$A$27:$B$30,2,0)</f>
        <v>60</v>
      </c>
      <c r="O348" s="21" t="n">
        <f aca="false">VLOOKUP(D348,Assumptions!$A$34:$B$37,2,0)</f>
        <v>66</v>
      </c>
      <c r="P348" s="21" t="n">
        <f aca="false">VLOOKUP(E348,Assumptions!$A$41:$B$43,2,0)</f>
        <v>100</v>
      </c>
      <c r="Q348" s="22" t="n">
        <f aca="false">L348*Assumptions!$B$7+M348*Assumptions!$B$8+N348*Assumptions!$B$9+O348*Assumptions!$B$10+P348*Assumptions!$B$11</f>
        <v>63.0615384615385</v>
      </c>
      <c r="R348" s="11" t="str">
        <f aca="false">IF(Q348&lt;=33,"High Risk",IF(Q348&lt;=66,"Medium Risk","Low Risk"))</f>
        <v>Medium Risk</v>
      </c>
    </row>
    <row r="349" customFormat="false" ht="15" hidden="false" customHeight="true" outlineLevel="0" collapsed="false">
      <c r="A349" s="20" t="n">
        <f aca="false">'Raw Data'!A349</f>
        <v>348</v>
      </c>
      <c r="B349" s="20" t="n">
        <f aca="false">'Raw Data'!B349</f>
        <v>23</v>
      </c>
      <c r="C349" s="20" t="str">
        <f aca="false">'Raw Data'!C349</f>
        <v>female</v>
      </c>
      <c r="D349" s="20" t="n">
        <f aca="false">'Raw Data'!D349</f>
        <v>0</v>
      </c>
      <c r="E349" s="20" t="str">
        <f aca="false">'Raw Data'!E349</f>
        <v>rent</v>
      </c>
      <c r="F349" s="20" t="str">
        <f aca="false">'Raw Data'!F349</f>
        <v>quite rich</v>
      </c>
      <c r="G349" s="20" t="str">
        <f aca="false">'Raw Data'!G349</f>
        <v>moderate</v>
      </c>
      <c r="H349" s="20" t="n">
        <f aca="false">'Raw Data'!H349</f>
        <v>3758</v>
      </c>
      <c r="I349" s="20" t="n">
        <f aca="false">'Raw Data'!I349</f>
        <v>24</v>
      </c>
      <c r="J349" s="20" t="str">
        <f aca="false">'Raw Data'!J349</f>
        <v>radio/TV</v>
      </c>
      <c r="K349" s="21" t="n">
        <f aca="false">H349/I349</f>
        <v>156.583333333333</v>
      </c>
      <c r="L349" s="21" t="n">
        <f aca="false">100-MIN(K349/Assumptions!$B$14,1)*100</f>
        <v>60.8541666666667</v>
      </c>
      <c r="M349" s="21" t="n">
        <f aca="false">VLOOKUP(F349,Assumptions!$A$19:$B$23,2,0)</f>
        <v>75</v>
      </c>
      <c r="N349" s="21" t="n">
        <f aca="false">VLOOKUP(G349,Assumptions!$A$27:$B$30,2,0)</f>
        <v>60</v>
      </c>
      <c r="O349" s="21" t="n">
        <f aca="false">VLOOKUP(D349,Assumptions!$A$34:$B$37,2,0)</f>
        <v>0</v>
      </c>
      <c r="P349" s="21" t="n">
        <f aca="false">VLOOKUP(E349,Assumptions!$A$41:$B$43,2,0)</f>
        <v>30</v>
      </c>
      <c r="Q349" s="22" t="n">
        <f aca="false">L349*Assumptions!$B$7+M349*Assumptions!$B$8+N349*Assumptions!$B$9+O349*Assumptions!$B$10+P349*Assumptions!$B$11</f>
        <v>52.00625</v>
      </c>
      <c r="R349" s="11" t="str">
        <f aca="false">IF(Q349&lt;=33,"High Risk",IF(Q349&lt;=66,"Medium Risk","Low Risk"))</f>
        <v>Medium Risk</v>
      </c>
    </row>
    <row r="350" customFormat="false" ht="15" hidden="false" customHeight="true" outlineLevel="0" collapsed="false">
      <c r="A350" s="20" t="n">
        <f aca="false">'Raw Data'!A350</f>
        <v>349</v>
      </c>
      <c r="B350" s="20" t="n">
        <f aca="false">'Raw Data'!B350</f>
        <v>34</v>
      </c>
      <c r="C350" s="20" t="str">
        <f aca="false">'Raw Data'!C350</f>
        <v>male</v>
      </c>
      <c r="D350" s="20" t="n">
        <f aca="false">'Raw Data'!D350</f>
        <v>1</v>
      </c>
      <c r="E350" s="20" t="str">
        <f aca="false">'Raw Data'!E350</f>
        <v>own</v>
      </c>
      <c r="F350" s="20" t="str">
        <f aca="false">'Raw Data'!F350</f>
        <v>moderate</v>
      </c>
      <c r="G350" s="20" t="str">
        <f aca="false">'Raw Data'!G350</f>
        <v>none</v>
      </c>
      <c r="H350" s="20" t="n">
        <f aca="false">'Raw Data'!H350</f>
        <v>1743</v>
      </c>
      <c r="I350" s="20" t="n">
        <f aca="false">'Raw Data'!I350</f>
        <v>6</v>
      </c>
      <c r="J350" s="20" t="str">
        <f aca="false">'Raw Data'!J350</f>
        <v>business</v>
      </c>
      <c r="K350" s="21" t="n">
        <f aca="false">H350/I350</f>
        <v>290.5</v>
      </c>
      <c r="L350" s="21" t="n">
        <f aca="false">100-MIN(K350/Assumptions!$B$14,1)*100</f>
        <v>27.375</v>
      </c>
      <c r="M350" s="21" t="n">
        <f aca="false">VLOOKUP(F350,Assumptions!$A$19:$B$23,2,0)</f>
        <v>50</v>
      </c>
      <c r="N350" s="21" t="n">
        <f aca="false">VLOOKUP(G350,Assumptions!$A$27:$B$30,2,0)</f>
        <v>50</v>
      </c>
      <c r="O350" s="21" t="n">
        <f aca="false">VLOOKUP(D350,Assumptions!$A$34:$B$37,2,0)</f>
        <v>33</v>
      </c>
      <c r="P350" s="21" t="n">
        <f aca="false">VLOOKUP(E350,Assumptions!$A$41:$B$43,2,0)</f>
        <v>100</v>
      </c>
      <c r="Q350" s="22" t="n">
        <f aca="false">L350*Assumptions!$B$7+M350*Assumptions!$B$8+N350*Assumptions!$B$9+O350*Assumptions!$B$10+P350*Assumptions!$B$11</f>
        <v>45.6625</v>
      </c>
      <c r="R350" s="11" t="str">
        <f aca="false">IF(Q350&lt;=33,"High Risk",IF(Q350&lt;=66,"Medium Risk","Low Risk"))</f>
        <v>Medium Risk</v>
      </c>
    </row>
    <row r="351" customFormat="false" ht="15" hidden="false" customHeight="true" outlineLevel="0" collapsed="false">
      <c r="A351" s="20" t="n">
        <f aca="false">'Raw Data'!A351</f>
        <v>350</v>
      </c>
      <c r="B351" s="20" t="n">
        <f aca="false">'Raw Data'!B351</f>
        <v>32</v>
      </c>
      <c r="C351" s="20" t="str">
        <f aca="false">'Raw Data'!C351</f>
        <v>male</v>
      </c>
      <c r="D351" s="20" t="n">
        <f aca="false">'Raw Data'!D351</f>
        <v>2</v>
      </c>
      <c r="E351" s="20" t="str">
        <f aca="false">'Raw Data'!E351</f>
        <v>free</v>
      </c>
      <c r="F351" s="20" t="str">
        <f aca="false">'Raw Data'!F351</f>
        <v>rich</v>
      </c>
      <c r="G351" s="20" t="str">
        <f aca="false">'Raw Data'!G351</f>
        <v>moderate</v>
      </c>
      <c r="H351" s="20" t="n">
        <f aca="false">'Raw Data'!H351</f>
        <v>1136</v>
      </c>
      <c r="I351" s="20" t="n">
        <f aca="false">'Raw Data'!I351</f>
        <v>9</v>
      </c>
      <c r="J351" s="20" t="str">
        <f aca="false">'Raw Data'!J351</f>
        <v>education</v>
      </c>
      <c r="K351" s="21" t="n">
        <f aca="false">H351/I351</f>
        <v>126.222222222222</v>
      </c>
      <c r="L351" s="21" t="n">
        <f aca="false">100-MIN(K351/Assumptions!$B$14,1)*100</f>
        <v>68.4444444444444</v>
      </c>
      <c r="M351" s="21" t="n">
        <f aca="false">VLOOKUP(F351,Assumptions!$A$19:$B$23,2,0)</f>
        <v>100</v>
      </c>
      <c r="N351" s="21" t="n">
        <f aca="false">VLOOKUP(G351,Assumptions!$A$27:$B$30,2,0)</f>
        <v>60</v>
      </c>
      <c r="O351" s="21" t="n">
        <f aca="false">VLOOKUP(D351,Assumptions!$A$34:$B$37,2,0)</f>
        <v>66</v>
      </c>
      <c r="P351" s="21" t="n">
        <f aca="false">VLOOKUP(E351,Assumptions!$A$41:$B$43,2,0)</f>
        <v>60</v>
      </c>
      <c r="Q351" s="22" t="n">
        <f aca="false">L351*Assumptions!$B$7+M351*Assumptions!$B$8+N351*Assumptions!$B$9+O351*Assumptions!$B$10+P351*Assumptions!$B$11</f>
        <v>73.4333333333333</v>
      </c>
      <c r="R351" s="11" t="str">
        <f aca="false">IF(Q351&lt;=33,"High Risk",IF(Q351&lt;=66,"Medium Risk","Low Risk"))</f>
        <v>Low Risk</v>
      </c>
    </row>
    <row r="352" customFormat="false" ht="15" hidden="false" customHeight="true" outlineLevel="0" collapsed="false">
      <c r="A352" s="20" t="n">
        <f aca="false">'Raw Data'!A352</f>
        <v>351</v>
      </c>
      <c r="B352" s="20" t="n">
        <f aca="false">'Raw Data'!B352</f>
        <v>23</v>
      </c>
      <c r="C352" s="20" t="str">
        <f aca="false">'Raw Data'!C352</f>
        <v>female</v>
      </c>
      <c r="D352" s="20" t="n">
        <f aca="false">'Raw Data'!D352</f>
        <v>2</v>
      </c>
      <c r="E352" s="20" t="str">
        <f aca="false">'Raw Data'!E352</f>
        <v>rent</v>
      </c>
      <c r="F352" s="20" t="str">
        <f aca="false">'Raw Data'!F352</f>
        <v>little</v>
      </c>
      <c r="G352" s="20" t="str">
        <f aca="false">'Raw Data'!G352</f>
        <v>none</v>
      </c>
      <c r="H352" s="20" t="n">
        <f aca="false">'Raw Data'!H352</f>
        <v>1236</v>
      </c>
      <c r="I352" s="20" t="n">
        <f aca="false">'Raw Data'!I352</f>
        <v>9</v>
      </c>
      <c r="J352" s="20" t="str">
        <f aca="false">'Raw Data'!J352</f>
        <v>domestic appliances</v>
      </c>
      <c r="K352" s="21" t="n">
        <f aca="false">H352/I352</f>
        <v>137.333333333333</v>
      </c>
      <c r="L352" s="21" t="n">
        <f aca="false">100-MIN(K352/Assumptions!$B$14,1)*100</f>
        <v>65.6666666666667</v>
      </c>
      <c r="M352" s="21" t="n">
        <f aca="false">VLOOKUP(F352,Assumptions!$A$19:$B$23,2,0)</f>
        <v>25</v>
      </c>
      <c r="N352" s="21" t="n">
        <f aca="false">VLOOKUP(G352,Assumptions!$A$27:$B$30,2,0)</f>
        <v>50</v>
      </c>
      <c r="O352" s="21" t="n">
        <f aca="false">VLOOKUP(D352,Assumptions!$A$34:$B$37,2,0)</f>
        <v>66</v>
      </c>
      <c r="P352" s="21" t="n">
        <f aca="false">VLOOKUP(E352,Assumptions!$A$41:$B$43,2,0)</f>
        <v>30</v>
      </c>
      <c r="Q352" s="22" t="n">
        <f aca="false">L352*Assumptions!$B$7+M352*Assumptions!$B$8+N352*Assumptions!$B$9+O352*Assumptions!$B$10+P352*Assumptions!$B$11</f>
        <v>48.85</v>
      </c>
      <c r="R352" s="11" t="str">
        <f aca="false">IF(Q352&lt;=33,"High Risk",IF(Q352&lt;=66,"Medium Risk","Low Risk"))</f>
        <v>Medium Risk</v>
      </c>
    </row>
    <row r="353" customFormat="false" ht="15" hidden="false" customHeight="true" outlineLevel="0" collapsed="false">
      <c r="A353" s="20" t="n">
        <f aca="false">'Raw Data'!A353</f>
        <v>352</v>
      </c>
      <c r="B353" s="20" t="n">
        <f aca="false">'Raw Data'!B353</f>
        <v>29</v>
      </c>
      <c r="C353" s="20" t="str">
        <f aca="false">'Raw Data'!C353</f>
        <v>female</v>
      </c>
      <c r="D353" s="20" t="n">
        <f aca="false">'Raw Data'!D353</f>
        <v>2</v>
      </c>
      <c r="E353" s="20" t="str">
        <f aca="false">'Raw Data'!E353</f>
        <v>own</v>
      </c>
      <c r="F353" s="20" t="str">
        <f aca="false">'Raw Data'!F353</f>
        <v>little</v>
      </c>
      <c r="G353" s="20" t="str">
        <f aca="false">'Raw Data'!G353</f>
        <v>moderate</v>
      </c>
      <c r="H353" s="20" t="n">
        <f aca="false">'Raw Data'!H353</f>
        <v>959</v>
      </c>
      <c r="I353" s="20" t="n">
        <f aca="false">'Raw Data'!I353</f>
        <v>9</v>
      </c>
      <c r="J353" s="20" t="str">
        <f aca="false">'Raw Data'!J353</f>
        <v>furniture/equipment</v>
      </c>
      <c r="K353" s="21" t="n">
        <f aca="false">H353/I353</f>
        <v>106.555555555556</v>
      </c>
      <c r="L353" s="21" t="n">
        <f aca="false">100-MIN(K353/Assumptions!$B$14,1)*100</f>
        <v>73.3611111111111</v>
      </c>
      <c r="M353" s="21" t="n">
        <f aca="false">VLOOKUP(F353,Assumptions!$A$19:$B$23,2,0)</f>
        <v>25</v>
      </c>
      <c r="N353" s="21" t="n">
        <f aca="false">VLOOKUP(G353,Assumptions!$A$27:$B$30,2,0)</f>
        <v>60</v>
      </c>
      <c r="O353" s="21" t="n">
        <f aca="false">VLOOKUP(D353,Assumptions!$A$34:$B$37,2,0)</f>
        <v>66</v>
      </c>
      <c r="P353" s="21" t="n">
        <f aca="false">VLOOKUP(E353,Assumptions!$A$41:$B$43,2,0)</f>
        <v>100</v>
      </c>
      <c r="Q353" s="22" t="n">
        <f aca="false">L353*Assumptions!$B$7+M353*Assumptions!$B$8+N353*Assumptions!$B$9+O353*Assumptions!$B$10+P353*Assumptions!$B$11</f>
        <v>60.1583333333333</v>
      </c>
      <c r="R353" s="11" t="str">
        <f aca="false">IF(Q353&lt;=33,"High Risk",IF(Q353&lt;=66,"Medium Risk","Low Risk"))</f>
        <v>Medium Risk</v>
      </c>
    </row>
    <row r="354" customFormat="false" ht="15" hidden="false" customHeight="true" outlineLevel="0" collapsed="false">
      <c r="A354" s="20" t="n">
        <f aca="false">'Raw Data'!A354</f>
        <v>353</v>
      </c>
      <c r="B354" s="20" t="n">
        <f aca="false">'Raw Data'!B354</f>
        <v>38</v>
      </c>
      <c r="C354" s="20" t="str">
        <f aca="false">'Raw Data'!C354</f>
        <v>male</v>
      </c>
      <c r="D354" s="20" t="n">
        <f aca="false">'Raw Data'!D354</f>
        <v>3</v>
      </c>
      <c r="E354" s="20" t="str">
        <f aca="false">'Raw Data'!E354</f>
        <v>own</v>
      </c>
      <c r="F354" s="20" t="str">
        <f aca="false">'Raw Data'!F354</f>
        <v>none</v>
      </c>
      <c r="G354" s="20" t="str">
        <f aca="false">'Raw Data'!G354</f>
        <v>none</v>
      </c>
      <c r="H354" s="20" t="n">
        <f aca="false">'Raw Data'!H354</f>
        <v>3229</v>
      </c>
      <c r="I354" s="20" t="n">
        <f aca="false">'Raw Data'!I354</f>
        <v>18</v>
      </c>
      <c r="J354" s="20" t="str">
        <f aca="false">'Raw Data'!J354</f>
        <v>car</v>
      </c>
      <c r="K354" s="21" t="n">
        <f aca="false">H354/I354</f>
        <v>179.388888888889</v>
      </c>
      <c r="L354" s="21" t="n">
        <f aca="false">100-MIN(K354/Assumptions!$B$14,1)*100</f>
        <v>55.1527777777778</v>
      </c>
      <c r="M354" s="21" t="n">
        <f aca="false">VLOOKUP(F354,Assumptions!$A$19:$B$23,2,0)</f>
        <v>40</v>
      </c>
      <c r="N354" s="21" t="n">
        <f aca="false">VLOOKUP(G354,Assumptions!$A$27:$B$30,2,0)</f>
        <v>50</v>
      </c>
      <c r="O354" s="21" t="n">
        <f aca="false">VLOOKUP(D354,Assumptions!$A$34:$B$37,2,0)</f>
        <v>100</v>
      </c>
      <c r="P354" s="21" t="n">
        <f aca="false">VLOOKUP(E354,Assumptions!$A$41:$B$43,2,0)</f>
        <v>100</v>
      </c>
      <c r="Q354" s="22" t="n">
        <f aca="false">L354*Assumptions!$B$7+M354*Assumptions!$B$8+N354*Assumptions!$B$9+O354*Assumptions!$B$10+P354*Assumptions!$B$11</f>
        <v>61.5458333333333</v>
      </c>
      <c r="R354" s="11" t="str">
        <f aca="false">IF(Q354&lt;=33,"High Risk",IF(Q354&lt;=66,"Medium Risk","Low Risk"))</f>
        <v>Medium Risk</v>
      </c>
    </row>
    <row r="355" customFormat="false" ht="15" hidden="false" customHeight="true" outlineLevel="0" collapsed="false">
      <c r="A355" s="20" t="n">
        <f aca="false">'Raw Data'!A355</f>
        <v>354</v>
      </c>
      <c r="B355" s="20" t="n">
        <f aca="false">'Raw Data'!B355</f>
        <v>28</v>
      </c>
      <c r="C355" s="20" t="str">
        <f aca="false">'Raw Data'!C355</f>
        <v>male</v>
      </c>
      <c r="D355" s="20" t="n">
        <f aca="false">'Raw Data'!D355</f>
        <v>2</v>
      </c>
      <c r="E355" s="20" t="str">
        <f aca="false">'Raw Data'!E355</f>
        <v>rent</v>
      </c>
      <c r="F355" s="20" t="str">
        <f aca="false">'Raw Data'!F355</f>
        <v>little</v>
      </c>
      <c r="G355" s="20" t="str">
        <f aca="false">'Raw Data'!G355</f>
        <v>little</v>
      </c>
      <c r="H355" s="20" t="n">
        <f aca="false">'Raw Data'!H355</f>
        <v>6199</v>
      </c>
      <c r="I355" s="20" t="n">
        <f aca="false">'Raw Data'!I355</f>
        <v>12</v>
      </c>
      <c r="J355" s="20" t="str">
        <f aca="false">'Raw Data'!J355</f>
        <v>radio/TV</v>
      </c>
      <c r="K355" s="21" t="n">
        <f aca="false">H355/I355</f>
        <v>516.583333333333</v>
      </c>
      <c r="L355" s="21" t="n">
        <f aca="false">100-MIN(K355/Assumptions!$B$14,1)*100</f>
        <v>0</v>
      </c>
      <c r="M355" s="21" t="n">
        <f aca="false">VLOOKUP(F355,Assumptions!$A$19:$B$23,2,0)</f>
        <v>25</v>
      </c>
      <c r="N355" s="21" t="n">
        <f aca="false">VLOOKUP(G355,Assumptions!$A$27:$B$30,2,0)</f>
        <v>25</v>
      </c>
      <c r="O355" s="21" t="n">
        <f aca="false">VLOOKUP(D355,Assumptions!$A$34:$B$37,2,0)</f>
        <v>66</v>
      </c>
      <c r="P355" s="21" t="n">
        <f aca="false">VLOOKUP(E355,Assumptions!$A$41:$B$43,2,0)</f>
        <v>30</v>
      </c>
      <c r="Q355" s="22" t="n">
        <f aca="false">L355*Assumptions!$B$7+M355*Assumptions!$B$8+N355*Assumptions!$B$9+O355*Assumptions!$B$10+P355*Assumptions!$B$11</f>
        <v>24.15</v>
      </c>
      <c r="R355" s="11" t="str">
        <f aca="false">IF(Q355&lt;=33,"High Risk",IF(Q355&lt;=66,"Medium Risk","Low Risk"))</f>
        <v>High Risk</v>
      </c>
    </row>
    <row r="356" customFormat="false" ht="15" hidden="false" customHeight="true" outlineLevel="0" collapsed="false">
      <c r="A356" s="20" t="n">
        <f aca="false">'Raw Data'!A356</f>
        <v>355</v>
      </c>
      <c r="B356" s="20" t="n">
        <f aca="false">'Raw Data'!B356</f>
        <v>46</v>
      </c>
      <c r="C356" s="20" t="str">
        <f aca="false">'Raw Data'!C356</f>
        <v>male</v>
      </c>
      <c r="D356" s="20" t="n">
        <f aca="false">'Raw Data'!D356</f>
        <v>2</v>
      </c>
      <c r="E356" s="20" t="str">
        <f aca="false">'Raw Data'!E356</f>
        <v>free</v>
      </c>
      <c r="F356" s="20" t="str">
        <f aca="false">'Raw Data'!F356</f>
        <v>quite rich</v>
      </c>
      <c r="G356" s="20" t="str">
        <f aca="false">'Raw Data'!G356</f>
        <v>none</v>
      </c>
      <c r="H356" s="20" t="n">
        <f aca="false">'Raw Data'!H356</f>
        <v>727</v>
      </c>
      <c r="I356" s="20" t="n">
        <f aca="false">'Raw Data'!I356</f>
        <v>10</v>
      </c>
      <c r="J356" s="20" t="str">
        <f aca="false">'Raw Data'!J356</f>
        <v>education</v>
      </c>
      <c r="K356" s="21" t="n">
        <f aca="false">H356/I356</f>
        <v>72.7</v>
      </c>
      <c r="L356" s="21" t="n">
        <f aca="false">100-MIN(K356/Assumptions!$B$14,1)*100</f>
        <v>81.825</v>
      </c>
      <c r="M356" s="21" t="n">
        <f aca="false">VLOOKUP(F356,Assumptions!$A$19:$B$23,2,0)</f>
        <v>75</v>
      </c>
      <c r="N356" s="21" t="n">
        <f aca="false">VLOOKUP(G356,Assumptions!$A$27:$B$30,2,0)</f>
        <v>50</v>
      </c>
      <c r="O356" s="21" t="n">
        <f aca="false">VLOOKUP(D356,Assumptions!$A$34:$B$37,2,0)</f>
        <v>66</v>
      </c>
      <c r="P356" s="21" t="n">
        <f aca="false">VLOOKUP(E356,Assumptions!$A$41:$B$43,2,0)</f>
        <v>60</v>
      </c>
      <c r="Q356" s="22" t="n">
        <f aca="false">L356*Assumptions!$B$7+M356*Assumptions!$B$8+N356*Assumptions!$B$9+O356*Assumptions!$B$10+P356*Assumptions!$B$11</f>
        <v>69.1975</v>
      </c>
      <c r="R356" s="11" t="str">
        <f aca="false">IF(Q356&lt;=33,"High Risk",IF(Q356&lt;=66,"Medium Risk","Low Risk"))</f>
        <v>Low Risk</v>
      </c>
    </row>
    <row r="357" customFormat="false" ht="15" hidden="false" customHeight="true" outlineLevel="0" collapsed="false">
      <c r="A357" s="20" t="n">
        <f aca="false">'Raw Data'!A357</f>
        <v>356</v>
      </c>
      <c r="B357" s="20" t="n">
        <f aca="false">'Raw Data'!B357</f>
        <v>23</v>
      </c>
      <c r="C357" s="20" t="str">
        <f aca="false">'Raw Data'!C357</f>
        <v>male</v>
      </c>
      <c r="D357" s="20" t="n">
        <f aca="false">'Raw Data'!D357</f>
        <v>1</v>
      </c>
      <c r="E357" s="20" t="str">
        <f aca="false">'Raw Data'!E357</f>
        <v>own</v>
      </c>
      <c r="F357" s="20" t="str">
        <f aca="false">'Raw Data'!F357</f>
        <v>little</v>
      </c>
      <c r="G357" s="20" t="str">
        <f aca="false">'Raw Data'!G357</f>
        <v>moderate</v>
      </c>
      <c r="H357" s="20" t="n">
        <f aca="false">'Raw Data'!H357</f>
        <v>1246</v>
      </c>
      <c r="I357" s="20" t="n">
        <f aca="false">'Raw Data'!I357</f>
        <v>24</v>
      </c>
      <c r="J357" s="20" t="str">
        <f aca="false">'Raw Data'!J357</f>
        <v>car</v>
      </c>
      <c r="K357" s="21" t="n">
        <f aca="false">H357/I357</f>
        <v>51.9166666666667</v>
      </c>
      <c r="L357" s="21" t="n">
        <f aca="false">100-MIN(K357/Assumptions!$B$14,1)*100</f>
        <v>87.0208333333333</v>
      </c>
      <c r="M357" s="21" t="n">
        <f aca="false">VLOOKUP(F357,Assumptions!$A$19:$B$23,2,0)</f>
        <v>25</v>
      </c>
      <c r="N357" s="21" t="n">
        <f aca="false">VLOOKUP(G357,Assumptions!$A$27:$B$30,2,0)</f>
        <v>60</v>
      </c>
      <c r="O357" s="21" t="n">
        <f aca="false">VLOOKUP(D357,Assumptions!$A$34:$B$37,2,0)</f>
        <v>33</v>
      </c>
      <c r="P357" s="21" t="n">
        <f aca="false">VLOOKUP(E357,Assumptions!$A$41:$B$43,2,0)</f>
        <v>100</v>
      </c>
      <c r="Q357" s="22" t="n">
        <f aca="false">L357*Assumptions!$B$7+M357*Assumptions!$B$8+N357*Assumptions!$B$9+O357*Assumptions!$B$10+P357*Assumptions!$B$11</f>
        <v>59.30625</v>
      </c>
      <c r="R357" s="11" t="str">
        <f aca="false">IF(Q357&lt;=33,"High Risk",IF(Q357&lt;=66,"Medium Risk","Low Risk"))</f>
        <v>Medium Risk</v>
      </c>
    </row>
    <row r="358" customFormat="false" ht="15" hidden="false" customHeight="true" outlineLevel="0" collapsed="false">
      <c r="A358" s="20" t="n">
        <f aca="false">'Raw Data'!A358</f>
        <v>357</v>
      </c>
      <c r="B358" s="20" t="n">
        <f aca="false">'Raw Data'!B358</f>
        <v>49</v>
      </c>
      <c r="C358" s="20" t="str">
        <f aca="false">'Raw Data'!C358</f>
        <v>male</v>
      </c>
      <c r="D358" s="20" t="n">
        <f aca="false">'Raw Data'!D358</f>
        <v>2</v>
      </c>
      <c r="E358" s="20" t="str">
        <f aca="false">'Raw Data'!E358</f>
        <v>own</v>
      </c>
      <c r="F358" s="20" t="str">
        <f aca="false">'Raw Data'!F358</f>
        <v>none</v>
      </c>
      <c r="G358" s="20" t="str">
        <f aca="false">'Raw Data'!G358</f>
        <v>none</v>
      </c>
      <c r="H358" s="20" t="n">
        <f aca="false">'Raw Data'!H358</f>
        <v>2331</v>
      </c>
      <c r="I358" s="20" t="n">
        <f aca="false">'Raw Data'!I358</f>
        <v>12</v>
      </c>
      <c r="J358" s="20" t="str">
        <f aca="false">'Raw Data'!J358</f>
        <v>radio/TV</v>
      </c>
      <c r="K358" s="21" t="n">
        <f aca="false">H358/I358</f>
        <v>194.25</v>
      </c>
      <c r="L358" s="21" t="n">
        <f aca="false">100-MIN(K358/Assumptions!$B$14,1)*100</f>
        <v>51.4375</v>
      </c>
      <c r="M358" s="21" t="n">
        <f aca="false">VLOOKUP(F358,Assumptions!$A$19:$B$23,2,0)</f>
        <v>40</v>
      </c>
      <c r="N358" s="21" t="n">
        <f aca="false">VLOOKUP(G358,Assumptions!$A$27:$B$30,2,0)</f>
        <v>50</v>
      </c>
      <c r="O358" s="21" t="n">
        <f aca="false">VLOOKUP(D358,Assumptions!$A$34:$B$37,2,0)</f>
        <v>66</v>
      </c>
      <c r="P358" s="21" t="n">
        <f aca="false">VLOOKUP(E358,Assumptions!$A$41:$B$43,2,0)</f>
        <v>100</v>
      </c>
      <c r="Q358" s="22" t="n">
        <f aca="false">L358*Assumptions!$B$7+M358*Assumptions!$B$8+N358*Assumptions!$B$9+O358*Assumptions!$B$10+P358*Assumptions!$B$11</f>
        <v>55.33125</v>
      </c>
      <c r="R358" s="11" t="str">
        <f aca="false">IF(Q358&lt;=33,"High Risk",IF(Q358&lt;=66,"Medium Risk","Low Risk"))</f>
        <v>Medium Risk</v>
      </c>
    </row>
    <row r="359" customFormat="false" ht="15" hidden="false" customHeight="true" outlineLevel="0" collapsed="false">
      <c r="A359" s="20" t="n">
        <f aca="false">'Raw Data'!A359</f>
        <v>358</v>
      </c>
      <c r="B359" s="20" t="n">
        <f aca="false">'Raw Data'!B359</f>
        <v>26</v>
      </c>
      <c r="C359" s="20" t="str">
        <f aca="false">'Raw Data'!C359</f>
        <v>male</v>
      </c>
      <c r="D359" s="20" t="n">
        <f aca="false">'Raw Data'!D359</f>
        <v>3</v>
      </c>
      <c r="E359" s="20" t="str">
        <f aca="false">'Raw Data'!E359</f>
        <v>own</v>
      </c>
      <c r="F359" s="20" t="str">
        <f aca="false">'Raw Data'!F359</f>
        <v>little</v>
      </c>
      <c r="G359" s="20" t="str">
        <f aca="false">'Raw Data'!G359</f>
        <v>none</v>
      </c>
      <c r="H359" s="20" t="n">
        <f aca="false">'Raw Data'!H359</f>
        <v>4463</v>
      </c>
      <c r="I359" s="20" t="n">
        <f aca="false">'Raw Data'!I359</f>
        <v>36</v>
      </c>
      <c r="J359" s="20" t="str">
        <f aca="false">'Raw Data'!J359</f>
        <v>radio/TV</v>
      </c>
      <c r="K359" s="21" t="n">
        <f aca="false">H359/I359</f>
        <v>123.972222222222</v>
      </c>
      <c r="L359" s="21" t="n">
        <f aca="false">100-MIN(K359/Assumptions!$B$14,1)*100</f>
        <v>69.0069444444444</v>
      </c>
      <c r="M359" s="21" t="n">
        <f aca="false">VLOOKUP(F359,Assumptions!$A$19:$B$23,2,0)</f>
        <v>25</v>
      </c>
      <c r="N359" s="21" t="n">
        <f aca="false">VLOOKUP(G359,Assumptions!$A$27:$B$30,2,0)</f>
        <v>50</v>
      </c>
      <c r="O359" s="21" t="n">
        <f aca="false">VLOOKUP(D359,Assumptions!$A$34:$B$37,2,0)</f>
        <v>100</v>
      </c>
      <c r="P359" s="21" t="n">
        <f aca="false">VLOOKUP(E359,Assumptions!$A$41:$B$43,2,0)</f>
        <v>100</v>
      </c>
      <c r="Q359" s="22" t="n">
        <f aca="false">L359*Assumptions!$B$7+M359*Assumptions!$B$8+N359*Assumptions!$B$9+O359*Assumptions!$B$10+P359*Assumptions!$B$11</f>
        <v>61.9520833333333</v>
      </c>
      <c r="R359" s="11" t="str">
        <f aca="false">IF(Q359&lt;=33,"High Risk",IF(Q359&lt;=66,"Medium Risk","Low Risk"))</f>
        <v>Medium Risk</v>
      </c>
    </row>
    <row r="360" customFormat="false" ht="15" hidden="false" customHeight="true" outlineLevel="0" collapsed="false">
      <c r="A360" s="20" t="n">
        <f aca="false">'Raw Data'!A360</f>
        <v>359</v>
      </c>
      <c r="B360" s="20" t="n">
        <f aca="false">'Raw Data'!B360</f>
        <v>28</v>
      </c>
      <c r="C360" s="20" t="str">
        <f aca="false">'Raw Data'!C360</f>
        <v>male</v>
      </c>
      <c r="D360" s="20" t="n">
        <f aca="false">'Raw Data'!D360</f>
        <v>2</v>
      </c>
      <c r="E360" s="20" t="str">
        <f aca="false">'Raw Data'!E360</f>
        <v>own</v>
      </c>
      <c r="F360" s="20" t="str">
        <f aca="false">'Raw Data'!F360</f>
        <v>little</v>
      </c>
      <c r="G360" s="20" t="str">
        <f aca="false">'Raw Data'!G360</f>
        <v>none</v>
      </c>
      <c r="H360" s="20" t="n">
        <f aca="false">'Raw Data'!H360</f>
        <v>776</v>
      </c>
      <c r="I360" s="20" t="n">
        <f aca="false">'Raw Data'!I360</f>
        <v>12</v>
      </c>
      <c r="J360" s="20" t="str">
        <f aca="false">'Raw Data'!J360</f>
        <v>radio/TV</v>
      </c>
      <c r="K360" s="21" t="n">
        <f aca="false">H360/I360</f>
        <v>64.6666666666667</v>
      </c>
      <c r="L360" s="21" t="n">
        <f aca="false">100-MIN(K360/Assumptions!$B$14,1)*100</f>
        <v>83.8333333333333</v>
      </c>
      <c r="M360" s="21" t="n">
        <f aca="false">VLOOKUP(F360,Assumptions!$A$19:$B$23,2,0)</f>
        <v>25</v>
      </c>
      <c r="N360" s="21" t="n">
        <f aca="false">VLOOKUP(G360,Assumptions!$A$27:$B$30,2,0)</f>
        <v>50</v>
      </c>
      <c r="O360" s="21" t="n">
        <f aca="false">VLOOKUP(D360,Assumptions!$A$34:$B$37,2,0)</f>
        <v>66</v>
      </c>
      <c r="P360" s="21" t="n">
        <f aca="false">VLOOKUP(E360,Assumptions!$A$41:$B$43,2,0)</f>
        <v>100</v>
      </c>
      <c r="Q360" s="22" t="n">
        <f aca="false">L360*Assumptions!$B$7+M360*Assumptions!$B$8+N360*Assumptions!$B$9+O360*Assumptions!$B$10+P360*Assumptions!$B$11</f>
        <v>61.3</v>
      </c>
      <c r="R360" s="11" t="str">
        <f aca="false">IF(Q360&lt;=33,"High Risk",IF(Q360&lt;=66,"Medium Risk","Low Risk"))</f>
        <v>Medium Risk</v>
      </c>
    </row>
    <row r="361" customFormat="false" ht="15" hidden="false" customHeight="true" outlineLevel="0" collapsed="false">
      <c r="A361" s="20" t="n">
        <f aca="false">'Raw Data'!A361</f>
        <v>360</v>
      </c>
      <c r="B361" s="20" t="n">
        <f aca="false">'Raw Data'!B361</f>
        <v>23</v>
      </c>
      <c r="C361" s="20" t="str">
        <f aca="false">'Raw Data'!C361</f>
        <v>female</v>
      </c>
      <c r="D361" s="20" t="n">
        <f aca="false">'Raw Data'!D361</f>
        <v>2</v>
      </c>
      <c r="E361" s="20" t="str">
        <f aca="false">'Raw Data'!E361</f>
        <v>rent</v>
      </c>
      <c r="F361" s="20" t="str">
        <f aca="false">'Raw Data'!F361</f>
        <v>little</v>
      </c>
      <c r="G361" s="20" t="str">
        <f aca="false">'Raw Data'!G361</f>
        <v>little</v>
      </c>
      <c r="H361" s="20" t="n">
        <f aca="false">'Raw Data'!H361</f>
        <v>2406</v>
      </c>
      <c r="I361" s="20" t="n">
        <f aca="false">'Raw Data'!I361</f>
        <v>30</v>
      </c>
      <c r="J361" s="20" t="str">
        <f aca="false">'Raw Data'!J361</f>
        <v>furniture/equipment</v>
      </c>
      <c r="K361" s="21" t="n">
        <f aca="false">H361/I361</f>
        <v>80.2</v>
      </c>
      <c r="L361" s="21" t="n">
        <f aca="false">100-MIN(K361/Assumptions!$B$14,1)*100</f>
        <v>79.95</v>
      </c>
      <c r="M361" s="21" t="n">
        <f aca="false">VLOOKUP(F361,Assumptions!$A$19:$B$23,2,0)</f>
        <v>25</v>
      </c>
      <c r="N361" s="21" t="n">
        <f aca="false">VLOOKUP(G361,Assumptions!$A$27:$B$30,2,0)</f>
        <v>25</v>
      </c>
      <c r="O361" s="21" t="n">
        <f aca="false">VLOOKUP(D361,Assumptions!$A$34:$B$37,2,0)</f>
        <v>66</v>
      </c>
      <c r="P361" s="21" t="n">
        <f aca="false">VLOOKUP(E361,Assumptions!$A$41:$B$43,2,0)</f>
        <v>30</v>
      </c>
      <c r="Q361" s="22" t="n">
        <f aca="false">L361*Assumptions!$B$7+M361*Assumptions!$B$8+N361*Assumptions!$B$9+O361*Assumptions!$B$10+P361*Assumptions!$B$11</f>
        <v>48.135</v>
      </c>
      <c r="R361" s="11" t="str">
        <f aca="false">IF(Q361&lt;=33,"High Risk",IF(Q361&lt;=66,"Medium Risk","Low Risk"))</f>
        <v>Medium Risk</v>
      </c>
    </row>
    <row r="362" customFormat="false" ht="15" hidden="false" customHeight="true" outlineLevel="0" collapsed="false">
      <c r="A362" s="20" t="n">
        <f aca="false">'Raw Data'!A362</f>
        <v>361</v>
      </c>
      <c r="B362" s="20" t="n">
        <f aca="false">'Raw Data'!B362</f>
        <v>61</v>
      </c>
      <c r="C362" s="20" t="str">
        <f aca="false">'Raw Data'!C362</f>
        <v>male</v>
      </c>
      <c r="D362" s="20" t="n">
        <f aca="false">'Raw Data'!D362</f>
        <v>2</v>
      </c>
      <c r="E362" s="20" t="str">
        <f aca="false">'Raw Data'!E362</f>
        <v>free</v>
      </c>
      <c r="F362" s="20" t="str">
        <f aca="false">'Raw Data'!F362</f>
        <v>none</v>
      </c>
      <c r="G362" s="20" t="str">
        <f aca="false">'Raw Data'!G362</f>
        <v>moderate</v>
      </c>
      <c r="H362" s="20" t="n">
        <f aca="false">'Raw Data'!H362</f>
        <v>1239</v>
      </c>
      <c r="I362" s="20" t="n">
        <f aca="false">'Raw Data'!I362</f>
        <v>18</v>
      </c>
      <c r="J362" s="20" t="str">
        <f aca="false">'Raw Data'!J362</f>
        <v>education</v>
      </c>
      <c r="K362" s="21" t="n">
        <f aca="false">H362/I362</f>
        <v>68.8333333333333</v>
      </c>
      <c r="L362" s="21" t="n">
        <f aca="false">100-MIN(K362/Assumptions!$B$14,1)*100</f>
        <v>82.7916666666667</v>
      </c>
      <c r="M362" s="21" t="n">
        <f aca="false">VLOOKUP(F362,Assumptions!$A$19:$B$23,2,0)</f>
        <v>40</v>
      </c>
      <c r="N362" s="21" t="n">
        <f aca="false">VLOOKUP(G362,Assumptions!$A$27:$B$30,2,0)</f>
        <v>60</v>
      </c>
      <c r="O362" s="21" t="n">
        <f aca="false">VLOOKUP(D362,Assumptions!$A$34:$B$37,2,0)</f>
        <v>66</v>
      </c>
      <c r="P362" s="21" t="n">
        <f aca="false">VLOOKUP(E362,Assumptions!$A$41:$B$43,2,0)</f>
        <v>60</v>
      </c>
      <c r="Q362" s="22" t="n">
        <f aca="false">L362*Assumptions!$B$7+M362*Assumptions!$B$8+N362*Assumptions!$B$9+O362*Assumptions!$B$10+P362*Assumptions!$B$11</f>
        <v>62.7375</v>
      </c>
      <c r="R362" s="11" t="str">
        <f aca="false">IF(Q362&lt;=33,"High Risk",IF(Q362&lt;=66,"Medium Risk","Low Risk"))</f>
        <v>Medium Risk</v>
      </c>
    </row>
    <row r="363" customFormat="false" ht="15" hidden="false" customHeight="true" outlineLevel="0" collapsed="false">
      <c r="A363" s="20" t="n">
        <f aca="false">'Raw Data'!A363</f>
        <v>362</v>
      </c>
      <c r="B363" s="20" t="n">
        <f aca="false">'Raw Data'!B363</f>
        <v>37</v>
      </c>
      <c r="C363" s="20" t="str">
        <f aca="false">'Raw Data'!C363</f>
        <v>male</v>
      </c>
      <c r="D363" s="20" t="n">
        <f aca="false">'Raw Data'!D363</f>
        <v>3</v>
      </c>
      <c r="E363" s="20" t="str">
        <f aca="false">'Raw Data'!E363</f>
        <v>own</v>
      </c>
      <c r="F363" s="20" t="str">
        <f aca="false">'Raw Data'!F363</f>
        <v>none</v>
      </c>
      <c r="G363" s="20" t="str">
        <f aca="false">'Raw Data'!G363</f>
        <v>rich</v>
      </c>
      <c r="H363" s="20" t="n">
        <f aca="false">'Raw Data'!H363</f>
        <v>3399</v>
      </c>
      <c r="I363" s="20" t="n">
        <f aca="false">'Raw Data'!I363</f>
        <v>12</v>
      </c>
      <c r="J363" s="20" t="str">
        <f aca="false">'Raw Data'!J363</f>
        <v>radio/TV</v>
      </c>
      <c r="K363" s="21" t="n">
        <f aca="false">H363/I363</f>
        <v>283.25</v>
      </c>
      <c r="L363" s="21" t="n">
        <f aca="false">100-MIN(K363/Assumptions!$B$14,1)*100</f>
        <v>29.1875</v>
      </c>
      <c r="M363" s="21" t="n">
        <f aca="false">VLOOKUP(F363,Assumptions!$A$19:$B$23,2,0)</f>
        <v>40</v>
      </c>
      <c r="N363" s="21" t="n">
        <f aca="false">VLOOKUP(G363,Assumptions!$A$27:$B$30,2,0)</f>
        <v>100</v>
      </c>
      <c r="O363" s="21" t="n">
        <f aca="false">VLOOKUP(D363,Assumptions!$A$34:$B$37,2,0)</f>
        <v>100</v>
      </c>
      <c r="P363" s="21" t="n">
        <f aca="false">VLOOKUP(E363,Assumptions!$A$41:$B$43,2,0)</f>
        <v>100</v>
      </c>
      <c r="Q363" s="22" t="n">
        <f aca="false">L363*Assumptions!$B$7+M363*Assumptions!$B$8+N363*Assumptions!$B$9+O363*Assumptions!$B$10+P363*Assumptions!$B$11</f>
        <v>63.75625</v>
      </c>
      <c r="R363" s="11" t="str">
        <f aca="false">IF(Q363&lt;=33,"High Risk",IF(Q363&lt;=66,"Medium Risk","Low Risk"))</f>
        <v>Medium Risk</v>
      </c>
    </row>
    <row r="364" customFormat="false" ht="15" hidden="false" customHeight="true" outlineLevel="0" collapsed="false">
      <c r="A364" s="20" t="n">
        <f aca="false">'Raw Data'!A364</f>
        <v>363</v>
      </c>
      <c r="B364" s="20" t="n">
        <f aca="false">'Raw Data'!B364</f>
        <v>36</v>
      </c>
      <c r="C364" s="20" t="str">
        <f aca="false">'Raw Data'!C364</f>
        <v>female</v>
      </c>
      <c r="D364" s="20" t="n">
        <f aca="false">'Raw Data'!D364</f>
        <v>2</v>
      </c>
      <c r="E364" s="20" t="str">
        <f aca="false">'Raw Data'!E364</f>
        <v>own</v>
      </c>
      <c r="F364" s="20" t="str">
        <f aca="false">'Raw Data'!F364</f>
        <v>little</v>
      </c>
      <c r="G364" s="20" t="str">
        <f aca="false">'Raw Data'!G364</f>
        <v>rich</v>
      </c>
      <c r="H364" s="20" t="n">
        <f aca="false">'Raw Data'!H364</f>
        <v>2247</v>
      </c>
      <c r="I364" s="20" t="n">
        <f aca="false">'Raw Data'!I364</f>
        <v>12</v>
      </c>
      <c r="J364" s="20" t="str">
        <f aca="false">'Raw Data'!J364</f>
        <v>car</v>
      </c>
      <c r="K364" s="21" t="n">
        <f aca="false">H364/I364</f>
        <v>187.25</v>
      </c>
      <c r="L364" s="21" t="n">
        <f aca="false">100-MIN(K364/Assumptions!$B$14,1)*100</f>
        <v>53.1875</v>
      </c>
      <c r="M364" s="21" t="n">
        <f aca="false">VLOOKUP(F364,Assumptions!$A$19:$B$23,2,0)</f>
        <v>25</v>
      </c>
      <c r="N364" s="21" t="n">
        <f aca="false">VLOOKUP(G364,Assumptions!$A$27:$B$30,2,0)</f>
        <v>100</v>
      </c>
      <c r="O364" s="21" t="n">
        <f aca="false">VLOOKUP(D364,Assumptions!$A$34:$B$37,2,0)</f>
        <v>66</v>
      </c>
      <c r="P364" s="21" t="n">
        <f aca="false">VLOOKUP(E364,Assumptions!$A$41:$B$43,2,0)</f>
        <v>100</v>
      </c>
      <c r="Q364" s="22" t="n">
        <f aca="false">L364*Assumptions!$B$7+M364*Assumptions!$B$8+N364*Assumptions!$B$9+O364*Assumptions!$B$10+P364*Assumptions!$B$11</f>
        <v>62.10625</v>
      </c>
      <c r="R364" s="11" t="str">
        <f aca="false">IF(Q364&lt;=33,"High Risk",IF(Q364&lt;=66,"Medium Risk","Low Risk"))</f>
        <v>Medium Risk</v>
      </c>
    </row>
    <row r="365" customFormat="false" ht="15" hidden="false" customHeight="true" outlineLevel="0" collapsed="false">
      <c r="A365" s="20" t="n">
        <f aca="false">'Raw Data'!A365</f>
        <v>364</v>
      </c>
      <c r="B365" s="20" t="n">
        <f aca="false">'Raw Data'!B365</f>
        <v>21</v>
      </c>
      <c r="C365" s="20" t="str">
        <f aca="false">'Raw Data'!C365</f>
        <v>male</v>
      </c>
      <c r="D365" s="20" t="n">
        <f aca="false">'Raw Data'!D365</f>
        <v>2</v>
      </c>
      <c r="E365" s="20" t="str">
        <f aca="false">'Raw Data'!E365</f>
        <v>rent</v>
      </c>
      <c r="F365" s="20" t="str">
        <f aca="false">'Raw Data'!F365</f>
        <v>little</v>
      </c>
      <c r="G365" s="20" t="str">
        <f aca="false">'Raw Data'!G365</f>
        <v>none</v>
      </c>
      <c r="H365" s="20" t="n">
        <f aca="false">'Raw Data'!H365</f>
        <v>1766</v>
      </c>
      <c r="I365" s="20" t="n">
        <f aca="false">'Raw Data'!I365</f>
        <v>6</v>
      </c>
      <c r="J365" s="20" t="str">
        <f aca="false">'Raw Data'!J365</f>
        <v>furniture/equipment</v>
      </c>
      <c r="K365" s="21" t="n">
        <f aca="false">H365/I365</f>
        <v>294.333333333333</v>
      </c>
      <c r="L365" s="21" t="n">
        <f aca="false">100-MIN(K365/Assumptions!$B$14,1)*100</f>
        <v>26.4166666666667</v>
      </c>
      <c r="M365" s="21" t="n">
        <f aca="false">VLOOKUP(F365,Assumptions!$A$19:$B$23,2,0)</f>
        <v>25</v>
      </c>
      <c r="N365" s="21" t="n">
        <f aca="false">VLOOKUP(G365,Assumptions!$A$27:$B$30,2,0)</f>
        <v>50</v>
      </c>
      <c r="O365" s="21" t="n">
        <f aca="false">VLOOKUP(D365,Assumptions!$A$34:$B$37,2,0)</f>
        <v>66</v>
      </c>
      <c r="P365" s="21" t="n">
        <f aca="false">VLOOKUP(E365,Assumptions!$A$41:$B$43,2,0)</f>
        <v>30</v>
      </c>
      <c r="Q365" s="22" t="n">
        <f aca="false">L365*Assumptions!$B$7+M365*Assumptions!$B$8+N365*Assumptions!$B$9+O365*Assumptions!$B$10+P365*Assumptions!$B$11</f>
        <v>37.075</v>
      </c>
      <c r="R365" s="11" t="str">
        <f aca="false">IF(Q365&lt;=33,"High Risk",IF(Q365&lt;=66,"Medium Risk","Low Risk"))</f>
        <v>Medium Risk</v>
      </c>
    </row>
    <row r="366" customFormat="false" ht="15" hidden="false" customHeight="true" outlineLevel="0" collapsed="false">
      <c r="A366" s="20" t="n">
        <f aca="false">'Raw Data'!A366</f>
        <v>365</v>
      </c>
      <c r="B366" s="20" t="n">
        <f aca="false">'Raw Data'!B366</f>
        <v>25</v>
      </c>
      <c r="C366" s="20" t="str">
        <f aca="false">'Raw Data'!C366</f>
        <v>male</v>
      </c>
      <c r="D366" s="20" t="n">
        <f aca="false">'Raw Data'!D366</f>
        <v>0</v>
      </c>
      <c r="E366" s="20" t="str">
        <f aca="false">'Raw Data'!E366</f>
        <v>own</v>
      </c>
      <c r="F366" s="20" t="str">
        <f aca="false">'Raw Data'!F366</f>
        <v>little</v>
      </c>
      <c r="G366" s="20" t="str">
        <f aca="false">'Raw Data'!G366</f>
        <v>little</v>
      </c>
      <c r="H366" s="20" t="n">
        <f aca="false">'Raw Data'!H366</f>
        <v>2473</v>
      </c>
      <c r="I366" s="20" t="n">
        <f aca="false">'Raw Data'!I366</f>
        <v>18</v>
      </c>
      <c r="J366" s="20" t="str">
        <f aca="false">'Raw Data'!J366</f>
        <v>furniture/equipment</v>
      </c>
      <c r="K366" s="21" t="n">
        <f aca="false">H366/I366</f>
        <v>137.388888888889</v>
      </c>
      <c r="L366" s="21" t="n">
        <f aca="false">100-MIN(K366/Assumptions!$B$14,1)*100</f>
        <v>65.6527777777778</v>
      </c>
      <c r="M366" s="21" t="n">
        <f aca="false">VLOOKUP(F366,Assumptions!$A$19:$B$23,2,0)</f>
        <v>25</v>
      </c>
      <c r="N366" s="21" t="n">
        <f aca="false">VLOOKUP(G366,Assumptions!$A$27:$B$30,2,0)</f>
        <v>25</v>
      </c>
      <c r="O366" s="21" t="n">
        <f aca="false">VLOOKUP(D366,Assumptions!$A$34:$B$37,2,0)</f>
        <v>0</v>
      </c>
      <c r="P366" s="21" t="n">
        <f aca="false">VLOOKUP(E366,Assumptions!$A$41:$B$43,2,0)</f>
        <v>100</v>
      </c>
      <c r="Q366" s="22" t="n">
        <f aca="false">L366*Assumptions!$B$7+M366*Assumptions!$B$8+N366*Assumptions!$B$9+O366*Assumptions!$B$10+P366*Assumptions!$B$11</f>
        <v>40.9458333333333</v>
      </c>
      <c r="R366" s="11" t="str">
        <f aca="false">IF(Q366&lt;=33,"High Risk",IF(Q366&lt;=66,"Medium Risk","Low Risk"))</f>
        <v>Medium Risk</v>
      </c>
    </row>
    <row r="367" customFormat="false" ht="15" hidden="false" customHeight="true" outlineLevel="0" collapsed="false">
      <c r="A367" s="20" t="n">
        <f aca="false">'Raw Data'!A367</f>
        <v>366</v>
      </c>
      <c r="B367" s="20" t="n">
        <f aca="false">'Raw Data'!B367</f>
        <v>36</v>
      </c>
      <c r="C367" s="20" t="str">
        <f aca="false">'Raw Data'!C367</f>
        <v>male</v>
      </c>
      <c r="D367" s="20" t="n">
        <f aca="false">'Raw Data'!D367</f>
        <v>2</v>
      </c>
      <c r="E367" s="20" t="str">
        <f aca="false">'Raw Data'!E367</f>
        <v>own</v>
      </c>
      <c r="F367" s="20" t="str">
        <f aca="false">'Raw Data'!F367</f>
        <v>little</v>
      </c>
      <c r="G367" s="20" t="str">
        <f aca="false">'Raw Data'!G367</f>
        <v>none</v>
      </c>
      <c r="H367" s="20" t="n">
        <f aca="false">'Raw Data'!H367</f>
        <v>1542</v>
      </c>
      <c r="I367" s="20" t="n">
        <f aca="false">'Raw Data'!I367</f>
        <v>12</v>
      </c>
      <c r="J367" s="20" t="str">
        <f aca="false">'Raw Data'!J367</f>
        <v>business</v>
      </c>
      <c r="K367" s="21" t="n">
        <f aca="false">H367/I367</f>
        <v>128.5</v>
      </c>
      <c r="L367" s="21" t="n">
        <f aca="false">100-MIN(K367/Assumptions!$B$14,1)*100</f>
        <v>67.875</v>
      </c>
      <c r="M367" s="21" t="n">
        <f aca="false">VLOOKUP(F367,Assumptions!$A$19:$B$23,2,0)</f>
        <v>25</v>
      </c>
      <c r="N367" s="21" t="n">
        <f aca="false">VLOOKUP(G367,Assumptions!$A$27:$B$30,2,0)</f>
        <v>50</v>
      </c>
      <c r="O367" s="21" t="n">
        <f aca="false">VLOOKUP(D367,Assumptions!$A$34:$B$37,2,0)</f>
        <v>66</v>
      </c>
      <c r="P367" s="21" t="n">
        <f aca="false">VLOOKUP(E367,Assumptions!$A$41:$B$43,2,0)</f>
        <v>100</v>
      </c>
      <c r="Q367" s="22" t="n">
        <f aca="false">L367*Assumptions!$B$7+M367*Assumptions!$B$8+N367*Assumptions!$B$9+O367*Assumptions!$B$10+P367*Assumptions!$B$11</f>
        <v>56.5125</v>
      </c>
      <c r="R367" s="11" t="str">
        <f aca="false">IF(Q367&lt;=33,"High Risk",IF(Q367&lt;=66,"Medium Risk","Low Risk"))</f>
        <v>Medium Risk</v>
      </c>
    </row>
    <row r="368" customFormat="false" ht="15" hidden="false" customHeight="true" outlineLevel="0" collapsed="false">
      <c r="A368" s="20" t="n">
        <f aca="false">'Raw Data'!A368</f>
        <v>367</v>
      </c>
      <c r="B368" s="20" t="n">
        <f aca="false">'Raw Data'!B368</f>
        <v>27</v>
      </c>
      <c r="C368" s="20" t="str">
        <f aca="false">'Raw Data'!C368</f>
        <v>male</v>
      </c>
      <c r="D368" s="20" t="n">
        <f aca="false">'Raw Data'!D368</f>
        <v>2</v>
      </c>
      <c r="E368" s="20" t="str">
        <f aca="false">'Raw Data'!E368</f>
        <v>own</v>
      </c>
      <c r="F368" s="20" t="str">
        <f aca="false">'Raw Data'!F368</f>
        <v>little</v>
      </c>
      <c r="G368" s="20" t="str">
        <f aca="false">'Raw Data'!G368</f>
        <v>none</v>
      </c>
      <c r="H368" s="20" t="n">
        <f aca="false">'Raw Data'!H368</f>
        <v>3850</v>
      </c>
      <c r="I368" s="20" t="n">
        <f aca="false">'Raw Data'!I368</f>
        <v>18</v>
      </c>
      <c r="J368" s="20" t="str">
        <f aca="false">'Raw Data'!J368</f>
        <v>car</v>
      </c>
      <c r="K368" s="21" t="n">
        <f aca="false">H368/I368</f>
        <v>213.888888888889</v>
      </c>
      <c r="L368" s="21" t="n">
        <f aca="false">100-MIN(K368/Assumptions!$B$14,1)*100</f>
        <v>46.5277777777778</v>
      </c>
      <c r="M368" s="21" t="n">
        <f aca="false">VLOOKUP(F368,Assumptions!$A$19:$B$23,2,0)</f>
        <v>25</v>
      </c>
      <c r="N368" s="21" t="n">
        <f aca="false">VLOOKUP(G368,Assumptions!$A$27:$B$30,2,0)</f>
        <v>50</v>
      </c>
      <c r="O368" s="21" t="n">
        <f aca="false">VLOOKUP(D368,Assumptions!$A$34:$B$37,2,0)</f>
        <v>66</v>
      </c>
      <c r="P368" s="21" t="n">
        <f aca="false">VLOOKUP(E368,Assumptions!$A$41:$B$43,2,0)</f>
        <v>100</v>
      </c>
      <c r="Q368" s="22" t="n">
        <f aca="false">L368*Assumptions!$B$7+M368*Assumptions!$B$8+N368*Assumptions!$B$9+O368*Assumptions!$B$10+P368*Assumptions!$B$11</f>
        <v>50.1083333333333</v>
      </c>
      <c r="R368" s="11" t="str">
        <f aca="false">IF(Q368&lt;=33,"High Risk",IF(Q368&lt;=66,"Medium Risk","Low Risk"))</f>
        <v>Medium Risk</v>
      </c>
    </row>
    <row r="369" customFormat="false" ht="15" hidden="false" customHeight="true" outlineLevel="0" collapsed="false">
      <c r="A369" s="20" t="n">
        <f aca="false">'Raw Data'!A369</f>
        <v>368</v>
      </c>
      <c r="B369" s="20" t="n">
        <f aca="false">'Raw Data'!B369</f>
        <v>22</v>
      </c>
      <c r="C369" s="20" t="str">
        <f aca="false">'Raw Data'!C369</f>
        <v>female</v>
      </c>
      <c r="D369" s="20" t="n">
        <f aca="false">'Raw Data'!D369</f>
        <v>2</v>
      </c>
      <c r="E369" s="20" t="str">
        <f aca="false">'Raw Data'!E369</f>
        <v>rent</v>
      </c>
      <c r="F369" s="20" t="str">
        <f aca="false">'Raw Data'!F369</f>
        <v>little</v>
      </c>
      <c r="G369" s="20" t="str">
        <f aca="false">'Raw Data'!G369</f>
        <v>little</v>
      </c>
      <c r="H369" s="20" t="n">
        <f aca="false">'Raw Data'!H369</f>
        <v>3650</v>
      </c>
      <c r="I369" s="20" t="n">
        <f aca="false">'Raw Data'!I369</f>
        <v>18</v>
      </c>
      <c r="J369" s="20" t="str">
        <f aca="false">'Raw Data'!J369</f>
        <v>furniture/equipment</v>
      </c>
      <c r="K369" s="21" t="n">
        <f aca="false">H369/I369</f>
        <v>202.777777777778</v>
      </c>
      <c r="L369" s="21" t="n">
        <f aca="false">100-MIN(K369/Assumptions!$B$14,1)*100</f>
        <v>49.3055555555556</v>
      </c>
      <c r="M369" s="21" t="n">
        <f aca="false">VLOOKUP(F369,Assumptions!$A$19:$B$23,2,0)</f>
        <v>25</v>
      </c>
      <c r="N369" s="21" t="n">
        <f aca="false">VLOOKUP(G369,Assumptions!$A$27:$B$30,2,0)</f>
        <v>25</v>
      </c>
      <c r="O369" s="21" t="n">
        <f aca="false">VLOOKUP(D369,Assumptions!$A$34:$B$37,2,0)</f>
        <v>66</v>
      </c>
      <c r="P369" s="21" t="n">
        <f aca="false">VLOOKUP(E369,Assumptions!$A$41:$B$43,2,0)</f>
        <v>30</v>
      </c>
      <c r="Q369" s="22" t="n">
        <f aca="false">L369*Assumptions!$B$7+M369*Assumptions!$B$8+N369*Assumptions!$B$9+O369*Assumptions!$B$10+P369*Assumptions!$B$11</f>
        <v>38.9416666666667</v>
      </c>
      <c r="R369" s="11" t="str">
        <f aca="false">IF(Q369&lt;=33,"High Risk",IF(Q369&lt;=66,"Medium Risk","Low Risk"))</f>
        <v>Medium Risk</v>
      </c>
    </row>
    <row r="370" customFormat="false" ht="15" hidden="false" customHeight="true" outlineLevel="0" collapsed="false">
      <c r="A370" s="20" t="n">
        <f aca="false">'Raw Data'!A370</f>
        <v>369</v>
      </c>
      <c r="B370" s="20" t="n">
        <f aca="false">'Raw Data'!B370</f>
        <v>42</v>
      </c>
      <c r="C370" s="20" t="str">
        <f aca="false">'Raw Data'!C370</f>
        <v>male</v>
      </c>
      <c r="D370" s="20" t="n">
        <f aca="false">'Raw Data'!D370</f>
        <v>2</v>
      </c>
      <c r="E370" s="20" t="str">
        <f aca="false">'Raw Data'!E370</f>
        <v>own</v>
      </c>
      <c r="F370" s="20" t="str">
        <f aca="false">'Raw Data'!F370</f>
        <v>little</v>
      </c>
      <c r="G370" s="20" t="str">
        <f aca="false">'Raw Data'!G370</f>
        <v>little</v>
      </c>
      <c r="H370" s="20" t="n">
        <f aca="false">'Raw Data'!H370</f>
        <v>3446</v>
      </c>
      <c r="I370" s="20" t="n">
        <f aca="false">'Raw Data'!I370</f>
        <v>36</v>
      </c>
      <c r="J370" s="20" t="str">
        <f aca="false">'Raw Data'!J370</f>
        <v>furniture/equipment</v>
      </c>
      <c r="K370" s="21" t="n">
        <f aca="false">H370/I370</f>
        <v>95.7222222222222</v>
      </c>
      <c r="L370" s="21" t="n">
        <f aca="false">100-MIN(K370/Assumptions!$B$14,1)*100</f>
        <v>76.0694444444444</v>
      </c>
      <c r="M370" s="21" t="n">
        <f aca="false">VLOOKUP(F370,Assumptions!$A$19:$B$23,2,0)</f>
        <v>25</v>
      </c>
      <c r="N370" s="21" t="n">
        <f aca="false">VLOOKUP(G370,Assumptions!$A$27:$B$30,2,0)</f>
        <v>25</v>
      </c>
      <c r="O370" s="21" t="n">
        <f aca="false">VLOOKUP(D370,Assumptions!$A$34:$B$37,2,0)</f>
        <v>66</v>
      </c>
      <c r="P370" s="21" t="n">
        <f aca="false">VLOOKUP(E370,Assumptions!$A$41:$B$43,2,0)</f>
        <v>100</v>
      </c>
      <c r="Q370" s="22" t="n">
        <f aca="false">L370*Assumptions!$B$7+M370*Assumptions!$B$8+N370*Assumptions!$B$9+O370*Assumptions!$B$10+P370*Assumptions!$B$11</f>
        <v>53.9708333333333</v>
      </c>
      <c r="R370" s="11" t="str">
        <f aca="false">IF(Q370&lt;=33,"High Risk",IF(Q370&lt;=66,"Medium Risk","Low Risk"))</f>
        <v>Medium Risk</v>
      </c>
    </row>
    <row r="371" customFormat="false" ht="15" hidden="false" customHeight="true" outlineLevel="0" collapsed="false">
      <c r="A371" s="20" t="n">
        <f aca="false">'Raw Data'!A371</f>
        <v>370</v>
      </c>
      <c r="B371" s="20" t="n">
        <f aca="false">'Raw Data'!B371</f>
        <v>40</v>
      </c>
      <c r="C371" s="20" t="str">
        <f aca="false">'Raw Data'!C371</f>
        <v>female</v>
      </c>
      <c r="D371" s="20" t="n">
        <f aca="false">'Raw Data'!D371</f>
        <v>2</v>
      </c>
      <c r="E371" s="20" t="str">
        <f aca="false">'Raw Data'!E371</f>
        <v>rent</v>
      </c>
      <c r="F371" s="20" t="str">
        <f aca="false">'Raw Data'!F371</f>
        <v>little</v>
      </c>
      <c r="G371" s="20" t="str">
        <f aca="false">'Raw Data'!G371</f>
        <v>moderate</v>
      </c>
      <c r="H371" s="20" t="n">
        <f aca="false">'Raw Data'!H371</f>
        <v>3001</v>
      </c>
      <c r="I371" s="20" t="n">
        <f aca="false">'Raw Data'!I371</f>
        <v>18</v>
      </c>
      <c r="J371" s="20" t="str">
        <f aca="false">'Raw Data'!J371</f>
        <v>furniture/equipment</v>
      </c>
      <c r="K371" s="21" t="n">
        <f aca="false">H371/I371</f>
        <v>166.722222222222</v>
      </c>
      <c r="L371" s="21" t="n">
        <f aca="false">100-MIN(K371/Assumptions!$B$14,1)*100</f>
        <v>58.3194444444444</v>
      </c>
      <c r="M371" s="21" t="n">
        <f aca="false">VLOOKUP(F371,Assumptions!$A$19:$B$23,2,0)</f>
        <v>25</v>
      </c>
      <c r="N371" s="21" t="n">
        <f aca="false">VLOOKUP(G371,Assumptions!$A$27:$B$30,2,0)</f>
        <v>60</v>
      </c>
      <c r="O371" s="21" t="n">
        <f aca="false">VLOOKUP(D371,Assumptions!$A$34:$B$37,2,0)</f>
        <v>66</v>
      </c>
      <c r="P371" s="21" t="n">
        <f aca="false">VLOOKUP(E371,Assumptions!$A$41:$B$43,2,0)</f>
        <v>30</v>
      </c>
      <c r="Q371" s="22" t="n">
        <f aca="false">L371*Assumptions!$B$7+M371*Assumptions!$B$8+N371*Assumptions!$B$9+O371*Assumptions!$B$10+P371*Assumptions!$B$11</f>
        <v>48.6458333333333</v>
      </c>
      <c r="R371" s="11" t="str">
        <f aca="false">IF(Q371&lt;=33,"High Risk",IF(Q371&lt;=66,"Medium Risk","Low Risk"))</f>
        <v>Medium Risk</v>
      </c>
    </row>
    <row r="372" customFormat="false" ht="15" hidden="false" customHeight="true" outlineLevel="0" collapsed="false">
      <c r="A372" s="20" t="n">
        <f aca="false">'Raw Data'!A372</f>
        <v>371</v>
      </c>
      <c r="B372" s="20" t="n">
        <f aca="false">'Raw Data'!B372</f>
        <v>36</v>
      </c>
      <c r="C372" s="20" t="str">
        <f aca="false">'Raw Data'!C372</f>
        <v>male</v>
      </c>
      <c r="D372" s="20" t="n">
        <f aca="false">'Raw Data'!D372</f>
        <v>2</v>
      </c>
      <c r="E372" s="20" t="str">
        <f aca="false">'Raw Data'!E372</f>
        <v>own</v>
      </c>
      <c r="F372" s="20" t="str">
        <f aca="false">'Raw Data'!F372</f>
        <v>none</v>
      </c>
      <c r="G372" s="20" t="str">
        <f aca="false">'Raw Data'!G372</f>
        <v>none</v>
      </c>
      <c r="H372" s="20" t="n">
        <f aca="false">'Raw Data'!H372</f>
        <v>3079</v>
      </c>
      <c r="I372" s="20" t="n">
        <f aca="false">'Raw Data'!I372</f>
        <v>36</v>
      </c>
      <c r="J372" s="20" t="str">
        <f aca="false">'Raw Data'!J372</f>
        <v>car</v>
      </c>
      <c r="K372" s="21" t="n">
        <f aca="false">H372/I372</f>
        <v>85.5277777777778</v>
      </c>
      <c r="L372" s="21" t="n">
        <f aca="false">100-MIN(K372/Assumptions!$B$14,1)*100</f>
        <v>78.6180555555556</v>
      </c>
      <c r="M372" s="21" t="n">
        <f aca="false">VLOOKUP(F372,Assumptions!$A$19:$B$23,2,0)</f>
        <v>40</v>
      </c>
      <c r="N372" s="21" t="n">
        <f aca="false">VLOOKUP(G372,Assumptions!$A$27:$B$30,2,0)</f>
        <v>50</v>
      </c>
      <c r="O372" s="21" t="n">
        <f aca="false">VLOOKUP(D372,Assumptions!$A$34:$B$37,2,0)</f>
        <v>66</v>
      </c>
      <c r="P372" s="21" t="n">
        <f aca="false">VLOOKUP(E372,Assumptions!$A$41:$B$43,2,0)</f>
        <v>100</v>
      </c>
      <c r="Q372" s="22" t="n">
        <f aca="false">L372*Assumptions!$B$7+M372*Assumptions!$B$8+N372*Assumptions!$B$9+O372*Assumptions!$B$10+P372*Assumptions!$B$11</f>
        <v>63.4854166666667</v>
      </c>
      <c r="R372" s="11" t="str">
        <f aca="false">IF(Q372&lt;=33,"High Risk",IF(Q372&lt;=66,"Medium Risk","Low Risk"))</f>
        <v>Medium Risk</v>
      </c>
    </row>
    <row r="373" customFormat="false" ht="15" hidden="false" customHeight="true" outlineLevel="0" collapsed="false">
      <c r="A373" s="20" t="n">
        <f aca="false">'Raw Data'!A373</f>
        <v>372</v>
      </c>
      <c r="B373" s="20" t="n">
        <f aca="false">'Raw Data'!B373</f>
        <v>33</v>
      </c>
      <c r="C373" s="20" t="str">
        <f aca="false">'Raw Data'!C373</f>
        <v>male</v>
      </c>
      <c r="D373" s="20" t="n">
        <f aca="false">'Raw Data'!D373</f>
        <v>2</v>
      </c>
      <c r="E373" s="20" t="str">
        <f aca="false">'Raw Data'!E373</f>
        <v>own</v>
      </c>
      <c r="F373" s="20" t="str">
        <f aca="false">'Raw Data'!F373</f>
        <v>little</v>
      </c>
      <c r="G373" s="20" t="str">
        <f aca="false">'Raw Data'!G373</f>
        <v>none</v>
      </c>
      <c r="H373" s="20" t="n">
        <f aca="false">'Raw Data'!H373</f>
        <v>6070</v>
      </c>
      <c r="I373" s="20" t="n">
        <f aca="false">'Raw Data'!I373</f>
        <v>18</v>
      </c>
      <c r="J373" s="20" t="str">
        <f aca="false">'Raw Data'!J373</f>
        <v>radio/TV</v>
      </c>
      <c r="K373" s="21" t="n">
        <f aca="false">H373/I373</f>
        <v>337.222222222222</v>
      </c>
      <c r="L373" s="21" t="n">
        <f aca="false">100-MIN(K373/Assumptions!$B$14,1)*100</f>
        <v>15.6944444444444</v>
      </c>
      <c r="M373" s="21" t="n">
        <f aca="false">VLOOKUP(F373,Assumptions!$A$19:$B$23,2,0)</f>
        <v>25</v>
      </c>
      <c r="N373" s="21" t="n">
        <f aca="false">VLOOKUP(G373,Assumptions!$A$27:$B$30,2,0)</f>
        <v>50</v>
      </c>
      <c r="O373" s="21" t="n">
        <f aca="false">VLOOKUP(D373,Assumptions!$A$34:$B$37,2,0)</f>
        <v>66</v>
      </c>
      <c r="P373" s="21" t="n">
        <f aca="false">VLOOKUP(E373,Assumptions!$A$41:$B$43,2,0)</f>
        <v>100</v>
      </c>
      <c r="Q373" s="22" t="n">
        <f aca="false">L373*Assumptions!$B$7+M373*Assumptions!$B$8+N373*Assumptions!$B$9+O373*Assumptions!$B$10+P373*Assumptions!$B$11</f>
        <v>40.8583333333333</v>
      </c>
      <c r="R373" s="11" t="str">
        <f aca="false">IF(Q373&lt;=33,"High Risk",IF(Q373&lt;=66,"Medium Risk","Low Risk"))</f>
        <v>Medium Risk</v>
      </c>
    </row>
    <row r="374" customFormat="false" ht="15" hidden="false" customHeight="true" outlineLevel="0" collapsed="false">
      <c r="A374" s="20" t="n">
        <f aca="false">'Raw Data'!A374</f>
        <v>373</v>
      </c>
      <c r="B374" s="20" t="n">
        <f aca="false">'Raw Data'!B374</f>
        <v>23</v>
      </c>
      <c r="C374" s="20" t="str">
        <f aca="false">'Raw Data'!C374</f>
        <v>female</v>
      </c>
      <c r="D374" s="20" t="n">
        <f aca="false">'Raw Data'!D374</f>
        <v>2</v>
      </c>
      <c r="E374" s="20" t="str">
        <f aca="false">'Raw Data'!E374</f>
        <v>rent</v>
      </c>
      <c r="F374" s="20" t="str">
        <f aca="false">'Raw Data'!F374</f>
        <v>little</v>
      </c>
      <c r="G374" s="20" t="str">
        <f aca="false">'Raw Data'!G374</f>
        <v>none</v>
      </c>
      <c r="H374" s="20" t="n">
        <f aca="false">'Raw Data'!H374</f>
        <v>2146</v>
      </c>
      <c r="I374" s="20" t="n">
        <f aca="false">'Raw Data'!I374</f>
        <v>10</v>
      </c>
      <c r="J374" s="20" t="str">
        <f aca="false">'Raw Data'!J374</f>
        <v>furniture/equipment</v>
      </c>
      <c r="K374" s="21" t="n">
        <f aca="false">H374/I374</f>
        <v>214.6</v>
      </c>
      <c r="L374" s="21" t="n">
        <f aca="false">100-MIN(K374/Assumptions!$B$14,1)*100</f>
        <v>46.35</v>
      </c>
      <c r="M374" s="21" t="n">
        <f aca="false">VLOOKUP(F374,Assumptions!$A$19:$B$23,2,0)</f>
        <v>25</v>
      </c>
      <c r="N374" s="21" t="n">
        <f aca="false">VLOOKUP(G374,Assumptions!$A$27:$B$30,2,0)</f>
        <v>50</v>
      </c>
      <c r="O374" s="21" t="n">
        <f aca="false">VLOOKUP(D374,Assumptions!$A$34:$B$37,2,0)</f>
        <v>66</v>
      </c>
      <c r="P374" s="21" t="n">
        <f aca="false">VLOOKUP(E374,Assumptions!$A$41:$B$43,2,0)</f>
        <v>30</v>
      </c>
      <c r="Q374" s="22" t="n">
        <f aca="false">L374*Assumptions!$B$7+M374*Assumptions!$B$8+N374*Assumptions!$B$9+O374*Assumptions!$B$10+P374*Assumptions!$B$11</f>
        <v>43.055</v>
      </c>
      <c r="R374" s="11" t="str">
        <f aca="false">IF(Q374&lt;=33,"High Risk",IF(Q374&lt;=66,"Medium Risk","Low Risk"))</f>
        <v>Medium Risk</v>
      </c>
    </row>
    <row r="375" customFormat="false" ht="15" hidden="false" customHeight="true" outlineLevel="0" collapsed="false">
      <c r="A375" s="20" t="n">
        <f aca="false">'Raw Data'!A375</f>
        <v>374</v>
      </c>
      <c r="B375" s="20" t="n">
        <f aca="false">'Raw Data'!B375</f>
        <v>63</v>
      </c>
      <c r="C375" s="20" t="str">
        <f aca="false">'Raw Data'!C375</f>
        <v>male</v>
      </c>
      <c r="D375" s="20" t="n">
        <f aca="false">'Raw Data'!D375</f>
        <v>3</v>
      </c>
      <c r="E375" s="20" t="str">
        <f aca="false">'Raw Data'!E375</f>
        <v>free</v>
      </c>
      <c r="F375" s="20" t="str">
        <f aca="false">'Raw Data'!F375</f>
        <v>none</v>
      </c>
      <c r="G375" s="20" t="str">
        <f aca="false">'Raw Data'!G375</f>
        <v>none</v>
      </c>
      <c r="H375" s="20" t="n">
        <f aca="false">'Raw Data'!H375</f>
        <v>13756</v>
      </c>
      <c r="I375" s="20" t="n">
        <f aca="false">'Raw Data'!I375</f>
        <v>60</v>
      </c>
      <c r="J375" s="20" t="str">
        <f aca="false">'Raw Data'!J375</f>
        <v>car</v>
      </c>
      <c r="K375" s="21" t="n">
        <f aca="false">H375/I375</f>
        <v>229.266666666667</v>
      </c>
      <c r="L375" s="21" t="n">
        <f aca="false">100-MIN(K375/Assumptions!$B$14,1)*100</f>
        <v>42.6833333333333</v>
      </c>
      <c r="M375" s="21" t="n">
        <f aca="false">VLOOKUP(F375,Assumptions!$A$19:$B$23,2,0)</f>
        <v>40</v>
      </c>
      <c r="N375" s="21" t="n">
        <f aca="false">VLOOKUP(G375,Assumptions!$A$27:$B$30,2,0)</f>
        <v>50</v>
      </c>
      <c r="O375" s="21" t="n">
        <f aca="false">VLOOKUP(D375,Assumptions!$A$34:$B$37,2,0)</f>
        <v>100</v>
      </c>
      <c r="P375" s="21" t="n">
        <f aca="false">VLOOKUP(E375,Assumptions!$A$41:$B$43,2,0)</f>
        <v>60</v>
      </c>
      <c r="Q375" s="22" t="n">
        <f aca="false">L375*Assumptions!$B$7+M375*Assumptions!$B$8+N375*Assumptions!$B$9+O375*Assumptions!$B$10+P375*Assumptions!$B$11</f>
        <v>53.805</v>
      </c>
      <c r="R375" s="11" t="str">
        <f aca="false">IF(Q375&lt;=33,"High Risk",IF(Q375&lt;=66,"Medium Risk","Low Risk"))</f>
        <v>Medium Risk</v>
      </c>
    </row>
    <row r="376" customFormat="false" ht="15" hidden="false" customHeight="true" outlineLevel="0" collapsed="false">
      <c r="A376" s="20" t="n">
        <f aca="false">'Raw Data'!A376</f>
        <v>375</v>
      </c>
      <c r="B376" s="20" t="n">
        <f aca="false">'Raw Data'!B376</f>
        <v>60</v>
      </c>
      <c r="C376" s="20" t="str">
        <f aca="false">'Raw Data'!C376</f>
        <v>female</v>
      </c>
      <c r="D376" s="20" t="n">
        <f aca="false">'Raw Data'!D376</f>
        <v>3</v>
      </c>
      <c r="E376" s="20" t="str">
        <f aca="false">'Raw Data'!E376</f>
        <v>free</v>
      </c>
      <c r="F376" s="20" t="str">
        <f aca="false">'Raw Data'!F376</f>
        <v>moderate</v>
      </c>
      <c r="G376" s="20" t="str">
        <f aca="false">'Raw Data'!G376</f>
        <v>moderate</v>
      </c>
      <c r="H376" s="20" t="n">
        <f aca="false">'Raw Data'!H376</f>
        <v>14782</v>
      </c>
      <c r="I376" s="20" t="n">
        <f aca="false">'Raw Data'!I376</f>
        <v>60</v>
      </c>
      <c r="J376" s="20" t="str">
        <f aca="false">'Raw Data'!J376</f>
        <v>vacation/others</v>
      </c>
      <c r="K376" s="21" t="n">
        <f aca="false">H376/I376</f>
        <v>246.366666666667</v>
      </c>
      <c r="L376" s="21" t="n">
        <f aca="false">100-MIN(K376/Assumptions!$B$14,1)*100</f>
        <v>38.4083333333333</v>
      </c>
      <c r="M376" s="21" t="n">
        <f aca="false">VLOOKUP(F376,Assumptions!$A$19:$B$23,2,0)</f>
        <v>50</v>
      </c>
      <c r="N376" s="21" t="n">
        <f aca="false">VLOOKUP(G376,Assumptions!$A$27:$B$30,2,0)</f>
        <v>60</v>
      </c>
      <c r="O376" s="21" t="n">
        <f aca="false">VLOOKUP(D376,Assumptions!$A$34:$B$37,2,0)</f>
        <v>100</v>
      </c>
      <c r="P376" s="21" t="n">
        <f aca="false">VLOOKUP(E376,Assumptions!$A$41:$B$43,2,0)</f>
        <v>60</v>
      </c>
      <c r="Q376" s="22" t="n">
        <f aca="false">L376*Assumptions!$B$7+M376*Assumptions!$B$8+N376*Assumptions!$B$9+O376*Assumptions!$B$10+P376*Assumptions!$B$11</f>
        <v>57.0225</v>
      </c>
      <c r="R376" s="11" t="str">
        <f aca="false">IF(Q376&lt;=33,"High Risk",IF(Q376&lt;=66,"Medium Risk","Low Risk"))</f>
        <v>Medium Risk</v>
      </c>
    </row>
    <row r="377" customFormat="false" ht="15" hidden="false" customHeight="true" outlineLevel="0" collapsed="false">
      <c r="A377" s="20" t="n">
        <f aca="false">'Raw Data'!A377</f>
        <v>376</v>
      </c>
      <c r="B377" s="20" t="n">
        <f aca="false">'Raw Data'!B377</f>
        <v>37</v>
      </c>
      <c r="C377" s="20" t="str">
        <f aca="false">'Raw Data'!C377</f>
        <v>female</v>
      </c>
      <c r="D377" s="20" t="n">
        <f aca="false">'Raw Data'!D377</f>
        <v>2</v>
      </c>
      <c r="E377" s="20" t="str">
        <f aca="false">'Raw Data'!E377</f>
        <v>rent</v>
      </c>
      <c r="F377" s="20" t="str">
        <f aca="false">'Raw Data'!F377</f>
        <v>little</v>
      </c>
      <c r="G377" s="20" t="str">
        <f aca="false">'Raw Data'!G377</f>
        <v>little</v>
      </c>
      <c r="H377" s="20" t="n">
        <f aca="false">'Raw Data'!H377</f>
        <v>7685</v>
      </c>
      <c r="I377" s="20" t="n">
        <f aca="false">'Raw Data'!I377</f>
        <v>48</v>
      </c>
      <c r="J377" s="20" t="str">
        <f aca="false">'Raw Data'!J377</f>
        <v>business</v>
      </c>
      <c r="K377" s="21" t="n">
        <f aca="false">H377/I377</f>
        <v>160.104166666667</v>
      </c>
      <c r="L377" s="21" t="n">
        <f aca="false">100-MIN(K377/Assumptions!$B$14,1)*100</f>
        <v>59.9739583333333</v>
      </c>
      <c r="M377" s="21" t="n">
        <f aca="false">VLOOKUP(F377,Assumptions!$A$19:$B$23,2,0)</f>
        <v>25</v>
      </c>
      <c r="N377" s="21" t="n">
        <f aca="false">VLOOKUP(G377,Assumptions!$A$27:$B$30,2,0)</f>
        <v>25</v>
      </c>
      <c r="O377" s="21" t="n">
        <f aca="false">VLOOKUP(D377,Assumptions!$A$34:$B$37,2,0)</f>
        <v>66</v>
      </c>
      <c r="P377" s="21" t="n">
        <f aca="false">VLOOKUP(E377,Assumptions!$A$41:$B$43,2,0)</f>
        <v>30</v>
      </c>
      <c r="Q377" s="22" t="n">
        <f aca="false">L377*Assumptions!$B$7+M377*Assumptions!$B$8+N377*Assumptions!$B$9+O377*Assumptions!$B$10+P377*Assumptions!$B$11</f>
        <v>42.1421875</v>
      </c>
      <c r="R377" s="11" t="str">
        <f aca="false">IF(Q377&lt;=33,"High Risk",IF(Q377&lt;=66,"Medium Risk","Low Risk"))</f>
        <v>Medium Risk</v>
      </c>
    </row>
    <row r="378" customFormat="false" ht="15" hidden="false" customHeight="true" outlineLevel="0" collapsed="false">
      <c r="A378" s="20" t="n">
        <f aca="false">'Raw Data'!A378</f>
        <v>377</v>
      </c>
      <c r="B378" s="20" t="n">
        <f aca="false">'Raw Data'!B378</f>
        <v>34</v>
      </c>
      <c r="C378" s="20" t="str">
        <f aca="false">'Raw Data'!C378</f>
        <v>male</v>
      </c>
      <c r="D378" s="20" t="n">
        <f aca="false">'Raw Data'!D378</f>
        <v>2</v>
      </c>
      <c r="E378" s="20" t="str">
        <f aca="false">'Raw Data'!E378</f>
        <v>own</v>
      </c>
      <c r="F378" s="20" t="str">
        <f aca="false">'Raw Data'!F378</f>
        <v>little</v>
      </c>
      <c r="G378" s="20" t="str">
        <f aca="false">'Raw Data'!G378</f>
        <v>none</v>
      </c>
      <c r="H378" s="20" t="n">
        <f aca="false">'Raw Data'!H378</f>
        <v>2320</v>
      </c>
      <c r="I378" s="20" t="n">
        <f aca="false">'Raw Data'!I378</f>
        <v>18</v>
      </c>
      <c r="J378" s="20" t="str">
        <f aca="false">'Raw Data'!J378</f>
        <v>radio/TV</v>
      </c>
      <c r="K378" s="21" t="n">
        <f aca="false">H378/I378</f>
        <v>128.888888888889</v>
      </c>
      <c r="L378" s="21" t="n">
        <f aca="false">100-MIN(K378/Assumptions!$B$14,1)*100</f>
        <v>67.7777777777778</v>
      </c>
      <c r="M378" s="21" t="n">
        <f aca="false">VLOOKUP(F378,Assumptions!$A$19:$B$23,2,0)</f>
        <v>25</v>
      </c>
      <c r="N378" s="21" t="n">
        <f aca="false">VLOOKUP(G378,Assumptions!$A$27:$B$30,2,0)</f>
        <v>50</v>
      </c>
      <c r="O378" s="21" t="n">
        <f aca="false">VLOOKUP(D378,Assumptions!$A$34:$B$37,2,0)</f>
        <v>66</v>
      </c>
      <c r="P378" s="21" t="n">
        <f aca="false">VLOOKUP(E378,Assumptions!$A$41:$B$43,2,0)</f>
        <v>100</v>
      </c>
      <c r="Q378" s="22" t="n">
        <f aca="false">L378*Assumptions!$B$7+M378*Assumptions!$B$8+N378*Assumptions!$B$9+O378*Assumptions!$B$10+P378*Assumptions!$B$11</f>
        <v>56.4833333333333</v>
      </c>
      <c r="R378" s="11" t="str">
        <f aca="false">IF(Q378&lt;=33,"High Risk",IF(Q378&lt;=66,"Medium Risk","Low Risk"))</f>
        <v>Medium Risk</v>
      </c>
    </row>
    <row r="379" customFormat="false" ht="15" hidden="false" customHeight="true" outlineLevel="0" collapsed="false">
      <c r="A379" s="20" t="n">
        <f aca="false">'Raw Data'!A379</f>
        <v>378</v>
      </c>
      <c r="B379" s="20" t="n">
        <f aca="false">'Raw Data'!B379</f>
        <v>36</v>
      </c>
      <c r="C379" s="20" t="str">
        <f aca="false">'Raw Data'!C379</f>
        <v>male</v>
      </c>
      <c r="D379" s="20" t="n">
        <f aca="false">'Raw Data'!D379</f>
        <v>2</v>
      </c>
      <c r="E379" s="20" t="str">
        <f aca="false">'Raw Data'!E379</f>
        <v>free</v>
      </c>
      <c r="F379" s="20" t="str">
        <f aca="false">'Raw Data'!F379</f>
        <v>none</v>
      </c>
      <c r="G379" s="20" t="str">
        <f aca="false">'Raw Data'!G379</f>
        <v>none</v>
      </c>
      <c r="H379" s="20" t="n">
        <f aca="false">'Raw Data'!H379</f>
        <v>846</v>
      </c>
      <c r="I379" s="20" t="n">
        <f aca="false">'Raw Data'!I379</f>
        <v>7</v>
      </c>
      <c r="J379" s="20" t="str">
        <f aca="false">'Raw Data'!J379</f>
        <v>radio/TV</v>
      </c>
      <c r="K379" s="21" t="n">
        <f aca="false">H379/I379</f>
        <v>120.857142857143</v>
      </c>
      <c r="L379" s="21" t="n">
        <f aca="false">100-MIN(K379/Assumptions!$B$14,1)*100</f>
        <v>69.7857142857143</v>
      </c>
      <c r="M379" s="21" t="n">
        <f aca="false">VLOOKUP(F379,Assumptions!$A$19:$B$23,2,0)</f>
        <v>40</v>
      </c>
      <c r="N379" s="21" t="n">
        <f aca="false">VLOOKUP(G379,Assumptions!$A$27:$B$30,2,0)</f>
        <v>50</v>
      </c>
      <c r="O379" s="21" t="n">
        <f aca="false">VLOOKUP(D379,Assumptions!$A$34:$B$37,2,0)</f>
        <v>66</v>
      </c>
      <c r="P379" s="21" t="n">
        <f aca="false">VLOOKUP(E379,Assumptions!$A$41:$B$43,2,0)</f>
        <v>60</v>
      </c>
      <c r="Q379" s="22" t="n">
        <f aca="false">L379*Assumptions!$B$7+M379*Assumptions!$B$8+N379*Assumptions!$B$9+O379*Assumptions!$B$10+P379*Assumptions!$B$11</f>
        <v>56.8357142857143</v>
      </c>
      <c r="R379" s="11" t="str">
        <f aca="false">IF(Q379&lt;=33,"High Risk",IF(Q379&lt;=66,"Medium Risk","Low Risk"))</f>
        <v>Medium Risk</v>
      </c>
    </row>
    <row r="380" customFormat="false" ht="15" hidden="false" customHeight="true" outlineLevel="0" collapsed="false">
      <c r="A380" s="20" t="n">
        <f aca="false">'Raw Data'!A380</f>
        <v>379</v>
      </c>
      <c r="B380" s="20" t="n">
        <f aca="false">'Raw Data'!B380</f>
        <v>57</v>
      </c>
      <c r="C380" s="20" t="str">
        <f aca="false">'Raw Data'!C380</f>
        <v>male</v>
      </c>
      <c r="D380" s="20" t="n">
        <f aca="false">'Raw Data'!D380</f>
        <v>3</v>
      </c>
      <c r="E380" s="20" t="str">
        <f aca="false">'Raw Data'!E380</f>
        <v>free</v>
      </c>
      <c r="F380" s="20" t="str">
        <f aca="false">'Raw Data'!F380</f>
        <v>little</v>
      </c>
      <c r="G380" s="20" t="str">
        <f aca="false">'Raw Data'!G380</f>
        <v>moderate</v>
      </c>
      <c r="H380" s="20" t="n">
        <f aca="false">'Raw Data'!H380</f>
        <v>14318</v>
      </c>
      <c r="I380" s="20" t="n">
        <f aca="false">'Raw Data'!I380</f>
        <v>36</v>
      </c>
      <c r="J380" s="20" t="str">
        <f aca="false">'Raw Data'!J380</f>
        <v>car</v>
      </c>
      <c r="K380" s="21" t="n">
        <f aca="false">H380/I380</f>
        <v>397.722222222222</v>
      </c>
      <c r="L380" s="21" t="n">
        <f aca="false">100-MIN(K380/Assumptions!$B$14,1)*100</f>
        <v>0.569444444444443</v>
      </c>
      <c r="M380" s="21" t="n">
        <f aca="false">VLOOKUP(F380,Assumptions!$A$19:$B$23,2,0)</f>
        <v>25</v>
      </c>
      <c r="N380" s="21" t="n">
        <f aca="false">VLOOKUP(G380,Assumptions!$A$27:$B$30,2,0)</f>
        <v>60</v>
      </c>
      <c r="O380" s="21" t="n">
        <f aca="false">VLOOKUP(D380,Assumptions!$A$34:$B$37,2,0)</f>
        <v>100</v>
      </c>
      <c r="P380" s="21" t="n">
        <f aca="false">VLOOKUP(E380,Assumptions!$A$41:$B$43,2,0)</f>
        <v>60</v>
      </c>
      <c r="Q380" s="22" t="n">
        <f aca="false">L380*Assumptions!$B$7+M380*Assumptions!$B$8+N380*Assumptions!$B$9+O380*Assumptions!$B$10+P380*Assumptions!$B$11</f>
        <v>39.4208333333333</v>
      </c>
      <c r="R380" s="11" t="str">
        <f aca="false">IF(Q380&lt;=33,"High Risk",IF(Q380&lt;=66,"Medium Risk","Low Risk"))</f>
        <v>Medium Risk</v>
      </c>
    </row>
    <row r="381" customFormat="false" ht="15" hidden="false" customHeight="true" outlineLevel="0" collapsed="false">
      <c r="A381" s="20" t="n">
        <f aca="false">'Raw Data'!A381</f>
        <v>380</v>
      </c>
      <c r="B381" s="20" t="n">
        <f aca="false">'Raw Data'!B381</f>
        <v>52</v>
      </c>
      <c r="C381" s="20" t="str">
        <f aca="false">'Raw Data'!C381</f>
        <v>female</v>
      </c>
      <c r="D381" s="20" t="n">
        <f aca="false">'Raw Data'!D381</f>
        <v>1</v>
      </c>
      <c r="E381" s="20" t="str">
        <f aca="false">'Raw Data'!E381</f>
        <v>own</v>
      </c>
      <c r="F381" s="20" t="str">
        <f aca="false">'Raw Data'!F381</f>
        <v>moderate</v>
      </c>
      <c r="G381" s="20" t="str">
        <f aca="false">'Raw Data'!G381</f>
        <v>none</v>
      </c>
      <c r="H381" s="20" t="n">
        <f aca="false">'Raw Data'!H381</f>
        <v>362</v>
      </c>
      <c r="I381" s="20" t="n">
        <f aca="false">'Raw Data'!I381</f>
        <v>6</v>
      </c>
      <c r="J381" s="20" t="str">
        <f aca="false">'Raw Data'!J381</f>
        <v>car</v>
      </c>
      <c r="K381" s="21" t="n">
        <f aca="false">H381/I381</f>
        <v>60.3333333333333</v>
      </c>
      <c r="L381" s="21" t="n">
        <f aca="false">100-MIN(K381/Assumptions!$B$14,1)*100</f>
        <v>84.9166666666667</v>
      </c>
      <c r="M381" s="21" t="n">
        <f aca="false">VLOOKUP(F381,Assumptions!$A$19:$B$23,2,0)</f>
        <v>50</v>
      </c>
      <c r="N381" s="21" t="n">
        <f aca="false">VLOOKUP(G381,Assumptions!$A$27:$B$30,2,0)</f>
        <v>50</v>
      </c>
      <c r="O381" s="21" t="n">
        <f aca="false">VLOOKUP(D381,Assumptions!$A$34:$B$37,2,0)</f>
        <v>33</v>
      </c>
      <c r="P381" s="21" t="n">
        <f aca="false">VLOOKUP(E381,Assumptions!$A$41:$B$43,2,0)</f>
        <v>100</v>
      </c>
      <c r="Q381" s="22" t="n">
        <f aca="false">L381*Assumptions!$B$7+M381*Assumptions!$B$8+N381*Assumptions!$B$9+O381*Assumptions!$B$10+P381*Assumptions!$B$11</f>
        <v>62.925</v>
      </c>
      <c r="R381" s="11" t="str">
        <f aca="false">IF(Q381&lt;=33,"High Risk",IF(Q381&lt;=66,"Medium Risk","Low Risk"))</f>
        <v>Medium Risk</v>
      </c>
    </row>
    <row r="382" customFormat="false" ht="15" hidden="false" customHeight="true" outlineLevel="0" collapsed="false">
      <c r="A382" s="20" t="n">
        <f aca="false">'Raw Data'!A382</f>
        <v>381</v>
      </c>
      <c r="B382" s="20" t="n">
        <f aca="false">'Raw Data'!B382</f>
        <v>39</v>
      </c>
      <c r="C382" s="20" t="str">
        <f aca="false">'Raw Data'!C382</f>
        <v>male</v>
      </c>
      <c r="D382" s="20" t="n">
        <f aca="false">'Raw Data'!D382</f>
        <v>2</v>
      </c>
      <c r="E382" s="20" t="str">
        <f aca="false">'Raw Data'!E382</f>
        <v>own</v>
      </c>
      <c r="F382" s="20" t="str">
        <f aca="false">'Raw Data'!F382</f>
        <v>none</v>
      </c>
      <c r="G382" s="20" t="str">
        <f aca="false">'Raw Data'!G382</f>
        <v>little</v>
      </c>
      <c r="H382" s="20" t="n">
        <f aca="false">'Raw Data'!H382</f>
        <v>2212</v>
      </c>
      <c r="I382" s="20" t="n">
        <f aca="false">'Raw Data'!I382</f>
        <v>20</v>
      </c>
      <c r="J382" s="20" t="str">
        <f aca="false">'Raw Data'!J382</f>
        <v>furniture/equipment</v>
      </c>
      <c r="K382" s="21" t="n">
        <f aca="false">H382/I382</f>
        <v>110.6</v>
      </c>
      <c r="L382" s="21" t="n">
        <f aca="false">100-MIN(K382/Assumptions!$B$14,1)*100</f>
        <v>72.35</v>
      </c>
      <c r="M382" s="21" t="n">
        <f aca="false">VLOOKUP(F382,Assumptions!$A$19:$B$23,2,0)</f>
        <v>40</v>
      </c>
      <c r="N382" s="21" t="n">
        <f aca="false">VLOOKUP(G382,Assumptions!$A$27:$B$30,2,0)</f>
        <v>25</v>
      </c>
      <c r="O382" s="21" t="n">
        <f aca="false">VLOOKUP(D382,Assumptions!$A$34:$B$37,2,0)</f>
        <v>66</v>
      </c>
      <c r="P382" s="21" t="n">
        <f aca="false">VLOOKUP(E382,Assumptions!$A$41:$B$43,2,0)</f>
        <v>100</v>
      </c>
      <c r="Q382" s="22" t="n">
        <f aca="false">L382*Assumptions!$B$7+M382*Assumptions!$B$8+N382*Assumptions!$B$9+O382*Assumptions!$B$10+P382*Assumptions!$B$11</f>
        <v>56.605</v>
      </c>
      <c r="R382" s="11" t="str">
        <f aca="false">IF(Q382&lt;=33,"High Risk",IF(Q382&lt;=66,"Medium Risk","Low Risk"))</f>
        <v>Medium Risk</v>
      </c>
    </row>
    <row r="383" customFormat="false" ht="15" hidden="false" customHeight="true" outlineLevel="0" collapsed="false">
      <c r="A383" s="20" t="n">
        <f aca="false">'Raw Data'!A383</f>
        <v>382</v>
      </c>
      <c r="B383" s="20" t="n">
        <f aca="false">'Raw Data'!B383</f>
        <v>38</v>
      </c>
      <c r="C383" s="20" t="str">
        <f aca="false">'Raw Data'!C383</f>
        <v>female</v>
      </c>
      <c r="D383" s="20" t="n">
        <f aca="false">'Raw Data'!D383</f>
        <v>3</v>
      </c>
      <c r="E383" s="20" t="str">
        <f aca="false">'Raw Data'!E383</f>
        <v>free</v>
      </c>
      <c r="F383" s="20" t="str">
        <f aca="false">'Raw Data'!F383</f>
        <v>little</v>
      </c>
      <c r="G383" s="20" t="str">
        <f aca="false">'Raw Data'!G383</f>
        <v>moderate</v>
      </c>
      <c r="H383" s="20" t="n">
        <f aca="false">'Raw Data'!H383</f>
        <v>12976</v>
      </c>
      <c r="I383" s="20" t="n">
        <f aca="false">'Raw Data'!I383</f>
        <v>18</v>
      </c>
      <c r="J383" s="20" t="str">
        <f aca="false">'Raw Data'!J383</f>
        <v>car</v>
      </c>
      <c r="K383" s="21" t="n">
        <f aca="false">H383/I383</f>
        <v>720.888888888889</v>
      </c>
      <c r="L383" s="21" t="n">
        <f aca="false">100-MIN(K383/Assumptions!$B$14,1)*100</f>
        <v>0</v>
      </c>
      <c r="M383" s="21" t="n">
        <f aca="false">VLOOKUP(F383,Assumptions!$A$19:$B$23,2,0)</f>
        <v>25</v>
      </c>
      <c r="N383" s="21" t="n">
        <f aca="false">VLOOKUP(G383,Assumptions!$A$27:$B$30,2,0)</f>
        <v>60</v>
      </c>
      <c r="O383" s="21" t="n">
        <f aca="false">VLOOKUP(D383,Assumptions!$A$34:$B$37,2,0)</f>
        <v>100</v>
      </c>
      <c r="P383" s="21" t="n">
        <f aca="false">VLOOKUP(E383,Assumptions!$A$41:$B$43,2,0)</f>
        <v>60</v>
      </c>
      <c r="Q383" s="22" t="n">
        <f aca="false">L383*Assumptions!$B$7+M383*Assumptions!$B$8+N383*Assumptions!$B$9+O383*Assumptions!$B$10+P383*Assumptions!$B$11</f>
        <v>39.25</v>
      </c>
      <c r="R383" s="11" t="str">
        <f aca="false">IF(Q383&lt;=33,"High Risk",IF(Q383&lt;=66,"Medium Risk","Low Risk"))</f>
        <v>Medium Risk</v>
      </c>
    </row>
    <row r="384" customFormat="false" ht="15" hidden="false" customHeight="true" outlineLevel="0" collapsed="false">
      <c r="A384" s="20" t="n">
        <f aca="false">'Raw Data'!A384</f>
        <v>383</v>
      </c>
      <c r="B384" s="20" t="n">
        <f aca="false">'Raw Data'!B384</f>
        <v>25</v>
      </c>
      <c r="C384" s="20" t="str">
        <f aca="false">'Raw Data'!C384</f>
        <v>female</v>
      </c>
      <c r="D384" s="20" t="n">
        <f aca="false">'Raw Data'!D384</f>
        <v>2</v>
      </c>
      <c r="E384" s="20" t="str">
        <f aca="false">'Raw Data'!E384</f>
        <v>rent</v>
      </c>
      <c r="F384" s="20" t="str">
        <f aca="false">'Raw Data'!F384</f>
        <v>none</v>
      </c>
      <c r="G384" s="20" t="str">
        <f aca="false">'Raw Data'!G384</f>
        <v>none</v>
      </c>
      <c r="H384" s="20" t="n">
        <f aca="false">'Raw Data'!H384</f>
        <v>1283</v>
      </c>
      <c r="I384" s="20" t="n">
        <f aca="false">'Raw Data'!I384</f>
        <v>22</v>
      </c>
      <c r="J384" s="20" t="str">
        <f aca="false">'Raw Data'!J384</f>
        <v>car</v>
      </c>
      <c r="K384" s="21" t="n">
        <f aca="false">H384/I384</f>
        <v>58.3181818181818</v>
      </c>
      <c r="L384" s="21" t="n">
        <f aca="false">100-MIN(K384/Assumptions!$B$14,1)*100</f>
        <v>85.4204545454546</v>
      </c>
      <c r="M384" s="21" t="n">
        <f aca="false">VLOOKUP(F384,Assumptions!$A$19:$B$23,2,0)</f>
        <v>40</v>
      </c>
      <c r="N384" s="21" t="n">
        <f aca="false">VLOOKUP(G384,Assumptions!$A$27:$B$30,2,0)</f>
        <v>50</v>
      </c>
      <c r="O384" s="21" t="n">
        <f aca="false">VLOOKUP(D384,Assumptions!$A$34:$B$37,2,0)</f>
        <v>66</v>
      </c>
      <c r="P384" s="21" t="n">
        <f aca="false">VLOOKUP(E384,Assumptions!$A$41:$B$43,2,0)</f>
        <v>30</v>
      </c>
      <c r="Q384" s="22" t="n">
        <f aca="false">L384*Assumptions!$B$7+M384*Assumptions!$B$8+N384*Assumptions!$B$9+O384*Assumptions!$B$10+P384*Assumptions!$B$11</f>
        <v>58.5261363636364</v>
      </c>
      <c r="R384" s="11" t="str">
        <f aca="false">IF(Q384&lt;=33,"High Risk",IF(Q384&lt;=66,"Medium Risk","Low Risk"))</f>
        <v>Medium Risk</v>
      </c>
    </row>
    <row r="385" customFormat="false" ht="15" hidden="false" customHeight="true" outlineLevel="0" collapsed="false">
      <c r="A385" s="20" t="n">
        <f aca="false">'Raw Data'!A385</f>
        <v>384</v>
      </c>
      <c r="B385" s="20" t="n">
        <f aca="false">'Raw Data'!B385</f>
        <v>26</v>
      </c>
      <c r="C385" s="20" t="str">
        <f aca="false">'Raw Data'!C385</f>
        <v>male</v>
      </c>
      <c r="D385" s="20" t="n">
        <f aca="false">'Raw Data'!D385</f>
        <v>2</v>
      </c>
      <c r="E385" s="20" t="str">
        <f aca="false">'Raw Data'!E385</f>
        <v>own</v>
      </c>
      <c r="F385" s="20" t="str">
        <f aca="false">'Raw Data'!F385</f>
        <v>little</v>
      </c>
      <c r="G385" s="20" t="str">
        <f aca="false">'Raw Data'!G385</f>
        <v>rich</v>
      </c>
      <c r="H385" s="20" t="n">
        <f aca="false">'Raw Data'!H385</f>
        <v>1330</v>
      </c>
      <c r="I385" s="20" t="n">
        <f aca="false">'Raw Data'!I385</f>
        <v>12</v>
      </c>
      <c r="J385" s="20" t="str">
        <f aca="false">'Raw Data'!J385</f>
        <v>car</v>
      </c>
      <c r="K385" s="21" t="n">
        <f aca="false">H385/I385</f>
        <v>110.833333333333</v>
      </c>
      <c r="L385" s="21" t="n">
        <f aca="false">100-MIN(K385/Assumptions!$B$14,1)*100</f>
        <v>72.2916666666667</v>
      </c>
      <c r="M385" s="21" t="n">
        <f aca="false">VLOOKUP(F385,Assumptions!$A$19:$B$23,2,0)</f>
        <v>25</v>
      </c>
      <c r="N385" s="21" t="n">
        <f aca="false">VLOOKUP(G385,Assumptions!$A$27:$B$30,2,0)</f>
        <v>100</v>
      </c>
      <c r="O385" s="21" t="n">
        <f aca="false">VLOOKUP(D385,Assumptions!$A$34:$B$37,2,0)</f>
        <v>66</v>
      </c>
      <c r="P385" s="21" t="n">
        <f aca="false">VLOOKUP(E385,Assumptions!$A$41:$B$43,2,0)</f>
        <v>100</v>
      </c>
      <c r="Q385" s="22" t="n">
        <f aca="false">L385*Assumptions!$B$7+M385*Assumptions!$B$8+N385*Assumptions!$B$9+O385*Assumptions!$B$10+P385*Assumptions!$B$11</f>
        <v>67.8375</v>
      </c>
      <c r="R385" s="11" t="str">
        <f aca="false">IF(Q385&lt;=33,"High Risk",IF(Q385&lt;=66,"Medium Risk","Low Risk"))</f>
        <v>Low Risk</v>
      </c>
    </row>
    <row r="386" customFormat="false" ht="15" hidden="false" customHeight="true" outlineLevel="0" collapsed="false">
      <c r="A386" s="20" t="n">
        <f aca="false">'Raw Data'!A386</f>
        <v>385</v>
      </c>
      <c r="B386" s="20" t="n">
        <f aca="false">'Raw Data'!B386</f>
        <v>26</v>
      </c>
      <c r="C386" s="20" t="str">
        <f aca="false">'Raw Data'!C386</f>
        <v>male</v>
      </c>
      <c r="D386" s="20" t="n">
        <f aca="false">'Raw Data'!D386</f>
        <v>1</v>
      </c>
      <c r="E386" s="20" t="str">
        <f aca="false">'Raw Data'!E386</f>
        <v>own</v>
      </c>
      <c r="F386" s="20" t="str">
        <f aca="false">'Raw Data'!F386</f>
        <v>moderate</v>
      </c>
      <c r="G386" s="20" t="str">
        <f aca="false">'Raw Data'!G386</f>
        <v>none</v>
      </c>
      <c r="H386" s="20" t="n">
        <f aca="false">'Raw Data'!H386</f>
        <v>4272</v>
      </c>
      <c r="I386" s="20" t="n">
        <f aca="false">'Raw Data'!I386</f>
        <v>30</v>
      </c>
      <c r="J386" s="20" t="str">
        <f aca="false">'Raw Data'!J386</f>
        <v>business</v>
      </c>
      <c r="K386" s="21" t="n">
        <f aca="false">H386/I386</f>
        <v>142.4</v>
      </c>
      <c r="L386" s="21" t="n">
        <f aca="false">100-MIN(K386/Assumptions!$B$14,1)*100</f>
        <v>64.4</v>
      </c>
      <c r="M386" s="21" t="n">
        <f aca="false">VLOOKUP(F386,Assumptions!$A$19:$B$23,2,0)</f>
        <v>50</v>
      </c>
      <c r="N386" s="21" t="n">
        <f aca="false">VLOOKUP(G386,Assumptions!$A$27:$B$30,2,0)</f>
        <v>50</v>
      </c>
      <c r="O386" s="21" t="n">
        <f aca="false">VLOOKUP(D386,Assumptions!$A$34:$B$37,2,0)</f>
        <v>33</v>
      </c>
      <c r="P386" s="21" t="n">
        <f aca="false">VLOOKUP(E386,Assumptions!$A$41:$B$43,2,0)</f>
        <v>100</v>
      </c>
      <c r="Q386" s="22" t="n">
        <f aca="false">L386*Assumptions!$B$7+M386*Assumptions!$B$8+N386*Assumptions!$B$9+O386*Assumptions!$B$10+P386*Assumptions!$B$11</f>
        <v>56.77</v>
      </c>
      <c r="R386" s="11" t="str">
        <f aca="false">IF(Q386&lt;=33,"High Risk",IF(Q386&lt;=66,"Medium Risk","Low Risk"))</f>
        <v>Medium Risk</v>
      </c>
    </row>
    <row r="387" customFormat="false" ht="15" hidden="false" customHeight="true" outlineLevel="0" collapsed="false">
      <c r="A387" s="20" t="n">
        <f aca="false">'Raw Data'!A387</f>
        <v>386</v>
      </c>
      <c r="B387" s="20" t="n">
        <f aca="false">'Raw Data'!B387</f>
        <v>25</v>
      </c>
      <c r="C387" s="20" t="str">
        <f aca="false">'Raw Data'!C387</f>
        <v>female</v>
      </c>
      <c r="D387" s="20" t="n">
        <f aca="false">'Raw Data'!D387</f>
        <v>2</v>
      </c>
      <c r="E387" s="20" t="str">
        <f aca="false">'Raw Data'!E387</f>
        <v>own</v>
      </c>
      <c r="F387" s="20" t="str">
        <f aca="false">'Raw Data'!F387</f>
        <v>little</v>
      </c>
      <c r="G387" s="20" t="str">
        <f aca="false">'Raw Data'!G387</f>
        <v>none</v>
      </c>
      <c r="H387" s="20" t="n">
        <f aca="false">'Raw Data'!H387</f>
        <v>2238</v>
      </c>
      <c r="I387" s="20" t="n">
        <f aca="false">'Raw Data'!I387</f>
        <v>18</v>
      </c>
      <c r="J387" s="20" t="str">
        <f aca="false">'Raw Data'!J387</f>
        <v>radio/TV</v>
      </c>
      <c r="K387" s="21" t="n">
        <f aca="false">H387/I387</f>
        <v>124.333333333333</v>
      </c>
      <c r="L387" s="21" t="n">
        <f aca="false">100-MIN(K387/Assumptions!$B$14,1)*100</f>
        <v>68.9166666666667</v>
      </c>
      <c r="M387" s="21" t="n">
        <f aca="false">VLOOKUP(F387,Assumptions!$A$19:$B$23,2,0)</f>
        <v>25</v>
      </c>
      <c r="N387" s="21" t="n">
        <f aca="false">VLOOKUP(G387,Assumptions!$A$27:$B$30,2,0)</f>
        <v>50</v>
      </c>
      <c r="O387" s="21" t="n">
        <f aca="false">VLOOKUP(D387,Assumptions!$A$34:$B$37,2,0)</f>
        <v>66</v>
      </c>
      <c r="P387" s="21" t="n">
        <f aca="false">VLOOKUP(E387,Assumptions!$A$41:$B$43,2,0)</f>
        <v>100</v>
      </c>
      <c r="Q387" s="22" t="n">
        <f aca="false">L387*Assumptions!$B$7+M387*Assumptions!$B$8+N387*Assumptions!$B$9+O387*Assumptions!$B$10+P387*Assumptions!$B$11</f>
        <v>56.825</v>
      </c>
      <c r="R387" s="11" t="str">
        <f aca="false">IF(Q387&lt;=33,"High Risk",IF(Q387&lt;=66,"Medium Risk","Low Risk"))</f>
        <v>Medium Risk</v>
      </c>
    </row>
    <row r="388" customFormat="false" ht="15" hidden="false" customHeight="true" outlineLevel="0" collapsed="false">
      <c r="A388" s="20" t="n">
        <f aca="false">'Raw Data'!A388</f>
        <v>387</v>
      </c>
      <c r="B388" s="20" t="n">
        <f aca="false">'Raw Data'!B388</f>
        <v>21</v>
      </c>
      <c r="C388" s="20" t="str">
        <f aca="false">'Raw Data'!C388</f>
        <v>female</v>
      </c>
      <c r="D388" s="20" t="n">
        <f aca="false">'Raw Data'!D388</f>
        <v>2</v>
      </c>
      <c r="E388" s="20" t="str">
        <f aca="false">'Raw Data'!E388</f>
        <v>rent</v>
      </c>
      <c r="F388" s="20" t="str">
        <f aca="false">'Raw Data'!F388</f>
        <v>none</v>
      </c>
      <c r="G388" s="20" t="str">
        <f aca="false">'Raw Data'!G388</f>
        <v>none</v>
      </c>
      <c r="H388" s="20" t="n">
        <f aca="false">'Raw Data'!H388</f>
        <v>1126</v>
      </c>
      <c r="I388" s="20" t="n">
        <f aca="false">'Raw Data'!I388</f>
        <v>18</v>
      </c>
      <c r="J388" s="20" t="str">
        <f aca="false">'Raw Data'!J388</f>
        <v>radio/TV</v>
      </c>
      <c r="K388" s="21" t="n">
        <f aca="false">H388/I388</f>
        <v>62.5555555555556</v>
      </c>
      <c r="L388" s="21" t="n">
        <f aca="false">100-MIN(K388/Assumptions!$B$14,1)*100</f>
        <v>84.3611111111111</v>
      </c>
      <c r="M388" s="21" t="n">
        <f aca="false">VLOOKUP(F388,Assumptions!$A$19:$B$23,2,0)</f>
        <v>40</v>
      </c>
      <c r="N388" s="21" t="n">
        <f aca="false">VLOOKUP(G388,Assumptions!$A$27:$B$30,2,0)</f>
        <v>50</v>
      </c>
      <c r="O388" s="21" t="n">
        <f aca="false">VLOOKUP(D388,Assumptions!$A$34:$B$37,2,0)</f>
        <v>66</v>
      </c>
      <c r="P388" s="21" t="n">
        <f aca="false">VLOOKUP(E388,Assumptions!$A$41:$B$43,2,0)</f>
        <v>30</v>
      </c>
      <c r="Q388" s="22" t="n">
        <f aca="false">L388*Assumptions!$B$7+M388*Assumptions!$B$8+N388*Assumptions!$B$9+O388*Assumptions!$B$10+P388*Assumptions!$B$11</f>
        <v>58.2083333333333</v>
      </c>
      <c r="R388" s="11" t="str">
        <f aca="false">IF(Q388&lt;=33,"High Risk",IF(Q388&lt;=66,"Medium Risk","Low Risk"))</f>
        <v>Medium Risk</v>
      </c>
    </row>
    <row r="389" customFormat="false" ht="15" hidden="false" customHeight="true" outlineLevel="0" collapsed="false">
      <c r="A389" s="20" t="n">
        <f aca="false">'Raw Data'!A389</f>
        <v>388</v>
      </c>
      <c r="B389" s="20" t="n">
        <f aca="false">'Raw Data'!B389</f>
        <v>40</v>
      </c>
      <c r="C389" s="20" t="str">
        <f aca="false">'Raw Data'!C389</f>
        <v>male</v>
      </c>
      <c r="D389" s="20" t="n">
        <f aca="false">'Raw Data'!D389</f>
        <v>3</v>
      </c>
      <c r="E389" s="20" t="str">
        <f aca="false">'Raw Data'!E389</f>
        <v>own</v>
      </c>
      <c r="F389" s="20" t="str">
        <f aca="false">'Raw Data'!F389</f>
        <v>little</v>
      </c>
      <c r="G389" s="20" t="str">
        <f aca="false">'Raw Data'!G389</f>
        <v>moderate</v>
      </c>
      <c r="H389" s="20" t="n">
        <f aca="false">'Raw Data'!H389</f>
        <v>7374</v>
      </c>
      <c r="I389" s="20" t="n">
        <f aca="false">'Raw Data'!I389</f>
        <v>18</v>
      </c>
      <c r="J389" s="20" t="str">
        <f aca="false">'Raw Data'!J389</f>
        <v>furniture/equipment</v>
      </c>
      <c r="K389" s="21" t="n">
        <f aca="false">H389/I389</f>
        <v>409.666666666667</v>
      </c>
      <c r="L389" s="21" t="n">
        <f aca="false">100-MIN(K389/Assumptions!$B$14,1)*100</f>
        <v>0</v>
      </c>
      <c r="M389" s="21" t="n">
        <f aca="false">VLOOKUP(F389,Assumptions!$A$19:$B$23,2,0)</f>
        <v>25</v>
      </c>
      <c r="N389" s="21" t="n">
        <f aca="false">VLOOKUP(G389,Assumptions!$A$27:$B$30,2,0)</f>
        <v>60</v>
      </c>
      <c r="O389" s="21" t="n">
        <f aca="false">VLOOKUP(D389,Assumptions!$A$34:$B$37,2,0)</f>
        <v>100</v>
      </c>
      <c r="P389" s="21" t="n">
        <f aca="false">VLOOKUP(E389,Assumptions!$A$41:$B$43,2,0)</f>
        <v>100</v>
      </c>
      <c r="Q389" s="22" t="n">
        <f aca="false">L389*Assumptions!$B$7+M389*Assumptions!$B$8+N389*Assumptions!$B$9+O389*Assumptions!$B$10+P389*Assumptions!$B$11</f>
        <v>43.25</v>
      </c>
      <c r="R389" s="11" t="str">
        <f aca="false">IF(Q389&lt;=33,"High Risk",IF(Q389&lt;=66,"Medium Risk","Low Risk"))</f>
        <v>Medium Risk</v>
      </c>
    </row>
    <row r="390" customFormat="false" ht="15" hidden="false" customHeight="true" outlineLevel="0" collapsed="false">
      <c r="A390" s="20" t="n">
        <f aca="false">'Raw Data'!A390</f>
        <v>389</v>
      </c>
      <c r="B390" s="20" t="n">
        <f aca="false">'Raw Data'!B390</f>
        <v>27</v>
      </c>
      <c r="C390" s="20" t="str">
        <f aca="false">'Raw Data'!C390</f>
        <v>male</v>
      </c>
      <c r="D390" s="20" t="n">
        <f aca="false">'Raw Data'!D390</f>
        <v>2</v>
      </c>
      <c r="E390" s="20" t="str">
        <f aca="false">'Raw Data'!E390</f>
        <v>own</v>
      </c>
      <c r="F390" s="20" t="str">
        <f aca="false">'Raw Data'!F390</f>
        <v>quite rich</v>
      </c>
      <c r="G390" s="20" t="str">
        <f aca="false">'Raw Data'!G390</f>
        <v>moderate</v>
      </c>
      <c r="H390" s="20" t="n">
        <f aca="false">'Raw Data'!H390</f>
        <v>2326</v>
      </c>
      <c r="I390" s="20" t="n">
        <f aca="false">'Raw Data'!I390</f>
        <v>15</v>
      </c>
      <c r="J390" s="20" t="str">
        <f aca="false">'Raw Data'!J390</f>
        <v>business</v>
      </c>
      <c r="K390" s="21" t="n">
        <f aca="false">H390/I390</f>
        <v>155.066666666667</v>
      </c>
      <c r="L390" s="21" t="n">
        <f aca="false">100-MIN(K390/Assumptions!$B$14,1)*100</f>
        <v>61.2333333333333</v>
      </c>
      <c r="M390" s="21" t="n">
        <f aca="false">VLOOKUP(F390,Assumptions!$A$19:$B$23,2,0)</f>
        <v>75</v>
      </c>
      <c r="N390" s="21" t="n">
        <f aca="false">VLOOKUP(G390,Assumptions!$A$27:$B$30,2,0)</f>
        <v>60</v>
      </c>
      <c r="O390" s="21" t="n">
        <f aca="false">VLOOKUP(D390,Assumptions!$A$34:$B$37,2,0)</f>
        <v>66</v>
      </c>
      <c r="P390" s="21" t="n">
        <f aca="false">VLOOKUP(E390,Assumptions!$A$41:$B$43,2,0)</f>
        <v>100</v>
      </c>
      <c r="Q390" s="22" t="n">
        <f aca="false">L390*Assumptions!$B$7+M390*Assumptions!$B$8+N390*Assumptions!$B$9+O390*Assumptions!$B$10+P390*Assumptions!$B$11</f>
        <v>69.02</v>
      </c>
      <c r="R390" s="11" t="str">
        <f aca="false">IF(Q390&lt;=33,"High Risk",IF(Q390&lt;=66,"Medium Risk","Low Risk"))</f>
        <v>Low Risk</v>
      </c>
    </row>
    <row r="391" customFormat="false" ht="15" hidden="false" customHeight="true" outlineLevel="0" collapsed="false">
      <c r="A391" s="20" t="n">
        <f aca="false">'Raw Data'!A391</f>
        <v>390</v>
      </c>
      <c r="B391" s="20" t="n">
        <f aca="false">'Raw Data'!B391</f>
        <v>27</v>
      </c>
      <c r="C391" s="20" t="str">
        <f aca="false">'Raw Data'!C391</f>
        <v>female</v>
      </c>
      <c r="D391" s="20" t="n">
        <f aca="false">'Raw Data'!D391</f>
        <v>2</v>
      </c>
      <c r="E391" s="20" t="str">
        <f aca="false">'Raw Data'!E391</f>
        <v>own</v>
      </c>
      <c r="F391" s="20" t="str">
        <f aca="false">'Raw Data'!F391</f>
        <v>little</v>
      </c>
      <c r="G391" s="20" t="str">
        <f aca="false">'Raw Data'!G391</f>
        <v>none</v>
      </c>
      <c r="H391" s="20" t="n">
        <f aca="false">'Raw Data'!H391</f>
        <v>1449</v>
      </c>
      <c r="I391" s="20" t="n">
        <f aca="false">'Raw Data'!I391</f>
        <v>9</v>
      </c>
      <c r="J391" s="20" t="str">
        <f aca="false">'Raw Data'!J391</f>
        <v>business</v>
      </c>
      <c r="K391" s="21" t="n">
        <f aca="false">H391/I391</f>
        <v>161</v>
      </c>
      <c r="L391" s="21" t="n">
        <f aca="false">100-MIN(K391/Assumptions!$B$14,1)*100</f>
        <v>59.75</v>
      </c>
      <c r="M391" s="21" t="n">
        <f aca="false">VLOOKUP(F391,Assumptions!$A$19:$B$23,2,0)</f>
        <v>25</v>
      </c>
      <c r="N391" s="21" t="n">
        <f aca="false">VLOOKUP(G391,Assumptions!$A$27:$B$30,2,0)</f>
        <v>50</v>
      </c>
      <c r="O391" s="21" t="n">
        <f aca="false">VLOOKUP(D391,Assumptions!$A$34:$B$37,2,0)</f>
        <v>66</v>
      </c>
      <c r="P391" s="21" t="n">
        <f aca="false">VLOOKUP(E391,Assumptions!$A$41:$B$43,2,0)</f>
        <v>100</v>
      </c>
      <c r="Q391" s="22" t="n">
        <f aca="false">L391*Assumptions!$B$7+M391*Assumptions!$B$8+N391*Assumptions!$B$9+O391*Assumptions!$B$10+P391*Assumptions!$B$11</f>
        <v>54.075</v>
      </c>
      <c r="R391" s="11" t="str">
        <f aca="false">IF(Q391&lt;=33,"High Risk",IF(Q391&lt;=66,"Medium Risk","Low Risk"))</f>
        <v>Medium Risk</v>
      </c>
    </row>
    <row r="392" customFormat="false" ht="15" hidden="false" customHeight="true" outlineLevel="0" collapsed="false">
      <c r="A392" s="20" t="n">
        <f aca="false">'Raw Data'!A392</f>
        <v>391</v>
      </c>
      <c r="B392" s="20" t="n">
        <f aca="false">'Raw Data'!B392</f>
        <v>30</v>
      </c>
      <c r="C392" s="20" t="str">
        <f aca="false">'Raw Data'!C392</f>
        <v>male</v>
      </c>
      <c r="D392" s="20" t="n">
        <f aca="false">'Raw Data'!D392</f>
        <v>3</v>
      </c>
      <c r="E392" s="20" t="str">
        <f aca="false">'Raw Data'!E392</f>
        <v>own</v>
      </c>
      <c r="F392" s="20" t="str">
        <f aca="false">'Raw Data'!F392</f>
        <v>little</v>
      </c>
      <c r="G392" s="20" t="str">
        <f aca="false">'Raw Data'!G392</f>
        <v>none</v>
      </c>
      <c r="H392" s="20" t="n">
        <f aca="false">'Raw Data'!H392</f>
        <v>1820</v>
      </c>
      <c r="I392" s="20" t="n">
        <f aca="false">'Raw Data'!I392</f>
        <v>18</v>
      </c>
      <c r="J392" s="20" t="str">
        <f aca="false">'Raw Data'!J392</f>
        <v>car</v>
      </c>
      <c r="K392" s="21" t="n">
        <f aca="false">H392/I392</f>
        <v>101.111111111111</v>
      </c>
      <c r="L392" s="21" t="n">
        <f aca="false">100-MIN(K392/Assumptions!$B$14,1)*100</f>
        <v>74.7222222222222</v>
      </c>
      <c r="M392" s="21" t="n">
        <f aca="false">VLOOKUP(F392,Assumptions!$A$19:$B$23,2,0)</f>
        <v>25</v>
      </c>
      <c r="N392" s="21" t="n">
        <f aca="false">VLOOKUP(G392,Assumptions!$A$27:$B$30,2,0)</f>
        <v>50</v>
      </c>
      <c r="O392" s="21" t="n">
        <f aca="false">VLOOKUP(D392,Assumptions!$A$34:$B$37,2,0)</f>
        <v>100</v>
      </c>
      <c r="P392" s="21" t="n">
        <f aca="false">VLOOKUP(E392,Assumptions!$A$41:$B$43,2,0)</f>
        <v>100</v>
      </c>
      <c r="Q392" s="22" t="n">
        <f aca="false">L392*Assumptions!$B$7+M392*Assumptions!$B$8+N392*Assumptions!$B$9+O392*Assumptions!$B$10+P392*Assumptions!$B$11</f>
        <v>63.6666666666667</v>
      </c>
      <c r="R392" s="11" t="str">
        <f aca="false">IF(Q392&lt;=33,"High Risk",IF(Q392&lt;=66,"Medium Risk","Low Risk"))</f>
        <v>Medium Risk</v>
      </c>
    </row>
    <row r="393" customFormat="false" ht="15" hidden="false" customHeight="true" outlineLevel="0" collapsed="false">
      <c r="A393" s="20" t="n">
        <f aca="false">'Raw Data'!A393</f>
        <v>392</v>
      </c>
      <c r="B393" s="20" t="n">
        <f aca="false">'Raw Data'!B393</f>
        <v>19</v>
      </c>
      <c r="C393" s="20" t="str">
        <f aca="false">'Raw Data'!C393</f>
        <v>female</v>
      </c>
      <c r="D393" s="20" t="n">
        <f aca="false">'Raw Data'!D393</f>
        <v>1</v>
      </c>
      <c r="E393" s="20" t="str">
        <f aca="false">'Raw Data'!E393</f>
        <v>rent</v>
      </c>
      <c r="F393" s="20" t="str">
        <f aca="false">'Raw Data'!F393</f>
        <v>rich</v>
      </c>
      <c r="G393" s="20" t="str">
        <f aca="false">'Raw Data'!G393</f>
        <v>moderate</v>
      </c>
      <c r="H393" s="20" t="n">
        <f aca="false">'Raw Data'!H393</f>
        <v>983</v>
      </c>
      <c r="I393" s="20" t="n">
        <f aca="false">'Raw Data'!I393</f>
        <v>12</v>
      </c>
      <c r="J393" s="20" t="str">
        <f aca="false">'Raw Data'!J393</f>
        <v>furniture/equipment</v>
      </c>
      <c r="K393" s="21" t="n">
        <f aca="false">H393/I393</f>
        <v>81.9166666666667</v>
      </c>
      <c r="L393" s="21" t="n">
        <f aca="false">100-MIN(K393/Assumptions!$B$14,1)*100</f>
        <v>79.5208333333333</v>
      </c>
      <c r="M393" s="21" t="n">
        <f aca="false">VLOOKUP(F393,Assumptions!$A$19:$B$23,2,0)</f>
        <v>100</v>
      </c>
      <c r="N393" s="21" t="n">
        <f aca="false">VLOOKUP(G393,Assumptions!$A$27:$B$30,2,0)</f>
        <v>60</v>
      </c>
      <c r="O393" s="21" t="n">
        <f aca="false">VLOOKUP(D393,Assumptions!$A$34:$B$37,2,0)</f>
        <v>33</v>
      </c>
      <c r="P393" s="21" t="n">
        <f aca="false">VLOOKUP(E393,Assumptions!$A$41:$B$43,2,0)</f>
        <v>30</v>
      </c>
      <c r="Q393" s="22" t="n">
        <f aca="false">L393*Assumptions!$B$7+M393*Assumptions!$B$8+N393*Assumptions!$B$9+O393*Assumptions!$B$10+P393*Assumptions!$B$11</f>
        <v>68.80625</v>
      </c>
      <c r="R393" s="11" t="str">
        <f aca="false">IF(Q393&lt;=33,"High Risk",IF(Q393&lt;=66,"Medium Risk","Low Risk"))</f>
        <v>Low Risk</v>
      </c>
    </row>
    <row r="394" customFormat="false" ht="15" hidden="false" customHeight="true" outlineLevel="0" collapsed="false">
      <c r="A394" s="20" t="n">
        <f aca="false">'Raw Data'!A394</f>
        <v>393</v>
      </c>
      <c r="B394" s="20" t="n">
        <f aca="false">'Raw Data'!B394</f>
        <v>39</v>
      </c>
      <c r="C394" s="20" t="str">
        <f aca="false">'Raw Data'!C394</f>
        <v>male</v>
      </c>
      <c r="D394" s="20" t="n">
        <f aca="false">'Raw Data'!D394</f>
        <v>3</v>
      </c>
      <c r="E394" s="20" t="str">
        <f aca="false">'Raw Data'!E394</f>
        <v>free</v>
      </c>
      <c r="F394" s="20" t="str">
        <f aca="false">'Raw Data'!F394</f>
        <v>little</v>
      </c>
      <c r="G394" s="20" t="str">
        <f aca="false">'Raw Data'!G394</f>
        <v>little</v>
      </c>
      <c r="H394" s="20" t="n">
        <f aca="false">'Raw Data'!H394</f>
        <v>3249</v>
      </c>
      <c r="I394" s="20" t="n">
        <f aca="false">'Raw Data'!I394</f>
        <v>36</v>
      </c>
      <c r="J394" s="20" t="str">
        <f aca="false">'Raw Data'!J394</f>
        <v>car</v>
      </c>
      <c r="K394" s="21" t="n">
        <f aca="false">H394/I394</f>
        <v>90.25</v>
      </c>
      <c r="L394" s="21" t="n">
        <f aca="false">100-MIN(K394/Assumptions!$B$14,1)*100</f>
        <v>77.4375</v>
      </c>
      <c r="M394" s="21" t="n">
        <f aca="false">VLOOKUP(F394,Assumptions!$A$19:$B$23,2,0)</f>
        <v>25</v>
      </c>
      <c r="N394" s="21" t="n">
        <f aca="false">VLOOKUP(G394,Assumptions!$A$27:$B$30,2,0)</f>
        <v>25</v>
      </c>
      <c r="O394" s="21" t="n">
        <f aca="false">VLOOKUP(D394,Assumptions!$A$34:$B$37,2,0)</f>
        <v>100</v>
      </c>
      <c r="P394" s="21" t="n">
        <f aca="false">VLOOKUP(E394,Assumptions!$A$41:$B$43,2,0)</f>
        <v>60</v>
      </c>
      <c r="Q394" s="22" t="n">
        <f aca="false">L394*Assumptions!$B$7+M394*Assumptions!$B$8+N394*Assumptions!$B$9+O394*Assumptions!$B$10+P394*Assumptions!$B$11</f>
        <v>55.48125</v>
      </c>
      <c r="R394" s="11" t="str">
        <f aca="false">IF(Q394&lt;=33,"High Risk",IF(Q394&lt;=66,"Medium Risk","Low Risk"))</f>
        <v>Medium Risk</v>
      </c>
    </row>
    <row r="395" customFormat="false" ht="15" hidden="false" customHeight="true" outlineLevel="0" collapsed="false">
      <c r="A395" s="20" t="n">
        <f aca="false">'Raw Data'!A395</f>
        <v>394</v>
      </c>
      <c r="B395" s="20" t="n">
        <f aca="false">'Raw Data'!B395</f>
        <v>31</v>
      </c>
      <c r="C395" s="20" t="str">
        <f aca="false">'Raw Data'!C395</f>
        <v>female</v>
      </c>
      <c r="D395" s="20" t="n">
        <f aca="false">'Raw Data'!D395</f>
        <v>2</v>
      </c>
      <c r="E395" s="20" t="str">
        <f aca="false">'Raw Data'!E395</f>
        <v>own</v>
      </c>
      <c r="F395" s="20" t="str">
        <f aca="false">'Raw Data'!F395</f>
        <v>little</v>
      </c>
      <c r="G395" s="20" t="str">
        <f aca="false">'Raw Data'!G395</f>
        <v>little</v>
      </c>
      <c r="H395" s="20" t="n">
        <f aca="false">'Raw Data'!H395</f>
        <v>1957</v>
      </c>
      <c r="I395" s="20" t="n">
        <f aca="false">'Raw Data'!I395</f>
        <v>6</v>
      </c>
      <c r="J395" s="20" t="str">
        <f aca="false">'Raw Data'!J395</f>
        <v>radio/TV</v>
      </c>
      <c r="K395" s="21" t="n">
        <f aca="false">H395/I395</f>
        <v>326.166666666667</v>
      </c>
      <c r="L395" s="21" t="n">
        <f aca="false">100-MIN(K395/Assumptions!$B$14,1)*100</f>
        <v>18.4583333333333</v>
      </c>
      <c r="M395" s="21" t="n">
        <f aca="false">VLOOKUP(F395,Assumptions!$A$19:$B$23,2,0)</f>
        <v>25</v>
      </c>
      <c r="N395" s="21" t="n">
        <f aca="false">VLOOKUP(G395,Assumptions!$A$27:$B$30,2,0)</f>
        <v>25</v>
      </c>
      <c r="O395" s="21" t="n">
        <f aca="false">VLOOKUP(D395,Assumptions!$A$34:$B$37,2,0)</f>
        <v>66</v>
      </c>
      <c r="P395" s="21" t="n">
        <f aca="false">VLOOKUP(E395,Assumptions!$A$41:$B$43,2,0)</f>
        <v>100</v>
      </c>
      <c r="Q395" s="22" t="n">
        <f aca="false">L395*Assumptions!$B$7+M395*Assumptions!$B$8+N395*Assumptions!$B$9+O395*Assumptions!$B$10+P395*Assumptions!$B$11</f>
        <v>36.6875</v>
      </c>
      <c r="R395" s="11" t="str">
        <f aca="false">IF(Q395&lt;=33,"High Risk",IF(Q395&lt;=66,"Medium Risk","Low Risk"))</f>
        <v>Medium Risk</v>
      </c>
    </row>
    <row r="396" customFormat="false" ht="15" hidden="false" customHeight="true" outlineLevel="0" collapsed="false">
      <c r="A396" s="20" t="n">
        <f aca="false">'Raw Data'!A396</f>
        <v>395</v>
      </c>
      <c r="B396" s="20" t="n">
        <f aca="false">'Raw Data'!B396</f>
        <v>31</v>
      </c>
      <c r="C396" s="20" t="str">
        <f aca="false">'Raw Data'!C396</f>
        <v>male</v>
      </c>
      <c r="D396" s="20" t="n">
        <f aca="false">'Raw Data'!D396</f>
        <v>3</v>
      </c>
      <c r="E396" s="20" t="str">
        <f aca="false">'Raw Data'!E396</f>
        <v>own</v>
      </c>
      <c r="F396" s="20" t="str">
        <f aca="false">'Raw Data'!F396</f>
        <v>little</v>
      </c>
      <c r="G396" s="20" t="str">
        <f aca="false">'Raw Data'!G396</f>
        <v>none</v>
      </c>
      <c r="H396" s="20" t="n">
        <f aca="false">'Raw Data'!H396</f>
        <v>2406</v>
      </c>
      <c r="I396" s="20" t="n">
        <f aca="false">'Raw Data'!I396</f>
        <v>9</v>
      </c>
      <c r="J396" s="20" t="str">
        <f aca="false">'Raw Data'!J396</f>
        <v>furniture/equipment</v>
      </c>
      <c r="K396" s="21" t="n">
        <f aca="false">H396/I396</f>
        <v>267.333333333333</v>
      </c>
      <c r="L396" s="21" t="n">
        <f aca="false">100-MIN(K396/Assumptions!$B$14,1)*100</f>
        <v>33.1666666666667</v>
      </c>
      <c r="M396" s="21" t="n">
        <f aca="false">VLOOKUP(F396,Assumptions!$A$19:$B$23,2,0)</f>
        <v>25</v>
      </c>
      <c r="N396" s="21" t="n">
        <f aca="false">VLOOKUP(G396,Assumptions!$A$27:$B$30,2,0)</f>
        <v>50</v>
      </c>
      <c r="O396" s="21" t="n">
        <f aca="false">VLOOKUP(D396,Assumptions!$A$34:$B$37,2,0)</f>
        <v>100</v>
      </c>
      <c r="P396" s="21" t="n">
        <f aca="false">VLOOKUP(E396,Assumptions!$A$41:$B$43,2,0)</f>
        <v>100</v>
      </c>
      <c r="Q396" s="22" t="n">
        <f aca="false">L396*Assumptions!$B$7+M396*Assumptions!$B$8+N396*Assumptions!$B$9+O396*Assumptions!$B$10+P396*Assumptions!$B$11</f>
        <v>51.2</v>
      </c>
      <c r="R396" s="11" t="str">
        <f aca="false">IF(Q396&lt;=33,"High Risk",IF(Q396&lt;=66,"Medium Risk","Low Risk"))</f>
        <v>Medium Risk</v>
      </c>
    </row>
    <row r="397" customFormat="false" ht="15" hidden="false" customHeight="true" outlineLevel="0" collapsed="false">
      <c r="A397" s="20" t="n">
        <f aca="false">'Raw Data'!A397</f>
        <v>396</v>
      </c>
      <c r="B397" s="20" t="n">
        <f aca="false">'Raw Data'!B397</f>
        <v>32</v>
      </c>
      <c r="C397" s="20" t="str">
        <f aca="false">'Raw Data'!C397</f>
        <v>male</v>
      </c>
      <c r="D397" s="20" t="n">
        <f aca="false">'Raw Data'!D397</f>
        <v>2</v>
      </c>
      <c r="E397" s="20" t="str">
        <f aca="false">'Raw Data'!E397</f>
        <v>rent</v>
      </c>
      <c r="F397" s="20" t="str">
        <f aca="false">'Raw Data'!F397</f>
        <v>moderate</v>
      </c>
      <c r="G397" s="20" t="str">
        <f aca="false">'Raw Data'!G397</f>
        <v>moderate</v>
      </c>
      <c r="H397" s="20" t="n">
        <f aca="false">'Raw Data'!H397</f>
        <v>11760</v>
      </c>
      <c r="I397" s="20" t="n">
        <f aca="false">'Raw Data'!I397</f>
        <v>39</v>
      </c>
      <c r="J397" s="20" t="str">
        <f aca="false">'Raw Data'!J397</f>
        <v>education</v>
      </c>
      <c r="K397" s="21" t="n">
        <f aca="false">H397/I397</f>
        <v>301.538461538462</v>
      </c>
      <c r="L397" s="21" t="n">
        <f aca="false">100-MIN(K397/Assumptions!$B$14,1)*100</f>
        <v>24.6153846153846</v>
      </c>
      <c r="M397" s="21" t="n">
        <f aca="false">VLOOKUP(F397,Assumptions!$A$19:$B$23,2,0)</f>
        <v>50</v>
      </c>
      <c r="N397" s="21" t="n">
        <f aca="false">VLOOKUP(G397,Assumptions!$A$27:$B$30,2,0)</f>
        <v>60</v>
      </c>
      <c r="O397" s="21" t="n">
        <f aca="false">VLOOKUP(D397,Assumptions!$A$34:$B$37,2,0)</f>
        <v>66</v>
      </c>
      <c r="P397" s="21" t="n">
        <f aca="false">VLOOKUP(E397,Assumptions!$A$41:$B$43,2,0)</f>
        <v>30</v>
      </c>
      <c r="Q397" s="22" t="n">
        <f aca="false">L397*Assumptions!$B$7+M397*Assumptions!$B$8+N397*Assumptions!$B$9+O397*Assumptions!$B$10+P397*Assumptions!$B$11</f>
        <v>44.7846153846154</v>
      </c>
      <c r="R397" s="11" t="str">
        <f aca="false">IF(Q397&lt;=33,"High Risk",IF(Q397&lt;=66,"Medium Risk","Low Risk"))</f>
        <v>Medium Risk</v>
      </c>
    </row>
    <row r="398" customFormat="false" ht="15" hidden="false" customHeight="true" outlineLevel="0" collapsed="false">
      <c r="A398" s="20" t="n">
        <f aca="false">'Raw Data'!A398</f>
        <v>397</v>
      </c>
      <c r="B398" s="20" t="n">
        <f aca="false">'Raw Data'!B398</f>
        <v>55</v>
      </c>
      <c r="C398" s="20" t="str">
        <f aca="false">'Raw Data'!C398</f>
        <v>female</v>
      </c>
      <c r="D398" s="20" t="n">
        <f aca="false">'Raw Data'!D398</f>
        <v>3</v>
      </c>
      <c r="E398" s="20" t="str">
        <f aca="false">'Raw Data'!E398</f>
        <v>free</v>
      </c>
      <c r="F398" s="20" t="str">
        <f aca="false">'Raw Data'!F398</f>
        <v>little</v>
      </c>
      <c r="G398" s="20" t="str">
        <f aca="false">'Raw Data'!G398</f>
        <v>little</v>
      </c>
      <c r="H398" s="20" t="n">
        <f aca="false">'Raw Data'!H398</f>
        <v>2578</v>
      </c>
      <c r="I398" s="20" t="n">
        <f aca="false">'Raw Data'!I398</f>
        <v>12</v>
      </c>
      <c r="J398" s="20" t="str">
        <f aca="false">'Raw Data'!J398</f>
        <v>furniture/equipment</v>
      </c>
      <c r="K398" s="21" t="n">
        <f aca="false">H398/I398</f>
        <v>214.833333333333</v>
      </c>
      <c r="L398" s="21" t="n">
        <f aca="false">100-MIN(K398/Assumptions!$B$14,1)*100</f>
        <v>46.2916666666667</v>
      </c>
      <c r="M398" s="21" t="n">
        <f aca="false">VLOOKUP(F398,Assumptions!$A$19:$B$23,2,0)</f>
        <v>25</v>
      </c>
      <c r="N398" s="21" t="n">
        <f aca="false">VLOOKUP(G398,Assumptions!$A$27:$B$30,2,0)</f>
        <v>25</v>
      </c>
      <c r="O398" s="21" t="n">
        <f aca="false">VLOOKUP(D398,Assumptions!$A$34:$B$37,2,0)</f>
        <v>100</v>
      </c>
      <c r="P398" s="21" t="n">
        <f aca="false">VLOOKUP(E398,Assumptions!$A$41:$B$43,2,0)</f>
        <v>60</v>
      </c>
      <c r="Q398" s="22" t="n">
        <f aca="false">L398*Assumptions!$B$7+M398*Assumptions!$B$8+N398*Assumptions!$B$9+O398*Assumptions!$B$10+P398*Assumptions!$B$11</f>
        <v>46.1375</v>
      </c>
      <c r="R398" s="11" t="str">
        <f aca="false">IF(Q398&lt;=33,"High Risk",IF(Q398&lt;=66,"Medium Risk","Low Risk"))</f>
        <v>Medium Risk</v>
      </c>
    </row>
    <row r="399" customFormat="false" ht="15" hidden="false" customHeight="true" outlineLevel="0" collapsed="false">
      <c r="A399" s="20" t="n">
        <f aca="false">'Raw Data'!A399</f>
        <v>398</v>
      </c>
      <c r="B399" s="20" t="n">
        <f aca="false">'Raw Data'!B399</f>
        <v>46</v>
      </c>
      <c r="C399" s="20" t="str">
        <f aca="false">'Raw Data'!C399</f>
        <v>male</v>
      </c>
      <c r="D399" s="20" t="n">
        <f aca="false">'Raw Data'!D399</f>
        <v>2</v>
      </c>
      <c r="E399" s="20" t="str">
        <f aca="false">'Raw Data'!E399</f>
        <v>own</v>
      </c>
      <c r="F399" s="20" t="str">
        <f aca="false">'Raw Data'!F399</f>
        <v>little</v>
      </c>
      <c r="G399" s="20" t="str">
        <f aca="false">'Raw Data'!G399</f>
        <v>little</v>
      </c>
      <c r="H399" s="20" t="n">
        <f aca="false">'Raw Data'!H399</f>
        <v>2348</v>
      </c>
      <c r="I399" s="20" t="n">
        <f aca="false">'Raw Data'!I399</f>
        <v>36</v>
      </c>
      <c r="J399" s="20" t="str">
        <f aca="false">'Raw Data'!J399</f>
        <v>furniture/equipment</v>
      </c>
      <c r="K399" s="21" t="n">
        <f aca="false">H399/I399</f>
        <v>65.2222222222222</v>
      </c>
      <c r="L399" s="21" t="n">
        <f aca="false">100-MIN(K399/Assumptions!$B$14,1)*100</f>
        <v>83.6944444444444</v>
      </c>
      <c r="M399" s="21" t="n">
        <f aca="false">VLOOKUP(F399,Assumptions!$A$19:$B$23,2,0)</f>
        <v>25</v>
      </c>
      <c r="N399" s="21" t="n">
        <f aca="false">VLOOKUP(G399,Assumptions!$A$27:$B$30,2,0)</f>
        <v>25</v>
      </c>
      <c r="O399" s="21" t="n">
        <f aca="false">VLOOKUP(D399,Assumptions!$A$34:$B$37,2,0)</f>
        <v>66</v>
      </c>
      <c r="P399" s="21" t="n">
        <f aca="false">VLOOKUP(E399,Assumptions!$A$41:$B$43,2,0)</f>
        <v>100</v>
      </c>
      <c r="Q399" s="22" t="n">
        <f aca="false">L399*Assumptions!$B$7+M399*Assumptions!$B$8+N399*Assumptions!$B$9+O399*Assumptions!$B$10+P399*Assumptions!$B$11</f>
        <v>56.2583333333333</v>
      </c>
      <c r="R399" s="11" t="str">
        <f aca="false">IF(Q399&lt;=33,"High Risk",IF(Q399&lt;=66,"Medium Risk","Low Risk"))</f>
        <v>Medium Risk</v>
      </c>
    </row>
    <row r="400" customFormat="false" ht="15" hidden="false" customHeight="true" outlineLevel="0" collapsed="false">
      <c r="A400" s="20" t="n">
        <f aca="false">'Raw Data'!A400</f>
        <v>399</v>
      </c>
      <c r="B400" s="20" t="n">
        <f aca="false">'Raw Data'!B400</f>
        <v>46</v>
      </c>
      <c r="C400" s="20" t="str">
        <f aca="false">'Raw Data'!C400</f>
        <v>male</v>
      </c>
      <c r="D400" s="20" t="n">
        <f aca="false">'Raw Data'!D400</f>
        <v>2</v>
      </c>
      <c r="E400" s="20" t="str">
        <f aca="false">'Raw Data'!E400</f>
        <v>rent</v>
      </c>
      <c r="F400" s="20" t="str">
        <f aca="false">'Raw Data'!F400</f>
        <v>little</v>
      </c>
      <c r="G400" s="20" t="str">
        <f aca="false">'Raw Data'!G400</f>
        <v>moderate</v>
      </c>
      <c r="H400" s="20" t="n">
        <f aca="false">'Raw Data'!H400</f>
        <v>1223</v>
      </c>
      <c r="I400" s="20" t="n">
        <f aca="false">'Raw Data'!I400</f>
        <v>12</v>
      </c>
      <c r="J400" s="20" t="str">
        <f aca="false">'Raw Data'!J400</f>
        <v>car</v>
      </c>
      <c r="K400" s="21" t="n">
        <f aca="false">H400/I400</f>
        <v>101.916666666667</v>
      </c>
      <c r="L400" s="21" t="n">
        <f aca="false">100-MIN(K400/Assumptions!$B$14,1)*100</f>
        <v>74.5208333333333</v>
      </c>
      <c r="M400" s="21" t="n">
        <f aca="false">VLOOKUP(F400,Assumptions!$A$19:$B$23,2,0)</f>
        <v>25</v>
      </c>
      <c r="N400" s="21" t="n">
        <f aca="false">VLOOKUP(G400,Assumptions!$A$27:$B$30,2,0)</f>
        <v>60</v>
      </c>
      <c r="O400" s="21" t="n">
        <f aca="false">VLOOKUP(D400,Assumptions!$A$34:$B$37,2,0)</f>
        <v>66</v>
      </c>
      <c r="P400" s="21" t="n">
        <f aca="false">VLOOKUP(E400,Assumptions!$A$41:$B$43,2,0)</f>
        <v>30</v>
      </c>
      <c r="Q400" s="22" t="n">
        <f aca="false">L400*Assumptions!$B$7+M400*Assumptions!$B$8+N400*Assumptions!$B$9+O400*Assumptions!$B$10+P400*Assumptions!$B$11</f>
        <v>53.50625</v>
      </c>
      <c r="R400" s="11" t="str">
        <f aca="false">IF(Q400&lt;=33,"High Risk",IF(Q400&lt;=66,"Medium Risk","Low Risk"))</f>
        <v>Medium Risk</v>
      </c>
    </row>
    <row r="401" customFormat="false" ht="15" hidden="false" customHeight="true" outlineLevel="0" collapsed="false">
      <c r="A401" s="20" t="n">
        <f aca="false">'Raw Data'!A401</f>
        <v>400</v>
      </c>
      <c r="B401" s="20" t="n">
        <f aca="false">'Raw Data'!B401</f>
        <v>43</v>
      </c>
      <c r="C401" s="20" t="str">
        <f aca="false">'Raw Data'!C401</f>
        <v>female</v>
      </c>
      <c r="D401" s="20" t="n">
        <f aca="false">'Raw Data'!D401</f>
        <v>1</v>
      </c>
      <c r="E401" s="20" t="str">
        <f aca="false">'Raw Data'!E401</f>
        <v>own</v>
      </c>
      <c r="F401" s="20" t="str">
        <f aca="false">'Raw Data'!F401</f>
        <v>rich</v>
      </c>
      <c r="G401" s="20" t="str">
        <f aca="false">'Raw Data'!G401</f>
        <v>none</v>
      </c>
      <c r="H401" s="20" t="n">
        <f aca="false">'Raw Data'!H401</f>
        <v>1516</v>
      </c>
      <c r="I401" s="20" t="n">
        <f aca="false">'Raw Data'!I401</f>
        <v>24</v>
      </c>
      <c r="J401" s="20" t="str">
        <f aca="false">'Raw Data'!J401</f>
        <v>radio/TV</v>
      </c>
      <c r="K401" s="21" t="n">
        <f aca="false">H401/I401</f>
        <v>63.1666666666667</v>
      </c>
      <c r="L401" s="21" t="n">
        <f aca="false">100-MIN(K401/Assumptions!$B$14,1)*100</f>
        <v>84.2083333333333</v>
      </c>
      <c r="M401" s="21" t="n">
        <f aca="false">VLOOKUP(F401,Assumptions!$A$19:$B$23,2,0)</f>
        <v>100</v>
      </c>
      <c r="N401" s="21" t="n">
        <f aca="false">VLOOKUP(G401,Assumptions!$A$27:$B$30,2,0)</f>
        <v>50</v>
      </c>
      <c r="O401" s="21" t="n">
        <f aca="false">VLOOKUP(D401,Assumptions!$A$34:$B$37,2,0)</f>
        <v>33</v>
      </c>
      <c r="P401" s="21" t="n">
        <f aca="false">VLOOKUP(E401,Assumptions!$A$41:$B$43,2,0)</f>
        <v>100</v>
      </c>
      <c r="Q401" s="22" t="n">
        <f aca="false">L401*Assumptions!$B$7+M401*Assumptions!$B$8+N401*Assumptions!$B$9+O401*Assumptions!$B$10+P401*Assumptions!$B$11</f>
        <v>75.2125</v>
      </c>
      <c r="R401" s="11" t="str">
        <f aca="false">IF(Q401&lt;=33,"High Risk",IF(Q401&lt;=66,"Medium Risk","Low Risk"))</f>
        <v>Low Risk</v>
      </c>
    </row>
    <row r="402" customFormat="false" ht="15" hidden="false" customHeight="true" outlineLevel="0" collapsed="false">
      <c r="A402" s="20" t="n">
        <f aca="false">'Raw Data'!A402</f>
        <v>401</v>
      </c>
      <c r="B402" s="20" t="n">
        <f aca="false">'Raw Data'!B402</f>
        <v>39</v>
      </c>
      <c r="C402" s="20" t="str">
        <f aca="false">'Raw Data'!C402</f>
        <v>male</v>
      </c>
      <c r="D402" s="20" t="n">
        <f aca="false">'Raw Data'!D402</f>
        <v>2</v>
      </c>
      <c r="E402" s="20" t="str">
        <f aca="false">'Raw Data'!E402</f>
        <v>own</v>
      </c>
      <c r="F402" s="20" t="str">
        <f aca="false">'Raw Data'!F402</f>
        <v>little</v>
      </c>
      <c r="G402" s="20" t="str">
        <f aca="false">'Raw Data'!G402</f>
        <v>none</v>
      </c>
      <c r="H402" s="20" t="n">
        <f aca="false">'Raw Data'!H402</f>
        <v>1473</v>
      </c>
      <c r="I402" s="20" t="n">
        <f aca="false">'Raw Data'!I402</f>
        <v>18</v>
      </c>
      <c r="J402" s="20" t="str">
        <f aca="false">'Raw Data'!J402</f>
        <v>radio/TV</v>
      </c>
      <c r="K402" s="21" t="n">
        <f aca="false">H402/I402</f>
        <v>81.8333333333333</v>
      </c>
      <c r="L402" s="21" t="n">
        <f aca="false">100-MIN(K402/Assumptions!$B$14,1)*100</f>
        <v>79.5416666666667</v>
      </c>
      <c r="M402" s="21" t="n">
        <f aca="false">VLOOKUP(F402,Assumptions!$A$19:$B$23,2,0)</f>
        <v>25</v>
      </c>
      <c r="N402" s="21" t="n">
        <f aca="false">VLOOKUP(G402,Assumptions!$A$27:$B$30,2,0)</f>
        <v>50</v>
      </c>
      <c r="O402" s="21" t="n">
        <f aca="false">VLOOKUP(D402,Assumptions!$A$34:$B$37,2,0)</f>
        <v>66</v>
      </c>
      <c r="P402" s="21" t="n">
        <f aca="false">VLOOKUP(E402,Assumptions!$A$41:$B$43,2,0)</f>
        <v>100</v>
      </c>
      <c r="Q402" s="22" t="n">
        <f aca="false">L402*Assumptions!$B$7+M402*Assumptions!$B$8+N402*Assumptions!$B$9+O402*Assumptions!$B$10+P402*Assumptions!$B$11</f>
        <v>60.0125</v>
      </c>
      <c r="R402" s="11" t="str">
        <f aca="false">IF(Q402&lt;=33,"High Risk",IF(Q402&lt;=66,"Medium Risk","Low Risk"))</f>
        <v>Medium Risk</v>
      </c>
    </row>
    <row r="403" customFormat="false" ht="15" hidden="false" customHeight="true" outlineLevel="0" collapsed="false">
      <c r="A403" s="20" t="n">
        <f aca="false">'Raw Data'!A403</f>
        <v>402</v>
      </c>
      <c r="B403" s="20" t="n">
        <f aca="false">'Raw Data'!B403</f>
        <v>28</v>
      </c>
      <c r="C403" s="20" t="str">
        <f aca="false">'Raw Data'!C403</f>
        <v>male</v>
      </c>
      <c r="D403" s="20" t="n">
        <f aca="false">'Raw Data'!D403</f>
        <v>2</v>
      </c>
      <c r="E403" s="20" t="str">
        <f aca="false">'Raw Data'!E403</f>
        <v>own</v>
      </c>
      <c r="F403" s="20" t="str">
        <f aca="false">'Raw Data'!F403</f>
        <v>none</v>
      </c>
      <c r="G403" s="20" t="str">
        <f aca="false">'Raw Data'!G403</f>
        <v>moderate</v>
      </c>
      <c r="H403" s="20" t="n">
        <f aca="false">'Raw Data'!H403</f>
        <v>1887</v>
      </c>
      <c r="I403" s="20" t="n">
        <f aca="false">'Raw Data'!I403</f>
        <v>18</v>
      </c>
      <c r="J403" s="20" t="str">
        <f aca="false">'Raw Data'!J403</f>
        <v>business</v>
      </c>
      <c r="K403" s="21" t="n">
        <f aca="false">H403/I403</f>
        <v>104.833333333333</v>
      </c>
      <c r="L403" s="21" t="n">
        <f aca="false">100-MIN(K403/Assumptions!$B$14,1)*100</f>
        <v>73.7916666666667</v>
      </c>
      <c r="M403" s="21" t="n">
        <f aca="false">VLOOKUP(F403,Assumptions!$A$19:$B$23,2,0)</f>
        <v>40</v>
      </c>
      <c r="N403" s="21" t="n">
        <f aca="false">VLOOKUP(G403,Assumptions!$A$27:$B$30,2,0)</f>
        <v>60</v>
      </c>
      <c r="O403" s="21" t="n">
        <f aca="false">VLOOKUP(D403,Assumptions!$A$34:$B$37,2,0)</f>
        <v>66</v>
      </c>
      <c r="P403" s="21" t="n">
        <f aca="false">VLOOKUP(E403,Assumptions!$A$41:$B$43,2,0)</f>
        <v>100</v>
      </c>
      <c r="Q403" s="22" t="n">
        <f aca="false">L403*Assumptions!$B$7+M403*Assumptions!$B$8+N403*Assumptions!$B$9+O403*Assumptions!$B$10+P403*Assumptions!$B$11</f>
        <v>64.0375</v>
      </c>
      <c r="R403" s="11" t="str">
        <f aca="false">IF(Q403&lt;=33,"High Risk",IF(Q403&lt;=66,"Medium Risk","Low Risk"))</f>
        <v>Medium Risk</v>
      </c>
    </row>
    <row r="404" customFormat="false" ht="15" hidden="false" customHeight="true" outlineLevel="0" collapsed="false">
      <c r="A404" s="20" t="n">
        <f aca="false">'Raw Data'!A404</f>
        <v>403</v>
      </c>
      <c r="B404" s="20" t="n">
        <f aca="false">'Raw Data'!B404</f>
        <v>27</v>
      </c>
      <c r="C404" s="20" t="str">
        <f aca="false">'Raw Data'!C404</f>
        <v>male</v>
      </c>
      <c r="D404" s="20" t="n">
        <f aca="false">'Raw Data'!D404</f>
        <v>2</v>
      </c>
      <c r="E404" s="20" t="str">
        <f aca="false">'Raw Data'!E404</f>
        <v>own</v>
      </c>
      <c r="F404" s="20" t="str">
        <f aca="false">'Raw Data'!F404</f>
        <v>little</v>
      </c>
      <c r="G404" s="20" t="str">
        <f aca="false">'Raw Data'!G404</f>
        <v>none</v>
      </c>
      <c r="H404" s="20" t="n">
        <f aca="false">'Raw Data'!H404</f>
        <v>8648</v>
      </c>
      <c r="I404" s="20" t="n">
        <f aca="false">'Raw Data'!I404</f>
        <v>24</v>
      </c>
      <c r="J404" s="20" t="str">
        <f aca="false">'Raw Data'!J404</f>
        <v>business</v>
      </c>
      <c r="K404" s="21" t="n">
        <f aca="false">H404/I404</f>
        <v>360.333333333333</v>
      </c>
      <c r="L404" s="21" t="n">
        <f aca="false">100-MIN(K404/Assumptions!$B$14,1)*100</f>
        <v>9.91666666666667</v>
      </c>
      <c r="M404" s="21" t="n">
        <f aca="false">VLOOKUP(F404,Assumptions!$A$19:$B$23,2,0)</f>
        <v>25</v>
      </c>
      <c r="N404" s="21" t="n">
        <f aca="false">VLOOKUP(G404,Assumptions!$A$27:$B$30,2,0)</f>
        <v>50</v>
      </c>
      <c r="O404" s="21" t="n">
        <f aca="false">VLOOKUP(D404,Assumptions!$A$34:$B$37,2,0)</f>
        <v>66</v>
      </c>
      <c r="P404" s="21" t="n">
        <f aca="false">VLOOKUP(E404,Assumptions!$A$41:$B$43,2,0)</f>
        <v>100</v>
      </c>
      <c r="Q404" s="22" t="n">
        <f aca="false">L404*Assumptions!$B$7+M404*Assumptions!$B$8+N404*Assumptions!$B$9+O404*Assumptions!$B$10+P404*Assumptions!$B$11</f>
        <v>39.125</v>
      </c>
      <c r="R404" s="11" t="str">
        <f aca="false">IF(Q404&lt;=33,"High Risk",IF(Q404&lt;=66,"Medium Risk","Low Risk"))</f>
        <v>Medium Risk</v>
      </c>
    </row>
    <row r="405" customFormat="false" ht="15" hidden="false" customHeight="true" outlineLevel="0" collapsed="false">
      <c r="A405" s="20" t="n">
        <f aca="false">'Raw Data'!A405</f>
        <v>404</v>
      </c>
      <c r="B405" s="20" t="n">
        <f aca="false">'Raw Data'!B405</f>
        <v>27</v>
      </c>
      <c r="C405" s="20" t="str">
        <f aca="false">'Raw Data'!C405</f>
        <v>male</v>
      </c>
      <c r="D405" s="20" t="n">
        <f aca="false">'Raw Data'!D405</f>
        <v>1</v>
      </c>
      <c r="E405" s="20" t="str">
        <f aca="false">'Raw Data'!E405</f>
        <v>own</v>
      </c>
      <c r="F405" s="20" t="str">
        <f aca="false">'Raw Data'!F405</f>
        <v>little</v>
      </c>
      <c r="G405" s="20" t="str">
        <f aca="false">'Raw Data'!G405</f>
        <v>none</v>
      </c>
      <c r="H405" s="20" t="n">
        <f aca="false">'Raw Data'!H405</f>
        <v>802</v>
      </c>
      <c r="I405" s="20" t="n">
        <f aca="false">'Raw Data'!I405</f>
        <v>14</v>
      </c>
      <c r="J405" s="20" t="str">
        <f aca="false">'Raw Data'!J405</f>
        <v>car</v>
      </c>
      <c r="K405" s="21" t="n">
        <f aca="false">H405/I405</f>
        <v>57.2857142857143</v>
      </c>
      <c r="L405" s="21" t="n">
        <f aca="false">100-MIN(K405/Assumptions!$B$14,1)*100</f>
        <v>85.6785714285714</v>
      </c>
      <c r="M405" s="21" t="n">
        <f aca="false">VLOOKUP(F405,Assumptions!$A$19:$B$23,2,0)</f>
        <v>25</v>
      </c>
      <c r="N405" s="21" t="n">
        <f aca="false">VLOOKUP(G405,Assumptions!$A$27:$B$30,2,0)</f>
        <v>50</v>
      </c>
      <c r="O405" s="21" t="n">
        <f aca="false">VLOOKUP(D405,Assumptions!$A$34:$B$37,2,0)</f>
        <v>33</v>
      </c>
      <c r="P405" s="21" t="n">
        <f aca="false">VLOOKUP(E405,Assumptions!$A$41:$B$43,2,0)</f>
        <v>100</v>
      </c>
      <c r="Q405" s="22" t="n">
        <f aca="false">L405*Assumptions!$B$7+M405*Assumptions!$B$8+N405*Assumptions!$B$9+O405*Assumptions!$B$10+P405*Assumptions!$B$11</f>
        <v>56.9035714285714</v>
      </c>
      <c r="R405" s="11" t="str">
        <f aca="false">IF(Q405&lt;=33,"High Risk",IF(Q405&lt;=66,"Medium Risk","Low Risk"))</f>
        <v>Medium Risk</v>
      </c>
    </row>
    <row r="406" customFormat="false" ht="15" hidden="false" customHeight="true" outlineLevel="0" collapsed="false">
      <c r="A406" s="20" t="n">
        <f aca="false">'Raw Data'!A406</f>
        <v>405</v>
      </c>
      <c r="B406" s="20" t="n">
        <f aca="false">'Raw Data'!B406</f>
        <v>43</v>
      </c>
      <c r="C406" s="20" t="str">
        <f aca="false">'Raw Data'!C406</f>
        <v>male</v>
      </c>
      <c r="D406" s="20" t="n">
        <f aca="false">'Raw Data'!D406</f>
        <v>2</v>
      </c>
      <c r="E406" s="20" t="str">
        <f aca="false">'Raw Data'!E406</f>
        <v>own</v>
      </c>
      <c r="F406" s="20" t="str">
        <f aca="false">'Raw Data'!F406</f>
        <v>none</v>
      </c>
      <c r="G406" s="20" t="str">
        <f aca="false">'Raw Data'!G406</f>
        <v>moderate</v>
      </c>
      <c r="H406" s="20" t="n">
        <f aca="false">'Raw Data'!H406</f>
        <v>2899</v>
      </c>
      <c r="I406" s="20" t="n">
        <f aca="false">'Raw Data'!I406</f>
        <v>18</v>
      </c>
      <c r="J406" s="20" t="str">
        <f aca="false">'Raw Data'!J406</f>
        <v>car</v>
      </c>
      <c r="K406" s="21" t="n">
        <f aca="false">H406/I406</f>
        <v>161.055555555556</v>
      </c>
      <c r="L406" s="21" t="n">
        <f aca="false">100-MIN(K406/Assumptions!$B$14,1)*100</f>
        <v>59.7361111111111</v>
      </c>
      <c r="M406" s="21" t="n">
        <f aca="false">VLOOKUP(F406,Assumptions!$A$19:$B$23,2,0)</f>
        <v>40</v>
      </c>
      <c r="N406" s="21" t="n">
        <f aca="false">VLOOKUP(G406,Assumptions!$A$27:$B$30,2,0)</f>
        <v>60</v>
      </c>
      <c r="O406" s="21" t="n">
        <f aca="false">VLOOKUP(D406,Assumptions!$A$34:$B$37,2,0)</f>
        <v>66</v>
      </c>
      <c r="P406" s="21" t="n">
        <f aca="false">VLOOKUP(E406,Assumptions!$A$41:$B$43,2,0)</f>
        <v>100</v>
      </c>
      <c r="Q406" s="22" t="n">
        <f aca="false">L406*Assumptions!$B$7+M406*Assumptions!$B$8+N406*Assumptions!$B$9+O406*Assumptions!$B$10+P406*Assumptions!$B$11</f>
        <v>59.8208333333333</v>
      </c>
      <c r="R406" s="11" t="str">
        <f aca="false">IF(Q406&lt;=33,"High Risk",IF(Q406&lt;=66,"Medium Risk","Low Risk"))</f>
        <v>Medium Risk</v>
      </c>
    </row>
    <row r="407" customFormat="false" ht="15" hidden="false" customHeight="true" outlineLevel="0" collapsed="false">
      <c r="A407" s="20" t="n">
        <f aca="false">'Raw Data'!A407</f>
        <v>406</v>
      </c>
      <c r="B407" s="20" t="n">
        <f aca="false">'Raw Data'!B407</f>
        <v>22</v>
      </c>
      <c r="C407" s="20" t="str">
        <f aca="false">'Raw Data'!C407</f>
        <v>male</v>
      </c>
      <c r="D407" s="20" t="n">
        <f aca="false">'Raw Data'!D407</f>
        <v>2</v>
      </c>
      <c r="E407" s="20" t="str">
        <f aca="false">'Raw Data'!E407</f>
        <v>own</v>
      </c>
      <c r="F407" s="20" t="str">
        <f aca="false">'Raw Data'!F407</f>
        <v>little</v>
      </c>
      <c r="G407" s="20" t="str">
        <f aca="false">'Raw Data'!G407</f>
        <v>moderate</v>
      </c>
      <c r="H407" s="20" t="n">
        <f aca="false">'Raw Data'!H407</f>
        <v>2039</v>
      </c>
      <c r="I407" s="20" t="n">
        <f aca="false">'Raw Data'!I407</f>
        <v>24</v>
      </c>
      <c r="J407" s="20" t="str">
        <f aca="false">'Raw Data'!J407</f>
        <v>radio/TV</v>
      </c>
      <c r="K407" s="21" t="n">
        <f aca="false">H407/I407</f>
        <v>84.9583333333333</v>
      </c>
      <c r="L407" s="21" t="n">
        <f aca="false">100-MIN(K407/Assumptions!$B$14,1)*100</f>
        <v>78.7604166666667</v>
      </c>
      <c r="M407" s="21" t="n">
        <f aca="false">VLOOKUP(F407,Assumptions!$A$19:$B$23,2,0)</f>
        <v>25</v>
      </c>
      <c r="N407" s="21" t="n">
        <f aca="false">VLOOKUP(G407,Assumptions!$A$27:$B$30,2,0)</f>
        <v>60</v>
      </c>
      <c r="O407" s="21" t="n">
        <f aca="false">VLOOKUP(D407,Assumptions!$A$34:$B$37,2,0)</f>
        <v>66</v>
      </c>
      <c r="P407" s="21" t="n">
        <f aca="false">VLOOKUP(E407,Assumptions!$A$41:$B$43,2,0)</f>
        <v>100</v>
      </c>
      <c r="Q407" s="22" t="n">
        <f aca="false">L407*Assumptions!$B$7+M407*Assumptions!$B$8+N407*Assumptions!$B$9+O407*Assumptions!$B$10+P407*Assumptions!$B$11</f>
        <v>61.778125</v>
      </c>
      <c r="R407" s="11" t="str">
        <f aca="false">IF(Q407&lt;=33,"High Risk",IF(Q407&lt;=66,"Medium Risk","Low Risk"))</f>
        <v>Medium Risk</v>
      </c>
    </row>
    <row r="408" customFormat="false" ht="15" hidden="false" customHeight="true" outlineLevel="0" collapsed="false">
      <c r="A408" s="20" t="n">
        <f aca="false">'Raw Data'!A408</f>
        <v>407</v>
      </c>
      <c r="B408" s="20" t="n">
        <f aca="false">'Raw Data'!B408</f>
        <v>43</v>
      </c>
      <c r="C408" s="20" t="str">
        <f aca="false">'Raw Data'!C408</f>
        <v>male</v>
      </c>
      <c r="D408" s="20" t="n">
        <f aca="false">'Raw Data'!D408</f>
        <v>2</v>
      </c>
      <c r="E408" s="20" t="str">
        <f aca="false">'Raw Data'!E408</f>
        <v>own</v>
      </c>
      <c r="F408" s="20" t="str">
        <f aca="false">'Raw Data'!F408</f>
        <v>none</v>
      </c>
      <c r="G408" s="20" t="str">
        <f aca="false">'Raw Data'!G408</f>
        <v>none</v>
      </c>
      <c r="H408" s="20" t="n">
        <f aca="false">'Raw Data'!H408</f>
        <v>2197</v>
      </c>
      <c r="I408" s="20" t="n">
        <f aca="false">'Raw Data'!I408</f>
        <v>24</v>
      </c>
      <c r="J408" s="20" t="str">
        <f aca="false">'Raw Data'!J408</f>
        <v>car</v>
      </c>
      <c r="K408" s="21" t="n">
        <f aca="false">H408/I408</f>
        <v>91.5416666666667</v>
      </c>
      <c r="L408" s="21" t="n">
        <f aca="false">100-MIN(K408/Assumptions!$B$14,1)*100</f>
        <v>77.1145833333333</v>
      </c>
      <c r="M408" s="21" t="n">
        <f aca="false">VLOOKUP(F408,Assumptions!$A$19:$B$23,2,0)</f>
        <v>40</v>
      </c>
      <c r="N408" s="21" t="n">
        <f aca="false">VLOOKUP(G408,Assumptions!$A$27:$B$30,2,0)</f>
        <v>50</v>
      </c>
      <c r="O408" s="21" t="n">
        <f aca="false">VLOOKUP(D408,Assumptions!$A$34:$B$37,2,0)</f>
        <v>66</v>
      </c>
      <c r="P408" s="21" t="n">
        <f aca="false">VLOOKUP(E408,Assumptions!$A$41:$B$43,2,0)</f>
        <v>100</v>
      </c>
      <c r="Q408" s="22" t="n">
        <f aca="false">L408*Assumptions!$B$7+M408*Assumptions!$B$8+N408*Assumptions!$B$9+O408*Assumptions!$B$10+P408*Assumptions!$B$11</f>
        <v>63.034375</v>
      </c>
      <c r="R408" s="11" t="str">
        <f aca="false">IF(Q408&lt;=33,"High Risk",IF(Q408&lt;=66,"Medium Risk","Low Risk"))</f>
        <v>Medium Risk</v>
      </c>
    </row>
    <row r="409" customFormat="false" ht="15" hidden="false" customHeight="true" outlineLevel="0" collapsed="false">
      <c r="A409" s="20" t="n">
        <f aca="false">'Raw Data'!A409</f>
        <v>408</v>
      </c>
      <c r="B409" s="20" t="n">
        <f aca="false">'Raw Data'!B409</f>
        <v>27</v>
      </c>
      <c r="C409" s="20" t="str">
        <f aca="false">'Raw Data'!C409</f>
        <v>male</v>
      </c>
      <c r="D409" s="20" t="n">
        <f aca="false">'Raw Data'!D409</f>
        <v>2</v>
      </c>
      <c r="E409" s="20" t="str">
        <f aca="false">'Raw Data'!E409</f>
        <v>own</v>
      </c>
      <c r="F409" s="20" t="str">
        <f aca="false">'Raw Data'!F409</f>
        <v>little</v>
      </c>
      <c r="G409" s="20" t="str">
        <f aca="false">'Raw Data'!G409</f>
        <v>little</v>
      </c>
      <c r="H409" s="20" t="n">
        <f aca="false">'Raw Data'!H409</f>
        <v>1053</v>
      </c>
      <c r="I409" s="20" t="n">
        <f aca="false">'Raw Data'!I409</f>
        <v>15</v>
      </c>
      <c r="J409" s="20" t="str">
        <f aca="false">'Raw Data'!J409</f>
        <v>radio/TV</v>
      </c>
      <c r="K409" s="21" t="n">
        <f aca="false">H409/I409</f>
        <v>70.2</v>
      </c>
      <c r="L409" s="21" t="n">
        <f aca="false">100-MIN(K409/Assumptions!$B$14,1)*100</f>
        <v>82.45</v>
      </c>
      <c r="M409" s="21" t="n">
        <f aca="false">VLOOKUP(F409,Assumptions!$A$19:$B$23,2,0)</f>
        <v>25</v>
      </c>
      <c r="N409" s="21" t="n">
        <f aca="false">VLOOKUP(G409,Assumptions!$A$27:$B$30,2,0)</f>
        <v>25</v>
      </c>
      <c r="O409" s="21" t="n">
        <f aca="false">VLOOKUP(D409,Assumptions!$A$34:$B$37,2,0)</f>
        <v>66</v>
      </c>
      <c r="P409" s="21" t="n">
        <f aca="false">VLOOKUP(E409,Assumptions!$A$41:$B$43,2,0)</f>
        <v>100</v>
      </c>
      <c r="Q409" s="22" t="n">
        <f aca="false">L409*Assumptions!$B$7+M409*Assumptions!$B$8+N409*Assumptions!$B$9+O409*Assumptions!$B$10+P409*Assumptions!$B$11</f>
        <v>55.885</v>
      </c>
      <c r="R409" s="11" t="str">
        <f aca="false">IF(Q409&lt;=33,"High Risk",IF(Q409&lt;=66,"Medium Risk","Low Risk"))</f>
        <v>Medium Risk</v>
      </c>
    </row>
    <row r="410" customFormat="false" ht="15" hidden="false" customHeight="true" outlineLevel="0" collapsed="false">
      <c r="A410" s="20" t="n">
        <f aca="false">'Raw Data'!A410</f>
        <v>409</v>
      </c>
      <c r="B410" s="20" t="n">
        <f aca="false">'Raw Data'!B410</f>
        <v>26</v>
      </c>
      <c r="C410" s="20" t="str">
        <f aca="false">'Raw Data'!C410</f>
        <v>male</v>
      </c>
      <c r="D410" s="20" t="n">
        <f aca="false">'Raw Data'!D410</f>
        <v>3</v>
      </c>
      <c r="E410" s="20" t="str">
        <f aca="false">'Raw Data'!E410</f>
        <v>own</v>
      </c>
      <c r="F410" s="20" t="str">
        <f aca="false">'Raw Data'!F410</f>
        <v>quite rich</v>
      </c>
      <c r="G410" s="20" t="str">
        <f aca="false">'Raw Data'!G410</f>
        <v>none</v>
      </c>
      <c r="H410" s="20" t="n">
        <f aca="false">'Raw Data'!H410</f>
        <v>3235</v>
      </c>
      <c r="I410" s="20" t="n">
        <f aca="false">'Raw Data'!I410</f>
        <v>24</v>
      </c>
      <c r="J410" s="20" t="str">
        <f aca="false">'Raw Data'!J410</f>
        <v>radio/TV</v>
      </c>
      <c r="K410" s="21" t="n">
        <f aca="false">H410/I410</f>
        <v>134.791666666667</v>
      </c>
      <c r="L410" s="21" t="n">
        <f aca="false">100-MIN(K410/Assumptions!$B$14,1)*100</f>
        <v>66.3020833333333</v>
      </c>
      <c r="M410" s="21" t="n">
        <f aca="false">VLOOKUP(F410,Assumptions!$A$19:$B$23,2,0)</f>
        <v>75</v>
      </c>
      <c r="N410" s="21" t="n">
        <f aca="false">VLOOKUP(G410,Assumptions!$A$27:$B$30,2,0)</f>
        <v>50</v>
      </c>
      <c r="O410" s="21" t="n">
        <f aca="false">VLOOKUP(D410,Assumptions!$A$34:$B$37,2,0)</f>
        <v>100</v>
      </c>
      <c r="P410" s="21" t="n">
        <f aca="false">VLOOKUP(E410,Assumptions!$A$41:$B$43,2,0)</f>
        <v>100</v>
      </c>
      <c r="Q410" s="22" t="n">
        <f aca="false">L410*Assumptions!$B$7+M410*Assumptions!$B$8+N410*Assumptions!$B$9+O410*Assumptions!$B$10+P410*Assumptions!$B$11</f>
        <v>73.640625</v>
      </c>
      <c r="R410" s="11" t="str">
        <f aca="false">IF(Q410&lt;=33,"High Risk",IF(Q410&lt;=66,"Medium Risk","Low Risk"))</f>
        <v>Low Risk</v>
      </c>
    </row>
    <row r="411" customFormat="false" ht="15" hidden="false" customHeight="true" outlineLevel="0" collapsed="false">
      <c r="A411" s="20" t="n">
        <f aca="false">'Raw Data'!A411</f>
        <v>410</v>
      </c>
      <c r="B411" s="20" t="n">
        <f aca="false">'Raw Data'!B411</f>
        <v>28</v>
      </c>
      <c r="C411" s="20" t="str">
        <f aca="false">'Raw Data'!C411</f>
        <v>male</v>
      </c>
      <c r="D411" s="20" t="n">
        <f aca="false">'Raw Data'!D411</f>
        <v>2</v>
      </c>
      <c r="E411" s="20" t="str">
        <f aca="false">'Raw Data'!E411</f>
        <v>own</v>
      </c>
      <c r="F411" s="20" t="str">
        <f aca="false">'Raw Data'!F411</f>
        <v>quite rich</v>
      </c>
      <c r="G411" s="20" t="str">
        <f aca="false">'Raw Data'!G411</f>
        <v>rich</v>
      </c>
      <c r="H411" s="20" t="n">
        <f aca="false">'Raw Data'!H411</f>
        <v>939</v>
      </c>
      <c r="I411" s="20" t="n">
        <f aca="false">'Raw Data'!I411</f>
        <v>12</v>
      </c>
      <c r="J411" s="20" t="str">
        <f aca="false">'Raw Data'!J411</f>
        <v>car</v>
      </c>
      <c r="K411" s="21" t="n">
        <f aca="false">H411/I411</f>
        <v>78.25</v>
      </c>
      <c r="L411" s="21" t="n">
        <f aca="false">100-MIN(K411/Assumptions!$B$14,1)*100</f>
        <v>80.4375</v>
      </c>
      <c r="M411" s="21" t="n">
        <f aca="false">VLOOKUP(F411,Assumptions!$A$19:$B$23,2,0)</f>
        <v>75</v>
      </c>
      <c r="N411" s="21" t="n">
        <f aca="false">VLOOKUP(G411,Assumptions!$A$27:$B$30,2,0)</f>
        <v>100</v>
      </c>
      <c r="O411" s="21" t="n">
        <f aca="false">VLOOKUP(D411,Assumptions!$A$34:$B$37,2,0)</f>
        <v>66</v>
      </c>
      <c r="P411" s="21" t="n">
        <f aca="false">VLOOKUP(E411,Assumptions!$A$41:$B$43,2,0)</f>
        <v>100</v>
      </c>
      <c r="Q411" s="22" t="n">
        <f aca="false">L411*Assumptions!$B$7+M411*Assumptions!$B$8+N411*Assumptions!$B$9+O411*Assumptions!$B$10+P411*Assumptions!$B$11</f>
        <v>82.78125</v>
      </c>
      <c r="R411" s="11" t="str">
        <f aca="false">IF(Q411&lt;=33,"High Risk",IF(Q411&lt;=66,"Medium Risk","Low Risk"))</f>
        <v>Low Risk</v>
      </c>
    </row>
    <row r="412" customFormat="false" ht="15" hidden="false" customHeight="true" outlineLevel="0" collapsed="false">
      <c r="A412" s="20" t="n">
        <f aca="false">'Raw Data'!A412</f>
        <v>411</v>
      </c>
      <c r="B412" s="20" t="n">
        <f aca="false">'Raw Data'!B412</f>
        <v>20</v>
      </c>
      <c r="C412" s="20" t="str">
        <f aca="false">'Raw Data'!C412</f>
        <v>female</v>
      </c>
      <c r="D412" s="20" t="n">
        <f aca="false">'Raw Data'!D412</f>
        <v>2</v>
      </c>
      <c r="E412" s="20" t="str">
        <f aca="false">'Raw Data'!E412</f>
        <v>own</v>
      </c>
      <c r="F412" s="20" t="str">
        <f aca="false">'Raw Data'!F412</f>
        <v>little</v>
      </c>
      <c r="G412" s="20" t="str">
        <f aca="false">'Raw Data'!G412</f>
        <v>moderate</v>
      </c>
      <c r="H412" s="20" t="n">
        <f aca="false">'Raw Data'!H412</f>
        <v>1967</v>
      </c>
      <c r="I412" s="20" t="n">
        <f aca="false">'Raw Data'!I412</f>
        <v>24</v>
      </c>
      <c r="J412" s="20" t="str">
        <f aca="false">'Raw Data'!J412</f>
        <v>radio/TV</v>
      </c>
      <c r="K412" s="21" t="n">
        <f aca="false">H412/I412</f>
        <v>81.9583333333333</v>
      </c>
      <c r="L412" s="21" t="n">
        <f aca="false">100-MIN(K412/Assumptions!$B$14,1)*100</f>
        <v>79.5104166666667</v>
      </c>
      <c r="M412" s="21" t="n">
        <f aca="false">VLOOKUP(F412,Assumptions!$A$19:$B$23,2,0)</f>
        <v>25</v>
      </c>
      <c r="N412" s="21" t="n">
        <f aca="false">VLOOKUP(G412,Assumptions!$A$27:$B$30,2,0)</f>
        <v>60</v>
      </c>
      <c r="O412" s="21" t="n">
        <f aca="false">VLOOKUP(D412,Assumptions!$A$34:$B$37,2,0)</f>
        <v>66</v>
      </c>
      <c r="P412" s="21" t="n">
        <f aca="false">VLOOKUP(E412,Assumptions!$A$41:$B$43,2,0)</f>
        <v>100</v>
      </c>
      <c r="Q412" s="22" t="n">
        <f aca="false">L412*Assumptions!$B$7+M412*Assumptions!$B$8+N412*Assumptions!$B$9+O412*Assumptions!$B$10+P412*Assumptions!$B$11</f>
        <v>62.003125</v>
      </c>
      <c r="R412" s="11" t="str">
        <f aca="false">IF(Q412&lt;=33,"High Risk",IF(Q412&lt;=66,"Medium Risk","Low Risk"))</f>
        <v>Medium Risk</v>
      </c>
    </row>
    <row r="413" customFormat="false" ht="15" hidden="false" customHeight="true" outlineLevel="0" collapsed="false">
      <c r="A413" s="20" t="n">
        <f aca="false">'Raw Data'!A413</f>
        <v>412</v>
      </c>
      <c r="B413" s="20" t="n">
        <f aca="false">'Raw Data'!B413</f>
        <v>35</v>
      </c>
      <c r="C413" s="20" t="str">
        <f aca="false">'Raw Data'!C413</f>
        <v>male</v>
      </c>
      <c r="D413" s="20" t="n">
        <f aca="false">'Raw Data'!D413</f>
        <v>3</v>
      </c>
      <c r="E413" s="20" t="str">
        <f aca="false">'Raw Data'!E413</f>
        <v>own</v>
      </c>
      <c r="F413" s="20" t="str">
        <f aca="false">'Raw Data'!F413</f>
        <v>little</v>
      </c>
      <c r="G413" s="20" t="str">
        <f aca="false">'Raw Data'!G413</f>
        <v>none</v>
      </c>
      <c r="H413" s="20" t="n">
        <f aca="false">'Raw Data'!H413</f>
        <v>7253</v>
      </c>
      <c r="I413" s="20" t="n">
        <f aca="false">'Raw Data'!I413</f>
        <v>33</v>
      </c>
      <c r="J413" s="20" t="str">
        <f aca="false">'Raw Data'!J413</f>
        <v>car</v>
      </c>
      <c r="K413" s="21" t="n">
        <f aca="false">H413/I413</f>
        <v>219.787878787879</v>
      </c>
      <c r="L413" s="21" t="n">
        <f aca="false">100-MIN(K413/Assumptions!$B$14,1)*100</f>
        <v>45.0530303030303</v>
      </c>
      <c r="M413" s="21" t="n">
        <f aca="false">VLOOKUP(F413,Assumptions!$A$19:$B$23,2,0)</f>
        <v>25</v>
      </c>
      <c r="N413" s="21" t="n">
        <f aca="false">VLOOKUP(G413,Assumptions!$A$27:$B$30,2,0)</f>
        <v>50</v>
      </c>
      <c r="O413" s="21" t="n">
        <f aca="false">VLOOKUP(D413,Assumptions!$A$34:$B$37,2,0)</f>
        <v>100</v>
      </c>
      <c r="P413" s="21" t="n">
        <f aca="false">VLOOKUP(E413,Assumptions!$A$41:$B$43,2,0)</f>
        <v>100</v>
      </c>
      <c r="Q413" s="22" t="n">
        <f aca="false">L413*Assumptions!$B$7+M413*Assumptions!$B$8+N413*Assumptions!$B$9+O413*Assumptions!$B$10+P413*Assumptions!$B$11</f>
        <v>54.7659090909091</v>
      </c>
      <c r="R413" s="11" t="str">
        <f aca="false">IF(Q413&lt;=33,"High Risk",IF(Q413&lt;=66,"Medium Risk","Low Risk"))</f>
        <v>Medium Risk</v>
      </c>
    </row>
    <row r="414" customFormat="false" ht="15" hidden="false" customHeight="true" outlineLevel="0" collapsed="false">
      <c r="A414" s="20" t="n">
        <f aca="false">'Raw Data'!A414</f>
        <v>413</v>
      </c>
      <c r="B414" s="20" t="n">
        <f aca="false">'Raw Data'!B414</f>
        <v>42</v>
      </c>
      <c r="C414" s="20" t="str">
        <f aca="false">'Raw Data'!C414</f>
        <v>male</v>
      </c>
      <c r="D414" s="20" t="n">
        <f aca="false">'Raw Data'!D414</f>
        <v>3</v>
      </c>
      <c r="E414" s="20" t="str">
        <f aca="false">'Raw Data'!E414</f>
        <v>own</v>
      </c>
      <c r="F414" s="20" t="str">
        <f aca="false">'Raw Data'!F414</f>
        <v>little</v>
      </c>
      <c r="G414" s="20" t="str">
        <f aca="false">'Raw Data'!G414</f>
        <v>none</v>
      </c>
      <c r="H414" s="20" t="n">
        <f aca="false">'Raw Data'!H414</f>
        <v>2292</v>
      </c>
      <c r="I414" s="20" t="n">
        <f aca="false">'Raw Data'!I414</f>
        <v>12</v>
      </c>
      <c r="J414" s="20" t="str">
        <f aca="false">'Raw Data'!J414</f>
        <v>business</v>
      </c>
      <c r="K414" s="21" t="n">
        <f aca="false">H414/I414</f>
        <v>191</v>
      </c>
      <c r="L414" s="21" t="n">
        <f aca="false">100-MIN(K414/Assumptions!$B$14,1)*100</f>
        <v>52.25</v>
      </c>
      <c r="M414" s="21" t="n">
        <f aca="false">VLOOKUP(F414,Assumptions!$A$19:$B$23,2,0)</f>
        <v>25</v>
      </c>
      <c r="N414" s="21" t="n">
        <f aca="false">VLOOKUP(G414,Assumptions!$A$27:$B$30,2,0)</f>
        <v>50</v>
      </c>
      <c r="O414" s="21" t="n">
        <f aca="false">VLOOKUP(D414,Assumptions!$A$34:$B$37,2,0)</f>
        <v>100</v>
      </c>
      <c r="P414" s="21" t="n">
        <f aca="false">VLOOKUP(E414,Assumptions!$A$41:$B$43,2,0)</f>
        <v>100</v>
      </c>
      <c r="Q414" s="22" t="n">
        <f aca="false">L414*Assumptions!$B$7+M414*Assumptions!$B$8+N414*Assumptions!$B$9+O414*Assumptions!$B$10+P414*Assumptions!$B$11</f>
        <v>56.925</v>
      </c>
      <c r="R414" s="11" t="str">
        <f aca="false">IF(Q414&lt;=33,"High Risk",IF(Q414&lt;=66,"Medium Risk","Low Risk"))</f>
        <v>Medium Risk</v>
      </c>
    </row>
    <row r="415" customFormat="false" ht="15" hidden="false" customHeight="true" outlineLevel="0" collapsed="false">
      <c r="A415" s="20" t="n">
        <f aca="false">'Raw Data'!A415</f>
        <v>414</v>
      </c>
      <c r="B415" s="20" t="n">
        <f aca="false">'Raw Data'!B415</f>
        <v>40</v>
      </c>
      <c r="C415" s="20" t="str">
        <f aca="false">'Raw Data'!C415</f>
        <v>male</v>
      </c>
      <c r="D415" s="20" t="n">
        <f aca="false">'Raw Data'!D415</f>
        <v>1</v>
      </c>
      <c r="E415" s="20" t="str">
        <f aca="false">'Raw Data'!E415</f>
        <v>rent</v>
      </c>
      <c r="F415" s="20" t="str">
        <f aca="false">'Raw Data'!F415</f>
        <v>quite rich</v>
      </c>
      <c r="G415" s="20" t="str">
        <f aca="false">'Raw Data'!G415</f>
        <v>none</v>
      </c>
      <c r="H415" s="20" t="n">
        <f aca="false">'Raw Data'!H415</f>
        <v>1597</v>
      </c>
      <c r="I415" s="20" t="n">
        <f aca="false">'Raw Data'!I415</f>
        <v>10</v>
      </c>
      <c r="J415" s="20" t="str">
        <f aca="false">'Raw Data'!J415</f>
        <v>car</v>
      </c>
      <c r="K415" s="21" t="n">
        <f aca="false">H415/I415</f>
        <v>159.7</v>
      </c>
      <c r="L415" s="21" t="n">
        <f aca="false">100-MIN(K415/Assumptions!$B$14,1)*100</f>
        <v>60.075</v>
      </c>
      <c r="M415" s="21" t="n">
        <f aca="false">VLOOKUP(F415,Assumptions!$A$19:$B$23,2,0)</f>
        <v>75</v>
      </c>
      <c r="N415" s="21" t="n">
        <f aca="false">VLOOKUP(G415,Assumptions!$A$27:$B$30,2,0)</f>
        <v>50</v>
      </c>
      <c r="O415" s="21" t="n">
        <f aca="false">VLOOKUP(D415,Assumptions!$A$34:$B$37,2,0)</f>
        <v>33</v>
      </c>
      <c r="P415" s="21" t="n">
        <f aca="false">VLOOKUP(E415,Assumptions!$A$41:$B$43,2,0)</f>
        <v>30</v>
      </c>
      <c r="Q415" s="22" t="n">
        <f aca="false">L415*Assumptions!$B$7+M415*Assumptions!$B$8+N415*Assumptions!$B$9+O415*Assumptions!$B$10+P415*Assumptions!$B$11</f>
        <v>54.7225</v>
      </c>
      <c r="R415" s="11" t="str">
        <f aca="false">IF(Q415&lt;=33,"High Risk",IF(Q415&lt;=66,"Medium Risk","Low Risk"))</f>
        <v>Medium Risk</v>
      </c>
    </row>
    <row r="416" customFormat="false" ht="15" hidden="false" customHeight="true" outlineLevel="0" collapsed="false">
      <c r="A416" s="20" t="n">
        <f aca="false">'Raw Data'!A416</f>
        <v>415</v>
      </c>
      <c r="B416" s="20" t="n">
        <f aca="false">'Raw Data'!B416</f>
        <v>35</v>
      </c>
      <c r="C416" s="20" t="str">
        <f aca="false">'Raw Data'!C416</f>
        <v>female</v>
      </c>
      <c r="D416" s="20" t="n">
        <f aca="false">'Raw Data'!D416</f>
        <v>2</v>
      </c>
      <c r="E416" s="20" t="str">
        <f aca="false">'Raw Data'!E416</f>
        <v>own</v>
      </c>
      <c r="F416" s="20" t="str">
        <f aca="false">'Raw Data'!F416</f>
        <v>none</v>
      </c>
      <c r="G416" s="20" t="str">
        <f aca="false">'Raw Data'!G416</f>
        <v>little</v>
      </c>
      <c r="H416" s="20" t="n">
        <f aca="false">'Raw Data'!H416</f>
        <v>1381</v>
      </c>
      <c r="I416" s="20" t="n">
        <f aca="false">'Raw Data'!I416</f>
        <v>24</v>
      </c>
      <c r="J416" s="20" t="str">
        <f aca="false">'Raw Data'!J416</f>
        <v>car</v>
      </c>
      <c r="K416" s="21" t="n">
        <f aca="false">H416/I416</f>
        <v>57.5416666666667</v>
      </c>
      <c r="L416" s="21" t="n">
        <f aca="false">100-MIN(K416/Assumptions!$B$14,1)*100</f>
        <v>85.6145833333333</v>
      </c>
      <c r="M416" s="21" t="n">
        <f aca="false">VLOOKUP(F416,Assumptions!$A$19:$B$23,2,0)</f>
        <v>40</v>
      </c>
      <c r="N416" s="21" t="n">
        <f aca="false">VLOOKUP(G416,Assumptions!$A$27:$B$30,2,0)</f>
        <v>25</v>
      </c>
      <c r="O416" s="21" t="n">
        <f aca="false">VLOOKUP(D416,Assumptions!$A$34:$B$37,2,0)</f>
        <v>66</v>
      </c>
      <c r="P416" s="21" t="n">
        <f aca="false">VLOOKUP(E416,Assumptions!$A$41:$B$43,2,0)</f>
        <v>100</v>
      </c>
      <c r="Q416" s="22" t="n">
        <f aca="false">L416*Assumptions!$B$7+M416*Assumptions!$B$8+N416*Assumptions!$B$9+O416*Assumptions!$B$10+P416*Assumptions!$B$11</f>
        <v>60.584375</v>
      </c>
      <c r="R416" s="11" t="str">
        <f aca="false">IF(Q416&lt;=33,"High Risk",IF(Q416&lt;=66,"Medium Risk","Low Risk"))</f>
        <v>Medium Risk</v>
      </c>
    </row>
    <row r="417" customFormat="false" ht="15" hidden="false" customHeight="true" outlineLevel="0" collapsed="false">
      <c r="A417" s="20" t="n">
        <f aca="false">'Raw Data'!A417</f>
        <v>416</v>
      </c>
      <c r="B417" s="20" t="n">
        <f aca="false">'Raw Data'!B417</f>
        <v>35</v>
      </c>
      <c r="C417" s="20" t="str">
        <f aca="false">'Raw Data'!C417</f>
        <v>male</v>
      </c>
      <c r="D417" s="20" t="n">
        <f aca="false">'Raw Data'!D417</f>
        <v>2</v>
      </c>
      <c r="E417" s="20" t="str">
        <f aca="false">'Raw Data'!E417</f>
        <v>own</v>
      </c>
      <c r="F417" s="20" t="str">
        <f aca="false">'Raw Data'!F417</f>
        <v>little</v>
      </c>
      <c r="G417" s="20" t="str">
        <f aca="false">'Raw Data'!G417</f>
        <v>none</v>
      </c>
      <c r="H417" s="20" t="n">
        <f aca="false">'Raw Data'!H417</f>
        <v>5842</v>
      </c>
      <c r="I417" s="20" t="n">
        <f aca="false">'Raw Data'!I417</f>
        <v>36</v>
      </c>
      <c r="J417" s="20" t="str">
        <f aca="false">'Raw Data'!J417</f>
        <v>car</v>
      </c>
      <c r="K417" s="21" t="n">
        <f aca="false">H417/I417</f>
        <v>162.277777777778</v>
      </c>
      <c r="L417" s="21" t="n">
        <f aca="false">100-MIN(K417/Assumptions!$B$14,1)*100</f>
        <v>59.4305555555556</v>
      </c>
      <c r="M417" s="21" t="n">
        <f aca="false">VLOOKUP(F417,Assumptions!$A$19:$B$23,2,0)</f>
        <v>25</v>
      </c>
      <c r="N417" s="21" t="n">
        <f aca="false">VLOOKUP(G417,Assumptions!$A$27:$B$30,2,0)</f>
        <v>50</v>
      </c>
      <c r="O417" s="21" t="n">
        <f aca="false">VLOOKUP(D417,Assumptions!$A$34:$B$37,2,0)</f>
        <v>66</v>
      </c>
      <c r="P417" s="21" t="n">
        <f aca="false">VLOOKUP(E417,Assumptions!$A$41:$B$43,2,0)</f>
        <v>100</v>
      </c>
      <c r="Q417" s="22" t="n">
        <f aca="false">L417*Assumptions!$B$7+M417*Assumptions!$B$8+N417*Assumptions!$B$9+O417*Assumptions!$B$10+P417*Assumptions!$B$11</f>
        <v>53.9791666666667</v>
      </c>
      <c r="R417" s="11" t="str">
        <f aca="false">IF(Q417&lt;=33,"High Risk",IF(Q417&lt;=66,"Medium Risk","Low Risk"))</f>
        <v>Medium Risk</v>
      </c>
    </row>
    <row r="418" customFormat="false" ht="15" hidden="false" customHeight="true" outlineLevel="0" collapsed="false">
      <c r="A418" s="20" t="n">
        <f aca="false">'Raw Data'!A418</f>
        <v>417</v>
      </c>
      <c r="B418" s="20" t="n">
        <f aca="false">'Raw Data'!B418</f>
        <v>33</v>
      </c>
      <c r="C418" s="20" t="str">
        <f aca="false">'Raw Data'!C418</f>
        <v>male</v>
      </c>
      <c r="D418" s="20" t="n">
        <f aca="false">'Raw Data'!D418</f>
        <v>1</v>
      </c>
      <c r="E418" s="20" t="str">
        <f aca="false">'Raw Data'!E418</f>
        <v>own</v>
      </c>
      <c r="F418" s="20" t="str">
        <f aca="false">'Raw Data'!F418</f>
        <v>little</v>
      </c>
      <c r="G418" s="20" t="str">
        <f aca="false">'Raw Data'!G418</f>
        <v>little</v>
      </c>
      <c r="H418" s="20" t="n">
        <f aca="false">'Raw Data'!H418</f>
        <v>2579</v>
      </c>
      <c r="I418" s="20" t="n">
        <f aca="false">'Raw Data'!I418</f>
        <v>12</v>
      </c>
      <c r="J418" s="20" t="str">
        <f aca="false">'Raw Data'!J418</f>
        <v>car</v>
      </c>
      <c r="K418" s="21" t="n">
        <f aca="false">H418/I418</f>
        <v>214.916666666667</v>
      </c>
      <c r="L418" s="21" t="n">
        <f aca="false">100-MIN(K418/Assumptions!$B$14,1)*100</f>
        <v>46.2708333333333</v>
      </c>
      <c r="M418" s="21" t="n">
        <f aca="false">VLOOKUP(F418,Assumptions!$A$19:$B$23,2,0)</f>
        <v>25</v>
      </c>
      <c r="N418" s="21" t="n">
        <f aca="false">VLOOKUP(G418,Assumptions!$A$27:$B$30,2,0)</f>
        <v>25</v>
      </c>
      <c r="O418" s="21" t="n">
        <f aca="false">VLOOKUP(D418,Assumptions!$A$34:$B$37,2,0)</f>
        <v>33</v>
      </c>
      <c r="P418" s="21" t="n">
        <f aca="false">VLOOKUP(E418,Assumptions!$A$41:$B$43,2,0)</f>
        <v>100</v>
      </c>
      <c r="Q418" s="22" t="n">
        <f aca="false">L418*Assumptions!$B$7+M418*Assumptions!$B$8+N418*Assumptions!$B$9+O418*Assumptions!$B$10+P418*Assumptions!$B$11</f>
        <v>40.08125</v>
      </c>
      <c r="R418" s="11" t="str">
        <f aca="false">IF(Q418&lt;=33,"High Risk",IF(Q418&lt;=66,"Medium Risk","Low Risk"))</f>
        <v>Medium Risk</v>
      </c>
    </row>
    <row r="419" customFormat="false" ht="15" hidden="false" customHeight="true" outlineLevel="0" collapsed="false">
      <c r="A419" s="20" t="n">
        <f aca="false">'Raw Data'!A419</f>
        <v>418</v>
      </c>
      <c r="B419" s="20" t="n">
        <f aca="false">'Raw Data'!B419</f>
        <v>23</v>
      </c>
      <c r="C419" s="20" t="str">
        <f aca="false">'Raw Data'!C419</f>
        <v>female</v>
      </c>
      <c r="D419" s="20" t="n">
        <f aca="false">'Raw Data'!D419</f>
        <v>2</v>
      </c>
      <c r="E419" s="20" t="str">
        <f aca="false">'Raw Data'!E419</f>
        <v>rent</v>
      </c>
      <c r="F419" s="20" t="str">
        <f aca="false">'Raw Data'!F419</f>
        <v>none</v>
      </c>
      <c r="G419" s="20" t="str">
        <f aca="false">'Raw Data'!G419</f>
        <v>little</v>
      </c>
      <c r="H419" s="20" t="n">
        <f aca="false">'Raw Data'!H419</f>
        <v>8471</v>
      </c>
      <c r="I419" s="20" t="n">
        <f aca="false">'Raw Data'!I419</f>
        <v>18</v>
      </c>
      <c r="J419" s="20" t="str">
        <f aca="false">'Raw Data'!J419</f>
        <v>education</v>
      </c>
      <c r="K419" s="21" t="n">
        <f aca="false">H419/I419</f>
        <v>470.611111111111</v>
      </c>
      <c r="L419" s="21" t="n">
        <f aca="false">100-MIN(K419/Assumptions!$B$14,1)*100</f>
        <v>0</v>
      </c>
      <c r="M419" s="21" t="n">
        <f aca="false">VLOOKUP(F419,Assumptions!$A$19:$B$23,2,0)</f>
        <v>40</v>
      </c>
      <c r="N419" s="21" t="n">
        <f aca="false">VLOOKUP(G419,Assumptions!$A$27:$B$30,2,0)</f>
        <v>25</v>
      </c>
      <c r="O419" s="21" t="n">
        <f aca="false">VLOOKUP(D419,Assumptions!$A$34:$B$37,2,0)</f>
        <v>66</v>
      </c>
      <c r="P419" s="21" t="n">
        <f aca="false">VLOOKUP(E419,Assumptions!$A$41:$B$43,2,0)</f>
        <v>30</v>
      </c>
      <c r="Q419" s="22" t="n">
        <f aca="false">L419*Assumptions!$B$7+M419*Assumptions!$B$8+N419*Assumptions!$B$9+O419*Assumptions!$B$10+P419*Assumptions!$B$11</f>
        <v>27.9</v>
      </c>
      <c r="R419" s="11" t="str">
        <f aca="false">IF(Q419&lt;=33,"High Risk",IF(Q419&lt;=66,"Medium Risk","Low Risk"))</f>
        <v>High Risk</v>
      </c>
    </row>
    <row r="420" customFormat="false" ht="15" hidden="false" customHeight="true" outlineLevel="0" collapsed="false">
      <c r="A420" s="20" t="n">
        <f aca="false">'Raw Data'!A420</f>
        <v>419</v>
      </c>
      <c r="B420" s="20" t="n">
        <f aca="false">'Raw Data'!B420</f>
        <v>31</v>
      </c>
      <c r="C420" s="20" t="str">
        <f aca="false">'Raw Data'!C420</f>
        <v>female</v>
      </c>
      <c r="D420" s="20" t="n">
        <f aca="false">'Raw Data'!D420</f>
        <v>3</v>
      </c>
      <c r="E420" s="20" t="str">
        <f aca="false">'Raw Data'!E420</f>
        <v>own</v>
      </c>
      <c r="F420" s="20" t="str">
        <f aca="false">'Raw Data'!F420</f>
        <v>quite rich</v>
      </c>
      <c r="G420" s="20" t="str">
        <f aca="false">'Raw Data'!G420</f>
        <v>none</v>
      </c>
      <c r="H420" s="20" t="n">
        <f aca="false">'Raw Data'!H420</f>
        <v>2782</v>
      </c>
      <c r="I420" s="20" t="n">
        <f aca="false">'Raw Data'!I420</f>
        <v>21</v>
      </c>
      <c r="J420" s="20" t="str">
        <f aca="false">'Raw Data'!J420</f>
        <v>car</v>
      </c>
      <c r="K420" s="21" t="n">
        <f aca="false">H420/I420</f>
        <v>132.47619047619</v>
      </c>
      <c r="L420" s="21" t="n">
        <f aca="false">100-MIN(K420/Assumptions!$B$14,1)*100</f>
        <v>66.8809523809524</v>
      </c>
      <c r="M420" s="21" t="n">
        <f aca="false">VLOOKUP(F420,Assumptions!$A$19:$B$23,2,0)</f>
        <v>75</v>
      </c>
      <c r="N420" s="21" t="n">
        <f aca="false">VLOOKUP(G420,Assumptions!$A$27:$B$30,2,0)</f>
        <v>50</v>
      </c>
      <c r="O420" s="21" t="n">
        <f aca="false">VLOOKUP(D420,Assumptions!$A$34:$B$37,2,0)</f>
        <v>100</v>
      </c>
      <c r="P420" s="21" t="n">
        <f aca="false">VLOOKUP(E420,Assumptions!$A$41:$B$43,2,0)</f>
        <v>100</v>
      </c>
      <c r="Q420" s="22" t="n">
        <f aca="false">L420*Assumptions!$B$7+M420*Assumptions!$B$8+N420*Assumptions!$B$9+O420*Assumptions!$B$10+P420*Assumptions!$B$11</f>
        <v>73.8142857142857</v>
      </c>
      <c r="R420" s="11" t="str">
        <f aca="false">IF(Q420&lt;=33,"High Risk",IF(Q420&lt;=66,"Medium Risk","Low Risk"))</f>
        <v>Low Risk</v>
      </c>
    </row>
    <row r="421" customFormat="false" ht="15" hidden="false" customHeight="true" outlineLevel="0" collapsed="false">
      <c r="A421" s="20" t="n">
        <f aca="false">'Raw Data'!A421</f>
        <v>420</v>
      </c>
      <c r="B421" s="20" t="n">
        <f aca="false">'Raw Data'!B421</f>
        <v>33</v>
      </c>
      <c r="C421" s="20" t="str">
        <f aca="false">'Raw Data'!C421</f>
        <v>female</v>
      </c>
      <c r="D421" s="20" t="n">
        <f aca="false">'Raw Data'!D421</f>
        <v>2</v>
      </c>
      <c r="E421" s="20" t="str">
        <f aca="false">'Raw Data'!E421</f>
        <v>own</v>
      </c>
      <c r="F421" s="20" t="str">
        <f aca="false">'Raw Data'!F421</f>
        <v>none</v>
      </c>
      <c r="G421" s="20" t="str">
        <f aca="false">'Raw Data'!G421</f>
        <v>moderate</v>
      </c>
      <c r="H421" s="20" t="n">
        <f aca="false">'Raw Data'!H421</f>
        <v>1042</v>
      </c>
      <c r="I421" s="20" t="n">
        <f aca="false">'Raw Data'!I421</f>
        <v>18</v>
      </c>
      <c r="J421" s="20" t="str">
        <f aca="false">'Raw Data'!J421</f>
        <v>car</v>
      </c>
      <c r="K421" s="21" t="n">
        <f aca="false">H421/I421</f>
        <v>57.8888888888889</v>
      </c>
      <c r="L421" s="21" t="n">
        <f aca="false">100-MIN(K421/Assumptions!$B$14,1)*100</f>
        <v>85.5277777777778</v>
      </c>
      <c r="M421" s="21" t="n">
        <f aca="false">VLOOKUP(F421,Assumptions!$A$19:$B$23,2,0)</f>
        <v>40</v>
      </c>
      <c r="N421" s="21" t="n">
        <f aca="false">VLOOKUP(G421,Assumptions!$A$27:$B$30,2,0)</f>
        <v>60</v>
      </c>
      <c r="O421" s="21" t="n">
        <f aca="false">VLOOKUP(D421,Assumptions!$A$34:$B$37,2,0)</f>
        <v>66</v>
      </c>
      <c r="P421" s="21" t="n">
        <f aca="false">VLOOKUP(E421,Assumptions!$A$41:$B$43,2,0)</f>
        <v>100</v>
      </c>
      <c r="Q421" s="22" t="n">
        <f aca="false">L421*Assumptions!$B$7+M421*Assumptions!$B$8+N421*Assumptions!$B$9+O421*Assumptions!$B$10+P421*Assumptions!$B$11</f>
        <v>67.5583333333333</v>
      </c>
      <c r="R421" s="11" t="str">
        <f aca="false">IF(Q421&lt;=33,"High Risk",IF(Q421&lt;=66,"Medium Risk","Low Risk"))</f>
        <v>Low Risk</v>
      </c>
    </row>
    <row r="422" customFormat="false" ht="15" hidden="false" customHeight="true" outlineLevel="0" collapsed="false">
      <c r="A422" s="20" t="n">
        <f aca="false">'Raw Data'!A422</f>
        <v>421</v>
      </c>
      <c r="B422" s="20" t="n">
        <f aca="false">'Raw Data'!B422</f>
        <v>20</v>
      </c>
      <c r="C422" s="20" t="str">
        <f aca="false">'Raw Data'!C422</f>
        <v>female</v>
      </c>
      <c r="D422" s="20" t="n">
        <f aca="false">'Raw Data'!D422</f>
        <v>2</v>
      </c>
      <c r="E422" s="20" t="str">
        <f aca="false">'Raw Data'!E422</f>
        <v>rent</v>
      </c>
      <c r="F422" s="20" t="str">
        <f aca="false">'Raw Data'!F422</f>
        <v>rich</v>
      </c>
      <c r="G422" s="20" t="str">
        <f aca="false">'Raw Data'!G422</f>
        <v>none</v>
      </c>
      <c r="H422" s="20" t="n">
        <f aca="false">'Raw Data'!H422</f>
        <v>3186</v>
      </c>
      <c r="I422" s="20" t="n">
        <f aca="false">'Raw Data'!I422</f>
        <v>15</v>
      </c>
      <c r="J422" s="20" t="str">
        <f aca="false">'Raw Data'!J422</f>
        <v>car</v>
      </c>
      <c r="K422" s="21" t="n">
        <f aca="false">H422/I422</f>
        <v>212.4</v>
      </c>
      <c r="L422" s="21" t="n">
        <f aca="false">100-MIN(K422/Assumptions!$B$14,1)*100</f>
        <v>46.9</v>
      </c>
      <c r="M422" s="21" t="n">
        <f aca="false">VLOOKUP(F422,Assumptions!$A$19:$B$23,2,0)</f>
        <v>100</v>
      </c>
      <c r="N422" s="21" t="n">
        <f aca="false">VLOOKUP(G422,Assumptions!$A$27:$B$30,2,0)</f>
        <v>50</v>
      </c>
      <c r="O422" s="21" t="n">
        <f aca="false">VLOOKUP(D422,Assumptions!$A$34:$B$37,2,0)</f>
        <v>66</v>
      </c>
      <c r="P422" s="21" t="n">
        <f aca="false">VLOOKUP(E422,Assumptions!$A$41:$B$43,2,0)</f>
        <v>30</v>
      </c>
      <c r="Q422" s="22" t="n">
        <f aca="false">L422*Assumptions!$B$7+M422*Assumptions!$B$8+N422*Assumptions!$B$9+O422*Assumptions!$B$10+P422*Assumptions!$B$11</f>
        <v>61.97</v>
      </c>
      <c r="R422" s="11" t="str">
        <f aca="false">IF(Q422&lt;=33,"High Risk",IF(Q422&lt;=66,"Medium Risk","Low Risk"))</f>
        <v>Medium Risk</v>
      </c>
    </row>
    <row r="423" customFormat="false" ht="15" hidden="false" customHeight="true" outlineLevel="0" collapsed="false">
      <c r="A423" s="20" t="n">
        <f aca="false">'Raw Data'!A423</f>
        <v>422</v>
      </c>
      <c r="B423" s="20" t="n">
        <f aca="false">'Raw Data'!B423</f>
        <v>30</v>
      </c>
      <c r="C423" s="20" t="str">
        <f aca="false">'Raw Data'!C423</f>
        <v>male</v>
      </c>
      <c r="D423" s="20" t="n">
        <f aca="false">'Raw Data'!D423</f>
        <v>2</v>
      </c>
      <c r="E423" s="20" t="str">
        <f aca="false">'Raw Data'!E423</f>
        <v>own</v>
      </c>
      <c r="F423" s="20" t="str">
        <f aca="false">'Raw Data'!F423</f>
        <v>none</v>
      </c>
      <c r="G423" s="20" t="str">
        <f aca="false">'Raw Data'!G423</f>
        <v>moderate</v>
      </c>
      <c r="H423" s="20" t="n">
        <f aca="false">'Raw Data'!H423</f>
        <v>2028</v>
      </c>
      <c r="I423" s="20" t="n">
        <f aca="false">'Raw Data'!I423</f>
        <v>12</v>
      </c>
      <c r="J423" s="20" t="str">
        <f aca="false">'Raw Data'!J423</f>
        <v>car</v>
      </c>
      <c r="K423" s="21" t="n">
        <f aca="false">H423/I423</f>
        <v>169</v>
      </c>
      <c r="L423" s="21" t="n">
        <f aca="false">100-MIN(K423/Assumptions!$B$14,1)*100</f>
        <v>57.75</v>
      </c>
      <c r="M423" s="21" t="n">
        <f aca="false">VLOOKUP(F423,Assumptions!$A$19:$B$23,2,0)</f>
        <v>40</v>
      </c>
      <c r="N423" s="21" t="n">
        <f aca="false">VLOOKUP(G423,Assumptions!$A$27:$B$30,2,0)</f>
        <v>60</v>
      </c>
      <c r="O423" s="21" t="n">
        <f aca="false">VLOOKUP(D423,Assumptions!$A$34:$B$37,2,0)</f>
        <v>66</v>
      </c>
      <c r="P423" s="21" t="n">
        <f aca="false">VLOOKUP(E423,Assumptions!$A$41:$B$43,2,0)</f>
        <v>100</v>
      </c>
      <c r="Q423" s="22" t="n">
        <f aca="false">L423*Assumptions!$B$7+M423*Assumptions!$B$8+N423*Assumptions!$B$9+O423*Assumptions!$B$10+P423*Assumptions!$B$11</f>
        <v>59.225</v>
      </c>
      <c r="R423" s="11" t="str">
        <f aca="false">IF(Q423&lt;=33,"High Risk",IF(Q423&lt;=66,"Medium Risk","Low Risk"))</f>
        <v>Medium Risk</v>
      </c>
    </row>
    <row r="424" customFormat="false" ht="15" hidden="false" customHeight="true" outlineLevel="0" collapsed="false">
      <c r="A424" s="20" t="n">
        <f aca="false">'Raw Data'!A424</f>
        <v>423</v>
      </c>
      <c r="B424" s="20" t="n">
        <f aca="false">'Raw Data'!B424</f>
        <v>47</v>
      </c>
      <c r="C424" s="20" t="str">
        <f aca="false">'Raw Data'!C424</f>
        <v>male</v>
      </c>
      <c r="D424" s="20" t="n">
        <f aca="false">'Raw Data'!D424</f>
        <v>1</v>
      </c>
      <c r="E424" s="20" t="str">
        <f aca="false">'Raw Data'!E424</f>
        <v>own</v>
      </c>
      <c r="F424" s="20" t="str">
        <f aca="false">'Raw Data'!F424</f>
        <v>little</v>
      </c>
      <c r="G424" s="20" t="str">
        <f aca="false">'Raw Data'!G424</f>
        <v>moderate</v>
      </c>
      <c r="H424" s="20" t="n">
        <f aca="false">'Raw Data'!H424</f>
        <v>958</v>
      </c>
      <c r="I424" s="20" t="n">
        <f aca="false">'Raw Data'!I424</f>
        <v>12</v>
      </c>
      <c r="J424" s="20" t="str">
        <f aca="false">'Raw Data'!J424</f>
        <v>car</v>
      </c>
      <c r="K424" s="21" t="n">
        <f aca="false">H424/I424</f>
        <v>79.8333333333333</v>
      </c>
      <c r="L424" s="21" t="n">
        <f aca="false">100-MIN(K424/Assumptions!$B$14,1)*100</f>
        <v>80.0416666666667</v>
      </c>
      <c r="M424" s="21" t="n">
        <f aca="false">VLOOKUP(F424,Assumptions!$A$19:$B$23,2,0)</f>
        <v>25</v>
      </c>
      <c r="N424" s="21" t="n">
        <f aca="false">VLOOKUP(G424,Assumptions!$A$27:$B$30,2,0)</f>
        <v>60</v>
      </c>
      <c r="O424" s="21" t="n">
        <f aca="false">VLOOKUP(D424,Assumptions!$A$34:$B$37,2,0)</f>
        <v>33</v>
      </c>
      <c r="P424" s="21" t="n">
        <f aca="false">VLOOKUP(E424,Assumptions!$A$41:$B$43,2,0)</f>
        <v>100</v>
      </c>
      <c r="Q424" s="22" t="n">
        <f aca="false">L424*Assumptions!$B$7+M424*Assumptions!$B$8+N424*Assumptions!$B$9+O424*Assumptions!$B$10+P424*Assumptions!$B$11</f>
        <v>57.2125</v>
      </c>
      <c r="R424" s="11" t="str">
        <f aca="false">IF(Q424&lt;=33,"High Risk",IF(Q424&lt;=66,"Medium Risk","Low Risk"))</f>
        <v>Medium Risk</v>
      </c>
    </row>
    <row r="425" customFormat="false" ht="15" hidden="false" customHeight="true" outlineLevel="0" collapsed="false">
      <c r="A425" s="20" t="n">
        <f aca="false">'Raw Data'!A425</f>
        <v>424</v>
      </c>
      <c r="B425" s="20" t="n">
        <f aca="false">'Raw Data'!B425</f>
        <v>34</v>
      </c>
      <c r="C425" s="20" t="str">
        <f aca="false">'Raw Data'!C425</f>
        <v>male</v>
      </c>
      <c r="D425" s="20" t="n">
        <f aca="false">'Raw Data'!D425</f>
        <v>3</v>
      </c>
      <c r="E425" s="20" t="str">
        <f aca="false">'Raw Data'!E425</f>
        <v>own</v>
      </c>
      <c r="F425" s="20" t="str">
        <f aca="false">'Raw Data'!F425</f>
        <v>moderate</v>
      </c>
      <c r="G425" s="20" t="str">
        <f aca="false">'Raw Data'!G425</f>
        <v>none</v>
      </c>
      <c r="H425" s="20" t="n">
        <f aca="false">'Raw Data'!H425</f>
        <v>1591</v>
      </c>
      <c r="I425" s="20" t="n">
        <f aca="false">'Raw Data'!I425</f>
        <v>21</v>
      </c>
      <c r="J425" s="20" t="str">
        <f aca="false">'Raw Data'!J425</f>
        <v>furniture/equipment</v>
      </c>
      <c r="K425" s="21" t="n">
        <f aca="false">H425/I425</f>
        <v>75.7619047619048</v>
      </c>
      <c r="L425" s="21" t="n">
        <f aca="false">100-MIN(K425/Assumptions!$B$14,1)*100</f>
        <v>81.0595238095238</v>
      </c>
      <c r="M425" s="21" t="n">
        <f aca="false">VLOOKUP(F425,Assumptions!$A$19:$B$23,2,0)</f>
        <v>50</v>
      </c>
      <c r="N425" s="21" t="n">
        <f aca="false">VLOOKUP(G425,Assumptions!$A$27:$B$30,2,0)</f>
        <v>50</v>
      </c>
      <c r="O425" s="21" t="n">
        <f aca="false">VLOOKUP(D425,Assumptions!$A$34:$B$37,2,0)</f>
        <v>100</v>
      </c>
      <c r="P425" s="21" t="n">
        <f aca="false">VLOOKUP(E425,Assumptions!$A$41:$B$43,2,0)</f>
        <v>100</v>
      </c>
      <c r="Q425" s="22" t="n">
        <f aca="false">L425*Assumptions!$B$7+M425*Assumptions!$B$8+N425*Assumptions!$B$9+O425*Assumptions!$B$10+P425*Assumptions!$B$11</f>
        <v>71.8178571428572</v>
      </c>
      <c r="R425" s="11" t="str">
        <f aca="false">IF(Q425&lt;=33,"High Risk",IF(Q425&lt;=66,"Medium Risk","Low Risk"))</f>
        <v>Low Risk</v>
      </c>
    </row>
    <row r="426" customFormat="false" ht="15" hidden="false" customHeight="true" outlineLevel="0" collapsed="false">
      <c r="A426" s="20" t="n">
        <f aca="false">'Raw Data'!A426</f>
        <v>425</v>
      </c>
      <c r="B426" s="20" t="n">
        <f aca="false">'Raw Data'!B426</f>
        <v>25</v>
      </c>
      <c r="C426" s="20" t="str">
        <f aca="false">'Raw Data'!C426</f>
        <v>female</v>
      </c>
      <c r="D426" s="20" t="n">
        <f aca="false">'Raw Data'!D426</f>
        <v>2</v>
      </c>
      <c r="E426" s="20" t="str">
        <f aca="false">'Raw Data'!E426</f>
        <v>own</v>
      </c>
      <c r="F426" s="20" t="str">
        <f aca="false">'Raw Data'!F426</f>
        <v>none</v>
      </c>
      <c r="G426" s="20" t="str">
        <f aca="false">'Raw Data'!G426</f>
        <v>moderate</v>
      </c>
      <c r="H426" s="20" t="n">
        <f aca="false">'Raw Data'!H426</f>
        <v>2762</v>
      </c>
      <c r="I426" s="20" t="n">
        <f aca="false">'Raw Data'!I426</f>
        <v>12</v>
      </c>
      <c r="J426" s="20" t="str">
        <f aca="false">'Raw Data'!J426</f>
        <v>furniture/equipment</v>
      </c>
      <c r="K426" s="21" t="n">
        <f aca="false">H426/I426</f>
        <v>230.166666666667</v>
      </c>
      <c r="L426" s="21" t="n">
        <f aca="false">100-MIN(K426/Assumptions!$B$14,1)*100</f>
        <v>42.4583333333333</v>
      </c>
      <c r="M426" s="21" t="n">
        <f aca="false">VLOOKUP(F426,Assumptions!$A$19:$B$23,2,0)</f>
        <v>40</v>
      </c>
      <c r="N426" s="21" t="n">
        <f aca="false">VLOOKUP(G426,Assumptions!$A$27:$B$30,2,0)</f>
        <v>60</v>
      </c>
      <c r="O426" s="21" t="n">
        <f aca="false">VLOOKUP(D426,Assumptions!$A$34:$B$37,2,0)</f>
        <v>66</v>
      </c>
      <c r="P426" s="21" t="n">
        <f aca="false">VLOOKUP(E426,Assumptions!$A$41:$B$43,2,0)</f>
        <v>100</v>
      </c>
      <c r="Q426" s="22" t="n">
        <f aca="false">L426*Assumptions!$B$7+M426*Assumptions!$B$8+N426*Assumptions!$B$9+O426*Assumptions!$B$10+P426*Assumptions!$B$11</f>
        <v>54.6375</v>
      </c>
      <c r="R426" s="11" t="str">
        <f aca="false">IF(Q426&lt;=33,"High Risk",IF(Q426&lt;=66,"Medium Risk","Low Risk"))</f>
        <v>Medium Risk</v>
      </c>
    </row>
    <row r="427" customFormat="false" ht="15" hidden="false" customHeight="true" outlineLevel="0" collapsed="false">
      <c r="A427" s="20" t="n">
        <f aca="false">'Raw Data'!A427</f>
        <v>426</v>
      </c>
      <c r="B427" s="20" t="n">
        <f aca="false">'Raw Data'!B427</f>
        <v>21</v>
      </c>
      <c r="C427" s="20" t="str">
        <f aca="false">'Raw Data'!C427</f>
        <v>male</v>
      </c>
      <c r="D427" s="20" t="n">
        <f aca="false">'Raw Data'!D427</f>
        <v>2</v>
      </c>
      <c r="E427" s="20" t="str">
        <f aca="false">'Raw Data'!E427</f>
        <v>rent</v>
      </c>
      <c r="F427" s="20" t="str">
        <f aca="false">'Raw Data'!F427</f>
        <v>little</v>
      </c>
      <c r="G427" s="20" t="str">
        <f aca="false">'Raw Data'!G427</f>
        <v>moderate</v>
      </c>
      <c r="H427" s="20" t="n">
        <f aca="false">'Raw Data'!H427</f>
        <v>2779</v>
      </c>
      <c r="I427" s="20" t="n">
        <f aca="false">'Raw Data'!I427</f>
        <v>18</v>
      </c>
      <c r="J427" s="20" t="str">
        <f aca="false">'Raw Data'!J427</f>
        <v>car</v>
      </c>
      <c r="K427" s="21" t="n">
        <f aca="false">H427/I427</f>
        <v>154.388888888889</v>
      </c>
      <c r="L427" s="21" t="n">
        <f aca="false">100-MIN(K427/Assumptions!$B$14,1)*100</f>
        <v>61.4027777777778</v>
      </c>
      <c r="M427" s="21" t="n">
        <f aca="false">VLOOKUP(F427,Assumptions!$A$19:$B$23,2,0)</f>
        <v>25</v>
      </c>
      <c r="N427" s="21" t="n">
        <f aca="false">VLOOKUP(G427,Assumptions!$A$27:$B$30,2,0)</f>
        <v>60</v>
      </c>
      <c r="O427" s="21" t="n">
        <f aca="false">VLOOKUP(D427,Assumptions!$A$34:$B$37,2,0)</f>
        <v>66</v>
      </c>
      <c r="P427" s="21" t="n">
        <f aca="false">VLOOKUP(E427,Assumptions!$A$41:$B$43,2,0)</f>
        <v>30</v>
      </c>
      <c r="Q427" s="22" t="n">
        <f aca="false">L427*Assumptions!$B$7+M427*Assumptions!$B$8+N427*Assumptions!$B$9+O427*Assumptions!$B$10+P427*Assumptions!$B$11</f>
        <v>49.5708333333333</v>
      </c>
      <c r="R427" s="11" t="str">
        <f aca="false">IF(Q427&lt;=33,"High Risk",IF(Q427&lt;=66,"Medium Risk","Low Risk"))</f>
        <v>Medium Risk</v>
      </c>
    </row>
    <row r="428" customFormat="false" ht="15" hidden="false" customHeight="true" outlineLevel="0" collapsed="false">
      <c r="A428" s="20" t="n">
        <f aca="false">'Raw Data'!A428</f>
        <v>427</v>
      </c>
      <c r="B428" s="20" t="n">
        <f aca="false">'Raw Data'!B428</f>
        <v>29</v>
      </c>
      <c r="C428" s="20" t="str">
        <f aca="false">'Raw Data'!C428</f>
        <v>male</v>
      </c>
      <c r="D428" s="20" t="n">
        <f aca="false">'Raw Data'!D428</f>
        <v>2</v>
      </c>
      <c r="E428" s="20" t="str">
        <f aca="false">'Raw Data'!E428</f>
        <v>own</v>
      </c>
      <c r="F428" s="20" t="str">
        <f aca="false">'Raw Data'!F428</f>
        <v>little</v>
      </c>
      <c r="G428" s="20" t="str">
        <f aca="false">'Raw Data'!G428</f>
        <v>none</v>
      </c>
      <c r="H428" s="20" t="n">
        <f aca="false">'Raw Data'!H428</f>
        <v>2743</v>
      </c>
      <c r="I428" s="20" t="n">
        <f aca="false">'Raw Data'!I428</f>
        <v>28</v>
      </c>
      <c r="J428" s="20" t="str">
        <f aca="false">'Raw Data'!J428</f>
        <v>radio/TV</v>
      </c>
      <c r="K428" s="21" t="n">
        <f aca="false">H428/I428</f>
        <v>97.9642857142857</v>
      </c>
      <c r="L428" s="21" t="n">
        <f aca="false">100-MIN(K428/Assumptions!$B$14,1)*100</f>
        <v>75.5089285714286</v>
      </c>
      <c r="M428" s="21" t="n">
        <f aca="false">VLOOKUP(F428,Assumptions!$A$19:$B$23,2,0)</f>
        <v>25</v>
      </c>
      <c r="N428" s="21" t="n">
        <f aca="false">VLOOKUP(G428,Assumptions!$A$27:$B$30,2,0)</f>
        <v>50</v>
      </c>
      <c r="O428" s="21" t="n">
        <f aca="false">VLOOKUP(D428,Assumptions!$A$34:$B$37,2,0)</f>
        <v>66</v>
      </c>
      <c r="P428" s="21" t="n">
        <f aca="false">VLOOKUP(E428,Assumptions!$A$41:$B$43,2,0)</f>
        <v>100</v>
      </c>
      <c r="Q428" s="22" t="n">
        <f aca="false">L428*Assumptions!$B$7+M428*Assumptions!$B$8+N428*Assumptions!$B$9+O428*Assumptions!$B$10+P428*Assumptions!$B$11</f>
        <v>58.8026785714286</v>
      </c>
      <c r="R428" s="11" t="str">
        <f aca="false">IF(Q428&lt;=33,"High Risk",IF(Q428&lt;=66,"Medium Risk","Low Risk"))</f>
        <v>Medium Risk</v>
      </c>
    </row>
    <row r="429" customFormat="false" ht="15" hidden="false" customHeight="true" outlineLevel="0" collapsed="false">
      <c r="A429" s="20" t="n">
        <f aca="false">'Raw Data'!A429</f>
        <v>428</v>
      </c>
      <c r="B429" s="20" t="n">
        <f aca="false">'Raw Data'!B429</f>
        <v>46</v>
      </c>
      <c r="C429" s="20" t="str">
        <f aca="false">'Raw Data'!C429</f>
        <v>male</v>
      </c>
      <c r="D429" s="20" t="n">
        <f aca="false">'Raw Data'!D429</f>
        <v>2</v>
      </c>
      <c r="E429" s="20" t="str">
        <f aca="false">'Raw Data'!E429</f>
        <v>own</v>
      </c>
      <c r="F429" s="20" t="str">
        <f aca="false">'Raw Data'!F429</f>
        <v>rich</v>
      </c>
      <c r="G429" s="20" t="str">
        <f aca="false">'Raw Data'!G429</f>
        <v>none</v>
      </c>
      <c r="H429" s="20" t="n">
        <f aca="false">'Raw Data'!H429</f>
        <v>1149</v>
      </c>
      <c r="I429" s="20" t="n">
        <f aca="false">'Raw Data'!I429</f>
        <v>18</v>
      </c>
      <c r="J429" s="20" t="str">
        <f aca="false">'Raw Data'!J429</f>
        <v>radio/TV</v>
      </c>
      <c r="K429" s="21" t="n">
        <f aca="false">H429/I429</f>
        <v>63.8333333333333</v>
      </c>
      <c r="L429" s="21" t="n">
        <f aca="false">100-MIN(K429/Assumptions!$B$14,1)*100</f>
        <v>84.0416666666667</v>
      </c>
      <c r="M429" s="21" t="n">
        <f aca="false">VLOOKUP(F429,Assumptions!$A$19:$B$23,2,0)</f>
        <v>100</v>
      </c>
      <c r="N429" s="21" t="n">
        <f aca="false">VLOOKUP(G429,Assumptions!$A$27:$B$30,2,0)</f>
        <v>50</v>
      </c>
      <c r="O429" s="21" t="n">
        <f aca="false">VLOOKUP(D429,Assumptions!$A$34:$B$37,2,0)</f>
        <v>66</v>
      </c>
      <c r="P429" s="21" t="n">
        <f aca="false">VLOOKUP(E429,Assumptions!$A$41:$B$43,2,0)</f>
        <v>100</v>
      </c>
      <c r="Q429" s="22" t="n">
        <f aca="false">L429*Assumptions!$B$7+M429*Assumptions!$B$8+N429*Assumptions!$B$9+O429*Assumptions!$B$10+P429*Assumptions!$B$11</f>
        <v>80.1125</v>
      </c>
      <c r="R429" s="11" t="str">
        <f aca="false">IF(Q429&lt;=33,"High Risk",IF(Q429&lt;=66,"Medium Risk","Low Risk"))</f>
        <v>Low Risk</v>
      </c>
    </row>
    <row r="430" customFormat="false" ht="15" hidden="false" customHeight="true" outlineLevel="0" collapsed="false">
      <c r="A430" s="20" t="n">
        <f aca="false">'Raw Data'!A430</f>
        <v>429</v>
      </c>
      <c r="B430" s="20" t="n">
        <f aca="false">'Raw Data'!B430</f>
        <v>20</v>
      </c>
      <c r="C430" s="20" t="str">
        <f aca="false">'Raw Data'!C430</f>
        <v>male</v>
      </c>
      <c r="D430" s="20" t="n">
        <f aca="false">'Raw Data'!D430</f>
        <v>2</v>
      </c>
      <c r="E430" s="20" t="str">
        <f aca="false">'Raw Data'!E430</f>
        <v>own</v>
      </c>
      <c r="F430" s="20" t="str">
        <f aca="false">'Raw Data'!F430</f>
        <v>little</v>
      </c>
      <c r="G430" s="20" t="str">
        <f aca="false">'Raw Data'!G430</f>
        <v>none</v>
      </c>
      <c r="H430" s="20" t="n">
        <f aca="false">'Raw Data'!H430</f>
        <v>1313</v>
      </c>
      <c r="I430" s="20" t="n">
        <f aca="false">'Raw Data'!I430</f>
        <v>9</v>
      </c>
      <c r="J430" s="20" t="str">
        <f aca="false">'Raw Data'!J430</f>
        <v>furniture/equipment</v>
      </c>
      <c r="K430" s="21" t="n">
        <f aca="false">H430/I430</f>
        <v>145.888888888889</v>
      </c>
      <c r="L430" s="21" t="n">
        <f aca="false">100-MIN(K430/Assumptions!$B$14,1)*100</f>
        <v>63.5277777777778</v>
      </c>
      <c r="M430" s="21" t="n">
        <f aca="false">VLOOKUP(F430,Assumptions!$A$19:$B$23,2,0)</f>
        <v>25</v>
      </c>
      <c r="N430" s="21" t="n">
        <f aca="false">VLOOKUP(G430,Assumptions!$A$27:$B$30,2,0)</f>
        <v>50</v>
      </c>
      <c r="O430" s="21" t="n">
        <f aca="false">VLOOKUP(D430,Assumptions!$A$34:$B$37,2,0)</f>
        <v>66</v>
      </c>
      <c r="P430" s="21" t="n">
        <f aca="false">VLOOKUP(E430,Assumptions!$A$41:$B$43,2,0)</f>
        <v>100</v>
      </c>
      <c r="Q430" s="22" t="n">
        <f aca="false">L430*Assumptions!$B$7+M430*Assumptions!$B$8+N430*Assumptions!$B$9+O430*Assumptions!$B$10+P430*Assumptions!$B$11</f>
        <v>55.2083333333333</v>
      </c>
      <c r="R430" s="11" t="str">
        <f aca="false">IF(Q430&lt;=33,"High Risk",IF(Q430&lt;=66,"Medium Risk","Low Risk"))</f>
        <v>Medium Risk</v>
      </c>
    </row>
    <row r="431" customFormat="false" ht="15" hidden="false" customHeight="true" outlineLevel="0" collapsed="false">
      <c r="A431" s="20" t="n">
        <f aca="false">'Raw Data'!A431</f>
        <v>430</v>
      </c>
      <c r="B431" s="20" t="n">
        <f aca="false">'Raw Data'!B431</f>
        <v>55</v>
      </c>
      <c r="C431" s="20" t="str">
        <f aca="false">'Raw Data'!C431</f>
        <v>female</v>
      </c>
      <c r="D431" s="20" t="n">
        <f aca="false">'Raw Data'!D431</f>
        <v>0</v>
      </c>
      <c r="E431" s="20" t="str">
        <f aca="false">'Raw Data'!E431</f>
        <v>free</v>
      </c>
      <c r="F431" s="20" t="str">
        <f aca="false">'Raw Data'!F431</f>
        <v>little</v>
      </c>
      <c r="G431" s="20" t="str">
        <f aca="false">'Raw Data'!G431</f>
        <v>little</v>
      </c>
      <c r="H431" s="20" t="n">
        <f aca="false">'Raw Data'!H431</f>
        <v>1190</v>
      </c>
      <c r="I431" s="20" t="n">
        <f aca="false">'Raw Data'!I431</f>
        <v>18</v>
      </c>
      <c r="J431" s="20" t="str">
        <f aca="false">'Raw Data'!J431</f>
        <v>repairs</v>
      </c>
      <c r="K431" s="21" t="n">
        <f aca="false">H431/I431</f>
        <v>66.1111111111111</v>
      </c>
      <c r="L431" s="21" t="n">
        <f aca="false">100-MIN(K431/Assumptions!$B$14,1)*100</f>
        <v>83.4722222222222</v>
      </c>
      <c r="M431" s="21" t="n">
        <f aca="false">VLOOKUP(F431,Assumptions!$A$19:$B$23,2,0)</f>
        <v>25</v>
      </c>
      <c r="N431" s="21" t="n">
        <f aca="false">VLOOKUP(G431,Assumptions!$A$27:$B$30,2,0)</f>
        <v>25</v>
      </c>
      <c r="O431" s="21" t="n">
        <f aca="false">VLOOKUP(D431,Assumptions!$A$34:$B$37,2,0)</f>
        <v>0</v>
      </c>
      <c r="P431" s="21" t="n">
        <f aca="false">VLOOKUP(E431,Assumptions!$A$41:$B$43,2,0)</f>
        <v>60</v>
      </c>
      <c r="Q431" s="22" t="n">
        <f aca="false">L431*Assumptions!$B$7+M431*Assumptions!$B$8+N431*Assumptions!$B$9+O431*Assumptions!$B$10+P431*Assumptions!$B$11</f>
        <v>42.2916666666667</v>
      </c>
      <c r="R431" s="11" t="str">
        <f aca="false">IF(Q431&lt;=33,"High Risk",IF(Q431&lt;=66,"Medium Risk","Low Risk"))</f>
        <v>Medium Risk</v>
      </c>
    </row>
    <row r="432" customFormat="false" ht="15" hidden="false" customHeight="true" outlineLevel="0" collapsed="false">
      <c r="A432" s="20" t="n">
        <f aca="false">'Raw Data'!A432</f>
        <v>431</v>
      </c>
      <c r="B432" s="20" t="n">
        <f aca="false">'Raw Data'!B432</f>
        <v>74</v>
      </c>
      <c r="C432" s="20" t="str">
        <f aca="false">'Raw Data'!C432</f>
        <v>male</v>
      </c>
      <c r="D432" s="20" t="n">
        <f aca="false">'Raw Data'!D432</f>
        <v>1</v>
      </c>
      <c r="E432" s="20" t="str">
        <f aca="false">'Raw Data'!E432</f>
        <v>own</v>
      </c>
      <c r="F432" s="20" t="str">
        <f aca="false">'Raw Data'!F432</f>
        <v>little</v>
      </c>
      <c r="G432" s="20" t="str">
        <f aca="false">'Raw Data'!G432</f>
        <v>none</v>
      </c>
      <c r="H432" s="20" t="n">
        <f aca="false">'Raw Data'!H432</f>
        <v>3448</v>
      </c>
      <c r="I432" s="20" t="n">
        <f aca="false">'Raw Data'!I432</f>
        <v>5</v>
      </c>
      <c r="J432" s="20" t="str">
        <f aca="false">'Raw Data'!J432</f>
        <v>business</v>
      </c>
      <c r="K432" s="21" t="n">
        <f aca="false">H432/I432</f>
        <v>689.6</v>
      </c>
      <c r="L432" s="21" t="n">
        <f aca="false">100-MIN(K432/Assumptions!$B$14,1)*100</f>
        <v>0</v>
      </c>
      <c r="M432" s="21" t="n">
        <f aca="false">VLOOKUP(F432,Assumptions!$A$19:$B$23,2,0)</f>
        <v>25</v>
      </c>
      <c r="N432" s="21" t="n">
        <f aca="false">VLOOKUP(G432,Assumptions!$A$27:$B$30,2,0)</f>
        <v>50</v>
      </c>
      <c r="O432" s="21" t="n">
        <f aca="false">VLOOKUP(D432,Assumptions!$A$34:$B$37,2,0)</f>
        <v>33</v>
      </c>
      <c r="P432" s="21" t="n">
        <f aca="false">VLOOKUP(E432,Assumptions!$A$41:$B$43,2,0)</f>
        <v>100</v>
      </c>
      <c r="Q432" s="22" t="n">
        <f aca="false">L432*Assumptions!$B$7+M432*Assumptions!$B$8+N432*Assumptions!$B$9+O432*Assumptions!$B$10+P432*Assumptions!$B$11</f>
        <v>31.2</v>
      </c>
      <c r="R432" s="11" t="str">
        <f aca="false">IF(Q432&lt;=33,"High Risk",IF(Q432&lt;=66,"Medium Risk","Low Risk"))</f>
        <v>High Risk</v>
      </c>
    </row>
    <row r="433" customFormat="false" ht="15" hidden="false" customHeight="true" outlineLevel="0" collapsed="false">
      <c r="A433" s="20" t="n">
        <f aca="false">'Raw Data'!A433</f>
        <v>432</v>
      </c>
      <c r="B433" s="20" t="n">
        <f aca="false">'Raw Data'!B433</f>
        <v>29</v>
      </c>
      <c r="C433" s="20" t="str">
        <f aca="false">'Raw Data'!C433</f>
        <v>male</v>
      </c>
      <c r="D433" s="20" t="n">
        <f aca="false">'Raw Data'!D433</f>
        <v>3</v>
      </c>
      <c r="E433" s="20" t="str">
        <f aca="false">'Raw Data'!E433</f>
        <v>own</v>
      </c>
      <c r="F433" s="20" t="str">
        <f aca="false">'Raw Data'!F433</f>
        <v>little</v>
      </c>
      <c r="G433" s="20" t="str">
        <f aca="false">'Raw Data'!G433</f>
        <v>moderate</v>
      </c>
      <c r="H433" s="20" t="n">
        <f aca="false">'Raw Data'!H433</f>
        <v>11328</v>
      </c>
      <c r="I433" s="20" t="n">
        <f aca="false">'Raw Data'!I433</f>
        <v>24</v>
      </c>
      <c r="J433" s="20" t="str">
        <f aca="false">'Raw Data'!J433</f>
        <v>vacation/others</v>
      </c>
      <c r="K433" s="21" t="n">
        <f aca="false">H433/I433</f>
        <v>472</v>
      </c>
      <c r="L433" s="21" t="n">
        <f aca="false">100-MIN(K433/Assumptions!$B$14,1)*100</f>
        <v>0</v>
      </c>
      <c r="M433" s="21" t="n">
        <f aca="false">VLOOKUP(F433,Assumptions!$A$19:$B$23,2,0)</f>
        <v>25</v>
      </c>
      <c r="N433" s="21" t="n">
        <f aca="false">VLOOKUP(G433,Assumptions!$A$27:$B$30,2,0)</f>
        <v>60</v>
      </c>
      <c r="O433" s="21" t="n">
        <f aca="false">VLOOKUP(D433,Assumptions!$A$34:$B$37,2,0)</f>
        <v>100</v>
      </c>
      <c r="P433" s="21" t="n">
        <f aca="false">VLOOKUP(E433,Assumptions!$A$41:$B$43,2,0)</f>
        <v>100</v>
      </c>
      <c r="Q433" s="22" t="n">
        <f aca="false">L433*Assumptions!$B$7+M433*Assumptions!$B$8+N433*Assumptions!$B$9+O433*Assumptions!$B$10+P433*Assumptions!$B$11</f>
        <v>43.25</v>
      </c>
      <c r="R433" s="11" t="str">
        <f aca="false">IF(Q433&lt;=33,"High Risk",IF(Q433&lt;=66,"Medium Risk","Low Risk"))</f>
        <v>Medium Risk</v>
      </c>
    </row>
    <row r="434" customFormat="false" ht="15" hidden="false" customHeight="true" outlineLevel="0" collapsed="false">
      <c r="A434" s="20" t="n">
        <f aca="false">'Raw Data'!A434</f>
        <v>433</v>
      </c>
      <c r="B434" s="20" t="n">
        <f aca="false">'Raw Data'!B434</f>
        <v>36</v>
      </c>
      <c r="C434" s="20" t="str">
        <f aca="false">'Raw Data'!C434</f>
        <v>male</v>
      </c>
      <c r="D434" s="20" t="n">
        <f aca="false">'Raw Data'!D434</f>
        <v>3</v>
      </c>
      <c r="E434" s="20" t="str">
        <f aca="false">'Raw Data'!E434</f>
        <v>free</v>
      </c>
      <c r="F434" s="20" t="str">
        <f aca="false">'Raw Data'!F434</f>
        <v>little</v>
      </c>
      <c r="G434" s="20" t="str">
        <f aca="false">'Raw Data'!G434</f>
        <v>little</v>
      </c>
      <c r="H434" s="20" t="n">
        <f aca="false">'Raw Data'!H434</f>
        <v>1872</v>
      </c>
      <c r="I434" s="20" t="n">
        <f aca="false">'Raw Data'!I434</f>
        <v>6</v>
      </c>
      <c r="J434" s="20" t="str">
        <f aca="false">'Raw Data'!J434</f>
        <v>furniture/equipment</v>
      </c>
      <c r="K434" s="21" t="n">
        <f aca="false">H434/I434</f>
        <v>312</v>
      </c>
      <c r="L434" s="21" t="n">
        <f aca="false">100-MIN(K434/Assumptions!$B$14,1)*100</f>
        <v>22</v>
      </c>
      <c r="M434" s="21" t="n">
        <f aca="false">VLOOKUP(F434,Assumptions!$A$19:$B$23,2,0)</f>
        <v>25</v>
      </c>
      <c r="N434" s="21" t="n">
        <f aca="false">VLOOKUP(G434,Assumptions!$A$27:$B$30,2,0)</f>
        <v>25</v>
      </c>
      <c r="O434" s="21" t="n">
        <f aca="false">VLOOKUP(D434,Assumptions!$A$34:$B$37,2,0)</f>
        <v>100</v>
      </c>
      <c r="P434" s="21" t="n">
        <f aca="false">VLOOKUP(E434,Assumptions!$A$41:$B$43,2,0)</f>
        <v>60</v>
      </c>
      <c r="Q434" s="22" t="n">
        <f aca="false">L434*Assumptions!$B$7+M434*Assumptions!$B$8+N434*Assumptions!$B$9+O434*Assumptions!$B$10+P434*Assumptions!$B$11</f>
        <v>38.85</v>
      </c>
      <c r="R434" s="11" t="str">
        <f aca="false">IF(Q434&lt;=33,"High Risk",IF(Q434&lt;=66,"Medium Risk","Low Risk"))</f>
        <v>Medium Risk</v>
      </c>
    </row>
    <row r="435" customFormat="false" ht="15" hidden="false" customHeight="true" outlineLevel="0" collapsed="false">
      <c r="A435" s="20" t="n">
        <f aca="false">'Raw Data'!A435</f>
        <v>434</v>
      </c>
      <c r="B435" s="20" t="n">
        <f aca="false">'Raw Data'!B435</f>
        <v>33</v>
      </c>
      <c r="C435" s="20" t="str">
        <f aca="false">'Raw Data'!C435</f>
        <v>male</v>
      </c>
      <c r="D435" s="20" t="n">
        <f aca="false">'Raw Data'!D435</f>
        <v>2</v>
      </c>
      <c r="E435" s="20" t="str">
        <f aca="false">'Raw Data'!E435</f>
        <v>own</v>
      </c>
      <c r="F435" s="20" t="str">
        <f aca="false">'Raw Data'!F435</f>
        <v>little</v>
      </c>
      <c r="G435" s="20" t="str">
        <f aca="false">'Raw Data'!G435</f>
        <v>none</v>
      </c>
      <c r="H435" s="20" t="n">
        <f aca="false">'Raw Data'!H435</f>
        <v>2058</v>
      </c>
      <c r="I435" s="20" t="n">
        <f aca="false">'Raw Data'!I435</f>
        <v>24</v>
      </c>
      <c r="J435" s="20" t="str">
        <f aca="false">'Raw Data'!J435</f>
        <v>repairs</v>
      </c>
      <c r="K435" s="21" t="n">
        <f aca="false">H435/I435</f>
        <v>85.75</v>
      </c>
      <c r="L435" s="21" t="n">
        <f aca="false">100-MIN(K435/Assumptions!$B$14,1)*100</f>
        <v>78.5625</v>
      </c>
      <c r="M435" s="21" t="n">
        <f aca="false">VLOOKUP(F435,Assumptions!$A$19:$B$23,2,0)</f>
        <v>25</v>
      </c>
      <c r="N435" s="21" t="n">
        <f aca="false">VLOOKUP(G435,Assumptions!$A$27:$B$30,2,0)</f>
        <v>50</v>
      </c>
      <c r="O435" s="21" t="n">
        <f aca="false">VLOOKUP(D435,Assumptions!$A$34:$B$37,2,0)</f>
        <v>66</v>
      </c>
      <c r="P435" s="21" t="n">
        <f aca="false">VLOOKUP(E435,Assumptions!$A$41:$B$43,2,0)</f>
        <v>100</v>
      </c>
      <c r="Q435" s="22" t="n">
        <f aca="false">L435*Assumptions!$B$7+M435*Assumptions!$B$8+N435*Assumptions!$B$9+O435*Assumptions!$B$10+P435*Assumptions!$B$11</f>
        <v>59.71875</v>
      </c>
      <c r="R435" s="11" t="str">
        <f aca="false">IF(Q435&lt;=33,"High Risk",IF(Q435&lt;=66,"Medium Risk","Low Risk"))</f>
        <v>Medium Risk</v>
      </c>
    </row>
    <row r="436" customFormat="false" ht="15" hidden="false" customHeight="true" outlineLevel="0" collapsed="false">
      <c r="A436" s="20" t="n">
        <f aca="false">'Raw Data'!A436</f>
        <v>435</v>
      </c>
      <c r="B436" s="20" t="n">
        <f aca="false">'Raw Data'!B436</f>
        <v>25</v>
      </c>
      <c r="C436" s="20" t="str">
        <f aca="false">'Raw Data'!C436</f>
        <v>male</v>
      </c>
      <c r="D436" s="20" t="n">
        <f aca="false">'Raw Data'!D436</f>
        <v>2</v>
      </c>
      <c r="E436" s="20" t="str">
        <f aca="false">'Raw Data'!E436</f>
        <v>own</v>
      </c>
      <c r="F436" s="20" t="str">
        <f aca="false">'Raw Data'!F436</f>
        <v>little</v>
      </c>
      <c r="G436" s="20" t="str">
        <f aca="false">'Raw Data'!G436</f>
        <v>little</v>
      </c>
      <c r="H436" s="20" t="n">
        <f aca="false">'Raw Data'!H436</f>
        <v>2136</v>
      </c>
      <c r="I436" s="20" t="n">
        <f aca="false">'Raw Data'!I436</f>
        <v>9</v>
      </c>
      <c r="J436" s="20" t="str">
        <f aca="false">'Raw Data'!J436</f>
        <v>furniture/equipment</v>
      </c>
      <c r="K436" s="21" t="n">
        <f aca="false">H436/I436</f>
        <v>237.333333333333</v>
      </c>
      <c r="L436" s="21" t="n">
        <f aca="false">100-MIN(K436/Assumptions!$B$14,1)*100</f>
        <v>40.6666666666667</v>
      </c>
      <c r="M436" s="21" t="n">
        <f aca="false">VLOOKUP(F436,Assumptions!$A$19:$B$23,2,0)</f>
        <v>25</v>
      </c>
      <c r="N436" s="21" t="n">
        <f aca="false">VLOOKUP(G436,Assumptions!$A$27:$B$30,2,0)</f>
        <v>25</v>
      </c>
      <c r="O436" s="21" t="n">
        <f aca="false">VLOOKUP(D436,Assumptions!$A$34:$B$37,2,0)</f>
        <v>66</v>
      </c>
      <c r="P436" s="21" t="n">
        <f aca="false">VLOOKUP(E436,Assumptions!$A$41:$B$43,2,0)</f>
        <v>100</v>
      </c>
      <c r="Q436" s="22" t="n">
        <f aca="false">L436*Assumptions!$B$7+M436*Assumptions!$B$8+N436*Assumptions!$B$9+O436*Assumptions!$B$10+P436*Assumptions!$B$11</f>
        <v>43.35</v>
      </c>
      <c r="R436" s="11" t="str">
        <f aca="false">IF(Q436&lt;=33,"High Risk",IF(Q436&lt;=66,"Medium Risk","Low Risk"))</f>
        <v>Medium Risk</v>
      </c>
    </row>
    <row r="437" customFormat="false" ht="15" hidden="false" customHeight="true" outlineLevel="0" collapsed="false">
      <c r="A437" s="20" t="n">
        <f aca="false">'Raw Data'!A437</f>
        <v>436</v>
      </c>
      <c r="B437" s="20" t="n">
        <f aca="false">'Raw Data'!B437</f>
        <v>25</v>
      </c>
      <c r="C437" s="20" t="str">
        <f aca="false">'Raw Data'!C437</f>
        <v>male</v>
      </c>
      <c r="D437" s="20" t="n">
        <f aca="false">'Raw Data'!D437</f>
        <v>2</v>
      </c>
      <c r="E437" s="20" t="str">
        <f aca="false">'Raw Data'!E437</f>
        <v>own</v>
      </c>
      <c r="F437" s="20" t="str">
        <f aca="false">'Raw Data'!F437</f>
        <v>none</v>
      </c>
      <c r="G437" s="20" t="str">
        <f aca="false">'Raw Data'!G437</f>
        <v>moderate</v>
      </c>
      <c r="H437" s="20" t="n">
        <f aca="false">'Raw Data'!H437</f>
        <v>1484</v>
      </c>
      <c r="I437" s="20" t="n">
        <f aca="false">'Raw Data'!I437</f>
        <v>12</v>
      </c>
      <c r="J437" s="20" t="str">
        <f aca="false">'Raw Data'!J437</f>
        <v>radio/TV</v>
      </c>
      <c r="K437" s="21" t="n">
        <f aca="false">H437/I437</f>
        <v>123.666666666667</v>
      </c>
      <c r="L437" s="21" t="n">
        <f aca="false">100-MIN(K437/Assumptions!$B$14,1)*100</f>
        <v>69.0833333333333</v>
      </c>
      <c r="M437" s="21" t="n">
        <f aca="false">VLOOKUP(F437,Assumptions!$A$19:$B$23,2,0)</f>
        <v>40</v>
      </c>
      <c r="N437" s="21" t="n">
        <f aca="false">VLOOKUP(G437,Assumptions!$A$27:$B$30,2,0)</f>
        <v>60</v>
      </c>
      <c r="O437" s="21" t="n">
        <f aca="false">VLOOKUP(D437,Assumptions!$A$34:$B$37,2,0)</f>
        <v>66</v>
      </c>
      <c r="P437" s="21" t="n">
        <f aca="false">VLOOKUP(E437,Assumptions!$A$41:$B$43,2,0)</f>
        <v>100</v>
      </c>
      <c r="Q437" s="22" t="n">
        <f aca="false">L437*Assumptions!$B$7+M437*Assumptions!$B$8+N437*Assumptions!$B$9+O437*Assumptions!$B$10+P437*Assumptions!$B$11</f>
        <v>62.625</v>
      </c>
      <c r="R437" s="11" t="str">
        <f aca="false">IF(Q437&lt;=33,"High Risk",IF(Q437&lt;=66,"Medium Risk","Low Risk"))</f>
        <v>Medium Risk</v>
      </c>
    </row>
    <row r="438" customFormat="false" ht="15" hidden="false" customHeight="true" outlineLevel="0" collapsed="false">
      <c r="A438" s="20" t="n">
        <f aca="false">'Raw Data'!A438</f>
        <v>437</v>
      </c>
      <c r="B438" s="20" t="n">
        <f aca="false">'Raw Data'!B438</f>
        <v>23</v>
      </c>
      <c r="C438" s="20" t="str">
        <f aca="false">'Raw Data'!C438</f>
        <v>male</v>
      </c>
      <c r="D438" s="20" t="n">
        <f aca="false">'Raw Data'!D438</f>
        <v>1</v>
      </c>
      <c r="E438" s="20" t="str">
        <f aca="false">'Raw Data'!E438</f>
        <v>rent</v>
      </c>
      <c r="F438" s="20" t="str">
        <f aca="false">'Raw Data'!F438</f>
        <v>quite rich</v>
      </c>
      <c r="G438" s="20" t="str">
        <f aca="false">'Raw Data'!G438</f>
        <v>none</v>
      </c>
      <c r="H438" s="20" t="n">
        <f aca="false">'Raw Data'!H438</f>
        <v>660</v>
      </c>
      <c r="I438" s="20" t="n">
        <f aca="false">'Raw Data'!I438</f>
        <v>6</v>
      </c>
      <c r="J438" s="20" t="str">
        <f aca="false">'Raw Data'!J438</f>
        <v>repairs</v>
      </c>
      <c r="K438" s="21" t="n">
        <f aca="false">H438/I438</f>
        <v>110</v>
      </c>
      <c r="L438" s="21" t="n">
        <f aca="false">100-MIN(K438/Assumptions!$B$14,1)*100</f>
        <v>72.5</v>
      </c>
      <c r="M438" s="21" t="n">
        <f aca="false">VLOOKUP(F438,Assumptions!$A$19:$B$23,2,0)</f>
        <v>75</v>
      </c>
      <c r="N438" s="21" t="n">
        <f aca="false">VLOOKUP(G438,Assumptions!$A$27:$B$30,2,0)</f>
        <v>50</v>
      </c>
      <c r="O438" s="21" t="n">
        <f aca="false">VLOOKUP(D438,Assumptions!$A$34:$B$37,2,0)</f>
        <v>33</v>
      </c>
      <c r="P438" s="21" t="n">
        <f aca="false">VLOOKUP(E438,Assumptions!$A$41:$B$43,2,0)</f>
        <v>30</v>
      </c>
      <c r="Q438" s="22" t="n">
        <f aca="false">L438*Assumptions!$B$7+M438*Assumptions!$B$8+N438*Assumptions!$B$9+O438*Assumptions!$B$10+P438*Assumptions!$B$11</f>
        <v>58.45</v>
      </c>
      <c r="R438" s="11" t="str">
        <f aca="false">IF(Q438&lt;=33,"High Risk",IF(Q438&lt;=66,"Medium Risk","Low Risk"))</f>
        <v>Medium Risk</v>
      </c>
    </row>
    <row r="439" customFormat="false" ht="15" hidden="false" customHeight="true" outlineLevel="0" collapsed="false">
      <c r="A439" s="20" t="n">
        <f aca="false">'Raw Data'!A439</f>
        <v>438</v>
      </c>
      <c r="B439" s="20" t="n">
        <f aca="false">'Raw Data'!B439</f>
        <v>37</v>
      </c>
      <c r="C439" s="20" t="str">
        <f aca="false">'Raw Data'!C439</f>
        <v>female</v>
      </c>
      <c r="D439" s="20" t="n">
        <f aca="false">'Raw Data'!D439</f>
        <v>2</v>
      </c>
      <c r="E439" s="20" t="str">
        <f aca="false">'Raw Data'!E439</f>
        <v>own</v>
      </c>
      <c r="F439" s="20" t="str">
        <f aca="false">'Raw Data'!F439</f>
        <v>rich</v>
      </c>
      <c r="G439" s="20" t="str">
        <f aca="false">'Raw Data'!G439</f>
        <v>none</v>
      </c>
      <c r="H439" s="20" t="n">
        <f aca="false">'Raw Data'!H439</f>
        <v>1287</v>
      </c>
      <c r="I439" s="20" t="n">
        <f aca="false">'Raw Data'!I439</f>
        <v>24</v>
      </c>
      <c r="J439" s="20" t="str">
        <f aca="false">'Raw Data'!J439</f>
        <v>car</v>
      </c>
      <c r="K439" s="21" t="n">
        <f aca="false">H439/I439</f>
        <v>53.625</v>
      </c>
      <c r="L439" s="21" t="n">
        <f aca="false">100-MIN(K439/Assumptions!$B$14,1)*100</f>
        <v>86.59375</v>
      </c>
      <c r="M439" s="21" t="n">
        <f aca="false">VLOOKUP(F439,Assumptions!$A$19:$B$23,2,0)</f>
        <v>100</v>
      </c>
      <c r="N439" s="21" t="n">
        <f aca="false">VLOOKUP(G439,Assumptions!$A$27:$B$30,2,0)</f>
        <v>50</v>
      </c>
      <c r="O439" s="21" t="n">
        <f aca="false">VLOOKUP(D439,Assumptions!$A$34:$B$37,2,0)</f>
        <v>66</v>
      </c>
      <c r="P439" s="21" t="n">
        <f aca="false">VLOOKUP(E439,Assumptions!$A$41:$B$43,2,0)</f>
        <v>100</v>
      </c>
      <c r="Q439" s="22" t="n">
        <f aca="false">L439*Assumptions!$B$7+M439*Assumptions!$B$8+N439*Assumptions!$B$9+O439*Assumptions!$B$10+P439*Assumptions!$B$11</f>
        <v>80.878125</v>
      </c>
      <c r="R439" s="11" t="str">
        <f aca="false">IF(Q439&lt;=33,"High Risk",IF(Q439&lt;=66,"Medium Risk","Low Risk"))</f>
        <v>Low Risk</v>
      </c>
    </row>
    <row r="440" customFormat="false" ht="15" hidden="false" customHeight="true" outlineLevel="0" collapsed="false">
      <c r="A440" s="20" t="n">
        <f aca="false">'Raw Data'!A440</f>
        <v>439</v>
      </c>
      <c r="B440" s="20" t="n">
        <f aca="false">'Raw Data'!B440</f>
        <v>65</v>
      </c>
      <c r="C440" s="20" t="str">
        <f aca="false">'Raw Data'!C440</f>
        <v>male</v>
      </c>
      <c r="D440" s="20" t="n">
        <f aca="false">'Raw Data'!D440</f>
        <v>0</v>
      </c>
      <c r="E440" s="20" t="str">
        <f aca="false">'Raw Data'!E440</f>
        <v>own</v>
      </c>
      <c r="F440" s="20" t="str">
        <f aca="false">'Raw Data'!F440</f>
        <v>little</v>
      </c>
      <c r="G440" s="20" t="str">
        <f aca="false">'Raw Data'!G440</f>
        <v>little</v>
      </c>
      <c r="H440" s="20" t="n">
        <f aca="false">'Raw Data'!H440</f>
        <v>3394</v>
      </c>
      <c r="I440" s="20" t="n">
        <f aca="false">'Raw Data'!I440</f>
        <v>42</v>
      </c>
      <c r="J440" s="20" t="str">
        <f aca="false">'Raw Data'!J440</f>
        <v>repairs</v>
      </c>
      <c r="K440" s="21" t="n">
        <f aca="false">H440/I440</f>
        <v>80.8095238095238</v>
      </c>
      <c r="L440" s="21" t="n">
        <f aca="false">100-MIN(K440/Assumptions!$B$14,1)*100</f>
        <v>79.7976190476191</v>
      </c>
      <c r="M440" s="21" t="n">
        <f aca="false">VLOOKUP(F440,Assumptions!$A$19:$B$23,2,0)</f>
        <v>25</v>
      </c>
      <c r="N440" s="21" t="n">
        <f aca="false">VLOOKUP(G440,Assumptions!$A$27:$B$30,2,0)</f>
        <v>25</v>
      </c>
      <c r="O440" s="21" t="n">
        <f aca="false">VLOOKUP(D440,Assumptions!$A$34:$B$37,2,0)</f>
        <v>0</v>
      </c>
      <c r="P440" s="21" t="n">
        <f aca="false">VLOOKUP(E440,Assumptions!$A$41:$B$43,2,0)</f>
        <v>100</v>
      </c>
      <c r="Q440" s="22" t="n">
        <f aca="false">L440*Assumptions!$B$7+M440*Assumptions!$B$8+N440*Assumptions!$B$9+O440*Assumptions!$B$10+P440*Assumptions!$B$11</f>
        <v>45.1892857142857</v>
      </c>
      <c r="R440" s="11" t="str">
        <f aca="false">IF(Q440&lt;=33,"High Risk",IF(Q440&lt;=66,"Medium Risk","Low Risk"))</f>
        <v>Medium Risk</v>
      </c>
    </row>
    <row r="441" customFormat="false" ht="15" hidden="false" customHeight="true" outlineLevel="0" collapsed="false">
      <c r="A441" s="20" t="n">
        <f aca="false">'Raw Data'!A441</f>
        <v>440</v>
      </c>
      <c r="B441" s="20" t="n">
        <f aca="false">'Raw Data'!B441</f>
        <v>26</v>
      </c>
      <c r="C441" s="20" t="str">
        <f aca="false">'Raw Data'!C441</f>
        <v>female</v>
      </c>
      <c r="D441" s="20" t="n">
        <f aca="false">'Raw Data'!D441</f>
        <v>0</v>
      </c>
      <c r="E441" s="20" t="str">
        <f aca="false">'Raw Data'!E441</f>
        <v>own</v>
      </c>
      <c r="F441" s="20" t="str">
        <f aca="false">'Raw Data'!F441</f>
        <v>little</v>
      </c>
      <c r="G441" s="20" t="str">
        <f aca="false">'Raw Data'!G441</f>
        <v>rich</v>
      </c>
      <c r="H441" s="20" t="n">
        <f aca="false">'Raw Data'!H441</f>
        <v>609</v>
      </c>
      <c r="I441" s="20" t="n">
        <f aca="false">'Raw Data'!I441</f>
        <v>12</v>
      </c>
      <c r="J441" s="20" t="str">
        <f aca="false">'Raw Data'!J441</f>
        <v>business</v>
      </c>
      <c r="K441" s="21" t="n">
        <f aca="false">H441/I441</f>
        <v>50.75</v>
      </c>
      <c r="L441" s="21" t="n">
        <f aca="false">100-MIN(K441/Assumptions!$B$14,1)*100</f>
        <v>87.3125</v>
      </c>
      <c r="M441" s="21" t="n">
        <f aca="false">VLOOKUP(F441,Assumptions!$A$19:$B$23,2,0)</f>
        <v>25</v>
      </c>
      <c r="N441" s="21" t="n">
        <f aca="false">VLOOKUP(G441,Assumptions!$A$27:$B$30,2,0)</f>
        <v>100</v>
      </c>
      <c r="O441" s="21" t="n">
        <f aca="false">VLOOKUP(D441,Assumptions!$A$34:$B$37,2,0)</f>
        <v>0</v>
      </c>
      <c r="P441" s="21" t="n">
        <f aca="false">VLOOKUP(E441,Assumptions!$A$41:$B$43,2,0)</f>
        <v>100</v>
      </c>
      <c r="Q441" s="22" t="n">
        <f aca="false">L441*Assumptions!$B$7+M441*Assumptions!$B$8+N441*Assumptions!$B$9+O441*Assumptions!$B$10+P441*Assumptions!$B$11</f>
        <v>62.44375</v>
      </c>
      <c r="R441" s="11" t="str">
        <f aca="false">IF(Q441&lt;=33,"High Risk",IF(Q441&lt;=66,"Medium Risk","Low Risk"))</f>
        <v>Medium Risk</v>
      </c>
    </row>
    <row r="442" customFormat="false" ht="15" hidden="false" customHeight="true" outlineLevel="0" collapsed="false">
      <c r="A442" s="20" t="n">
        <f aca="false">'Raw Data'!A442</f>
        <v>441</v>
      </c>
      <c r="B442" s="20" t="n">
        <f aca="false">'Raw Data'!B442</f>
        <v>39</v>
      </c>
      <c r="C442" s="20" t="str">
        <f aca="false">'Raw Data'!C442</f>
        <v>male</v>
      </c>
      <c r="D442" s="20" t="n">
        <f aca="false">'Raw Data'!D442</f>
        <v>3</v>
      </c>
      <c r="E442" s="20" t="str">
        <f aca="false">'Raw Data'!E442</f>
        <v>own</v>
      </c>
      <c r="F442" s="20" t="str">
        <f aca="false">'Raw Data'!F442</f>
        <v>little</v>
      </c>
      <c r="G442" s="20" t="str">
        <f aca="false">'Raw Data'!G442</f>
        <v>none</v>
      </c>
      <c r="H442" s="20" t="n">
        <f aca="false">'Raw Data'!H442</f>
        <v>1884</v>
      </c>
      <c r="I442" s="20" t="n">
        <f aca="false">'Raw Data'!I442</f>
        <v>12</v>
      </c>
      <c r="J442" s="20" t="str">
        <f aca="false">'Raw Data'!J442</f>
        <v>car</v>
      </c>
      <c r="K442" s="21" t="n">
        <f aca="false">H442/I442</f>
        <v>157</v>
      </c>
      <c r="L442" s="21" t="n">
        <f aca="false">100-MIN(K442/Assumptions!$B$14,1)*100</f>
        <v>60.75</v>
      </c>
      <c r="M442" s="21" t="n">
        <f aca="false">VLOOKUP(F442,Assumptions!$A$19:$B$23,2,0)</f>
        <v>25</v>
      </c>
      <c r="N442" s="21" t="n">
        <f aca="false">VLOOKUP(G442,Assumptions!$A$27:$B$30,2,0)</f>
        <v>50</v>
      </c>
      <c r="O442" s="21" t="n">
        <f aca="false">VLOOKUP(D442,Assumptions!$A$34:$B$37,2,0)</f>
        <v>100</v>
      </c>
      <c r="P442" s="21" t="n">
        <f aca="false">VLOOKUP(E442,Assumptions!$A$41:$B$43,2,0)</f>
        <v>100</v>
      </c>
      <c r="Q442" s="22" t="n">
        <f aca="false">L442*Assumptions!$B$7+M442*Assumptions!$B$8+N442*Assumptions!$B$9+O442*Assumptions!$B$10+P442*Assumptions!$B$11</f>
        <v>59.475</v>
      </c>
      <c r="R442" s="11" t="str">
        <f aca="false">IF(Q442&lt;=33,"High Risk",IF(Q442&lt;=66,"Medium Risk","Low Risk"))</f>
        <v>Medium Risk</v>
      </c>
    </row>
    <row r="443" customFormat="false" ht="15" hidden="false" customHeight="true" outlineLevel="0" collapsed="false">
      <c r="A443" s="20" t="n">
        <f aca="false">'Raw Data'!A443</f>
        <v>442</v>
      </c>
      <c r="B443" s="20" t="n">
        <f aca="false">'Raw Data'!B443</f>
        <v>30</v>
      </c>
      <c r="C443" s="20" t="str">
        <f aca="false">'Raw Data'!C443</f>
        <v>female</v>
      </c>
      <c r="D443" s="20" t="n">
        <f aca="false">'Raw Data'!D443</f>
        <v>2</v>
      </c>
      <c r="E443" s="20" t="str">
        <f aca="false">'Raw Data'!E443</f>
        <v>own</v>
      </c>
      <c r="F443" s="20" t="str">
        <f aca="false">'Raw Data'!F443</f>
        <v>little</v>
      </c>
      <c r="G443" s="20" t="str">
        <f aca="false">'Raw Data'!G443</f>
        <v>little</v>
      </c>
      <c r="H443" s="20" t="n">
        <f aca="false">'Raw Data'!H443</f>
        <v>1620</v>
      </c>
      <c r="I443" s="20" t="n">
        <f aca="false">'Raw Data'!I443</f>
        <v>12</v>
      </c>
      <c r="J443" s="20" t="str">
        <f aca="false">'Raw Data'!J443</f>
        <v>furniture/equipment</v>
      </c>
      <c r="K443" s="21" t="n">
        <f aca="false">H443/I443</f>
        <v>135</v>
      </c>
      <c r="L443" s="21" t="n">
        <f aca="false">100-MIN(K443/Assumptions!$B$14,1)*100</f>
        <v>66.25</v>
      </c>
      <c r="M443" s="21" t="n">
        <f aca="false">VLOOKUP(F443,Assumptions!$A$19:$B$23,2,0)</f>
        <v>25</v>
      </c>
      <c r="N443" s="21" t="n">
        <f aca="false">VLOOKUP(G443,Assumptions!$A$27:$B$30,2,0)</f>
        <v>25</v>
      </c>
      <c r="O443" s="21" t="n">
        <f aca="false">VLOOKUP(D443,Assumptions!$A$34:$B$37,2,0)</f>
        <v>66</v>
      </c>
      <c r="P443" s="21" t="n">
        <f aca="false">VLOOKUP(E443,Assumptions!$A$41:$B$43,2,0)</f>
        <v>100</v>
      </c>
      <c r="Q443" s="22" t="n">
        <f aca="false">L443*Assumptions!$B$7+M443*Assumptions!$B$8+N443*Assumptions!$B$9+O443*Assumptions!$B$10+P443*Assumptions!$B$11</f>
        <v>51.025</v>
      </c>
      <c r="R443" s="11" t="str">
        <f aca="false">IF(Q443&lt;=33,"High Risk",IF(Q443&lt;=66,"Medium Risk","Low Risk"))</f>
        <v>Medium Risk</v>
      </c>
    </row>
    <row r="444" customFormat="false" ht="15" hidden="false" customHeight="true" outlineLevel="0" collapsed="false">
      <c r="A444" s="20" t="n">
        <f aca="false">'Raw Data'!A444</f>
        <v>443</v>
      </c>
      <c r="B444" s="20" t="n">
        <f aca="false">'Raw Data'!B444</f>
        <v>29</v>
      </c>
      <c r="C444" s="20" t="str">
        <f aca="false">'Raw Data'!C444</f>
        <v>male</v>
      </c>
      <c r="D444" s="20" t="n">
        <f aca="false">'Raw Data'!D444</f>
        <v>2</v>
      </c>
      <c r="E444" s="20" t="str">
        <f aca="false">'Raw Data'!E444</f>
        <v>own</v>
      </c>
      <c r="F444" s="20" t="str">
        <f aca="false">'Raw Data'!F444</f>
        <v>little</v>
      </c>
      <c r="G444" s="20" t="str">
        <f aca="false">'Raw Data'!G444</f>
        <v>moderate</v>
      </c>
      <c r="H444" s="20" t="n">
        <f aca="false">'Raw Data'!H444</f>
        <v>2629</v>
      </c>
      <c r="I444" s="20" t="n">
        <f aca="false">'Raw Data'!I444</f>
        <v>20</v>
      </c>
      <c r="J444" s="20" t="str">
        <f aca="false">'Raw Data'!J444</f>
        <v>vacation/others</v>
      </c>
      <c r="K444" s="21" t="n">
        <f aca="false">H444/I444</f>
        <v>131.45</v>
      </c>
      <c r="L444" s="21" t="n">
        <f aca="false">100-MIN(K444/Assumptions!$B$14,1)*100</f>
        <v>67.1375</v>
      </c>
      <c r="M444" s="21" t="n">
        <f aca="false">VLOOKUP(F444,Assumptions!$A$19:$B$23,2,0)</f>
        <v>25</v>
      </c>
      <c r="N444" s="21" t="n">
        <f aca="false">VLOOKUP(G444,Assumptions!$A$27:$B$30,2,0)</f>
        <v>60</v>
      </c>
      <c r="O444" s="21" t="n">
        <f aca="false">VLOOKUP(D444,Assumptions!$A$34:$B$37,2,0)</f>
        <v>66</v>
      </c>
      <c r="P444" s="21" t="n">
        <f aca="false">VLOOKUP(E444,Assumptions!$A$41:$B$43,2,0)</f>
        <v>100</v>
      </c>
      <c r="Q444" s="22" t="n">
        <f aca="false">L444*Assumptions!$B$7+M444*Assumptions!$B$8+N444*Assumptions!$B$9+O444*Assumptions!$B$10+P444*Assumptions!$B$11</f>
        <v>58.29125</v>
      </c>
      <c r="R444" s="11" t="str">
        <f aca="false">IF(Q444&lt;=33,"High Risk",IF(Q444&lt;=66,"Medium Risk","Low Risk"))</f>
        <v>Medium Risk</v>
      </c>
    </row>
    <row r="445" customFormat="false" ht="15" hidden="false" customHeight="true" outlineLevel="0" collapsed="false">
      <c r="A445" s="20" t="n">
        <f aca="false">'Raw Data'!A445</f>
        <v>444</v>
      </c>
      <c r="B445" s="20" t="n">
        <f aca="false">'Raw Data'!B445</f>
        <v>41</v>
      </c>
      <c r="C445" s="20" t="str">
        <f aca="false">'Raw Data'!C445</f>
        <v>male</v>
      </c>
      <c r="D445" s="20" t="n">
        <f aca="false">'Raw Data'!D445</f>
        <v>1</v>
      </c>
      <c r="E445" s="20" t="str">
        <f aca="false">'Raw Data'!E445</f>
        <v>own</v>
      </c>
      <c r="F445" s="20" t="str">
        <f aca="false">'Raw Data'!F445</f>
        <v>little</v>
      </c>
      <c r="G445" s="20" t="str">
        <f aca="false">'Raw Data'!G445</f>
        <v>none</v>
      </c>
      <c r="H445" s="20" t="n">
        <f aca="false">'Raw Data'!H445</f>
        <v>719</v>
      </c>
      <c r="I445" s="20" t="n">
        <f aca="false">'Raw Data'!I445</f>
        <v>12</v>
      </c>
      <c r="J445" s="20" t="str">
        <f aca="false">'Raw Data'!J445</f>
        <v>education</v>
      </c>
      <c r="K445" s="21" t="n">
        <f aca="false">H445/I445</f>
        <v>59.9166666666667</v>
      </c>
      <c r="L445" s="21" t="n">
        <f aca="false">100-MIN(K445/Assumptions!$B$14,1)*100</f>
        <v>85.0208333333333</v>
      </c>
      <c r="M445" s="21" t="n">
        <f aca="false">VLOOKUP(F445,Assumptions!$A$19:$B$23,2,0)</f>
        <v>25</v>
      </c>
      <c r="N445" s="21" t="n">
        <f aca="false">VLOOKUP(G445,Assumptions!$A$27:$B$30,2,0)</f>
        <v>50</v>
      </c>
      <c r="O445" s="21" t="n">
        <f aca="false">VLOOKUP(D445,Assumptions!$A$34:$B$37,2,0)</f>
        <v>33</v>
      </c>
      <c r="P445" s="21" t="n">
        <f aca="false">VLOOKUP(E445,Assumptions!$A$41:$B$43,2,0)</f>
        <v>100</v>
      </c>
      <c r="Q445" s="22" t="n">
        <f aca="false">L445*Assumptions!$B$7+M445*Assumptions!$B$8+N445*Assumptions!$B$9+O445*Assumptions!$B$10+P445*Assumptions!$B$11</f>
        <v>56.70625</v>
      </c>
      <c r="R445" s="11" t="str">
        <f aca="false">IF(Q445&lt;=33,"High Risk",IF(Q445&lt;=66,"Medium Risk","Low Risk"))</f>
        <v>Medium Risk</v>
      </c>
    </row>
    <row r="446" customFormat="false" ht="15" hidden="false" customHeight="true" outlineLevel="0" collapsed="false">
      <c r="A446" s="20" t="n">
        <f aca="false">'Raw Data'!A446</f>
        <v>445</v>
      </c>
      <c r="B446" s="20" t="n">
        <f aca="false">'Raw Data'!B446</f>
        <v>30</v>
      </c>
      <c r="C446" s="20" t="str">
        <f aca="false">'Raw Data'!C446</f>
        <v>female</v>
      </c>
      <c r="D446" s="20" t="n">
        <f aca="false">'Raw Data'!D446</f>
        <v>3</v>
      </c>
      <c r="E446" s="20" t="str">
        <f aca="false">'Raw Data'!E446</f>
        <v>own</v>
      </c>
      <c r="F446" s="20" t="str">
        <f aca="false">'Raw Data'!F446</f>
        <v>little</v>
      </c>
      <c r="G446" s="20" t="str">
        <f aca="false">'Raw Data'!G446</f>
        <v>moderate</v>
      </c>
      <c r="H446" s="20" t="n">
        <f aca="false">'Raw Data'!H446</f>
        <v>5096</v>
      </c>
      <c r="I446" s="20" t="n">
        <f aca="false">'Raw Data'!I446</f>
        <v>48</v>
      </c>
      <c r="J446" s="20" t="str">
        <f aca="false">'Raw Data'!J446</f>
        <v>furniture/equipment</v>
      </c>
      <c r="K446" s="21" t="n">
        <f aca="false">H446/I446</f>
        <v>106.166666666667</v>
      </c>
      <c r="L446" s="21" t="n">
        <f aca="false">100-MIN(K446/Assumptions!$B$14,1)*100</f>
        <v>73.4583333333333</v>
      </c>
      <c r="M446" s="21" t="n">
        <f aca="false">VLOOKUP(F446,Assumptions!$A$19:$B$23,2,0)</f>
        <v>25</v>
      </c>
      <c r="N446" s="21" t="n">
        <f aca="false">VLOOKUP(G446,Assumptions!$A$27:$B$30,2,0)</f>
        <v>60</v>
      </c>
      <c r="O446" s="21" t="n">
        <f aca="false">VLOOKUP(D446,Assumptions!$A$34:$B$37,2,0)</f>
        <v>100</v>
      </c>
      <c r="P446" s="21" t="n">
        <f aca="false">VLOOKUP(E446,Assumptions!$A$41:$B$43,2,0)</f>
        <v>100</v>
      </c>
      <c r="Q446" s="22" t="n">
        <f aca="false">L446*Assumptions!$B$7+M446*Assumptions!$B$8+N446*Assumptions!$B$9+O446*Assumptions!$B$10+P446*Assumptions!$B$11</f>
        <v>65.2875</v>
      </c>
      <c r="R446" s="11" t="str">
        <f aca="false">IF(Q446&lt;=33,"High Risk",IF(Q446&lt;=66,"Medium Risk","Low Risk"))</f>
        <v>Medium Risk</v>
      </c>
    </row>
    <row r="447" customFormat="false" ht="15" hidden="false" customHeight="true" outlineLevel="0" collapsed="false">
      <c r="A447" s="20" t="n">
        <f aca="false">'Raw Data'!A447</f>
        <v>446</v>
      </c>
      <c r="B447" s="20" t="n">
        <f aca="false">'Raw Data'!B447</f>
        <v>41</v>
      </c>
      <c r="C447" s="20" t="str">
        <f aca="false">'Raw Data'!C447</f>
        <v>female</v>
      </c>
      <c r="D447" s="20" t="n">
        <f aca="false">'Raw Data'!D447</f>
        <v>1</v>
      </c>
      <c r="E447" s="20" t="str">
        <f aca="false">'Raw Data'!E447</f>
        <v>rent</v>
      </c>
      <c r="F447" s="20" t="str">
        <f aca="false">'Raw Data'!F447</f>
        <v>none</v>
      </c>
      <c r="G447" s="20" t="str">
        <f aca="false">'Raw Data'!G447</f>
        <v>none</v>
      </c>
      <c r="H447" s="20" t="n">
        <f aca="false">'Raw Data'!H447</f>
        <v>1244</v>
      </c>
      <c r="I447" s="20" t="n">
        <f aca="false">'Raw Data'!I447</f>
        <v>9</v>
      </c>
      <c r="J447" s="20" t="str">
        <f aca="false">'Raw Data'!J447</f>
        <v>education</v>
      </c>
      <c r="K447" s="21" t="n">
        <f aca="false">H447/I447</f>
        <v>138.222222222222</v>
      </c>
      <c r="L447" s="21" t="n">
        <f aca="false">100-MIN(K447/Assumptions!$B$14,1)*100</f>
        <v>65.4444444444444</v>
      </c>
      <c r="M447" s="21" t="n">
        <f aca="false">VLOOKUP(F447,Assumptions!$A$19:$B$23,2,0)</f>
        <v>40</v>
      </c>
      <c r="N447" s="21" t="n">
        <f aca="false">VLOOKUP(G447,Assumptions!$A$27:$B$30,2,0)</f>
        <v>50</v>
      </c>
      <c r="O447" s="21" t="n">
        <f aca="false">VLOOKUP(D447,Assumptions!$A$34:$B$37,2,0)</f>
        <v>33</v>
      </c>
      <c r="P447" s="21" t="n">
        <f aca="false">VLOOKUP(E447,Assumptions!$A$41:$B$43,2,0)</f>
        <v>30</v>
      </c>
      <c r="Q447" s="22" t="n">
        <f aca="false">L447*Assumptions!$B$7+M447*Assumptions!$B$8+N447*Assumptions!$B$9+O447*Assumptions!$B$10+P447*Assumptions!$B$11</f>
        <v>47.5833333333333</v>
      </c>
      <c r="R447" s="11" t="str">
        <f aca="false">IF(Q447&lt;=33,"High Risk",IF(Q447&lt;=66,"Medium Risk","Low Risk"))</f>
        <v>Medium Risk</v>
      </c>
    </row>
    <row r="448" customFormat="false" ht="15" hidden="false" customHeight="true" outlineLevel="0" collapsed="false">
      <c r="A448" s="20" t="n">
        <f aca="false">'Raw Data'!A448</f>
        <v>447</v>
      </c>
      <c r="B448" s="20" t="n">
        <f aca="false">'Raw Data'!B448</f>
        <v>34</v>
      </c>
      <c r="C448" s="20" t="str">
        <f aca="false">'Raw Data'!C448</f>
        <v>female</v>
      </c>
      <c r="D448" s="20" t="n">
        <f aca="false">'Raw Data'!D448</f>
        <v>2</v>
      </c>
      <c r="E448" s="20" t="str">
        <f aca="false">'Raw Data'!E448</f>
        <v>own</v>
      </c>
      <c r="F448" s="20" t="str">
        <f aca="false">'Raw Data'!F448</f>
        <v>little</v>
      </c>
      <c r="G448" s="20" t="str">
        <f aca="false">'Raw Data'!G448</f>
        <v>little</v>
      </c>
      <c r="H448" s="20" t="n">
        <f aca="false">'Raw Data'!H448</f>
        <v>1842</v>
      </c>
      <c r="I448" s="20" t="n">
        <f aca="false">'Raw Data'!I448</f>
        <v>36</v>
      </c>
      <c r="J448" s="20" t="str">
        <f aca="false">'Raw Data'!J448</f>
        <v>car</v>
      </c>
      <c r="K448" s="21" t="n">
        <f aca="false">H448/I448</f>
        <v>51.1666666666667</v>
      </c>
      <c r="L448" s="21" t="n">
        <f aca="false">100-MIN(K448/Assumptions!$B$14,1)*100</f>
        <v>87.2083333333333</v>
      </c>
      <c r="M448" s="21" t="n">
        <f aca="false">VLOOKUP(F448,Assumptions!$A$19:$B$23,2,0)</f>
        <v>25</v>
      </c>
      <c r="N448" s="21" t="n">
        <f aca="false">VLOOKUP(G448,Assumptions!$A$27:$B$30,2,0)</f>
        <v>25</v>
      </c>
      <c r="O448" s="21" t="n">
        <f aca="false">VLOOKUP(D448,Assumptions!$A$34:$B$37,2,0)</f>
        <v>66</v>
      </c>
      <c r="P448" s="21" t="n">
        <f aca="false">VLOOKUP(E448,Assumptions!$A$41:$B$43,2,0)</f>
        <v>100</v>
      </c>
      <c r="Q448" s="22" t="n">
        <f aca="false">L448*Assumptions!$B$7+M448*Assumptions!$B$8+N448*Assumptions!$B$9+O448*Assumptions!$B$10+P448*Assumptions!$B$11</f>
        <v>57.3125</v>
      </c>
      <c r="R448" s="11" t="str">
        <f aca="false">IF(Q448&lt;=33,"High Risk",IF(Q448&lt;=66,"Medium Risk","Low Risk"))</f>
        <v>Medium Risk</v>
      </c>
    </row>
    <row r="449" customFormat="false" ht="15" hidden="false" customHeight="true" outlineLevel="0" collapsed="false">
      <c r="A449" s="20" t="n">
        <f aca="false">'Raw Data'!A449</f>
        <v>448</v>
      </c>
      <c r="B449" s="20" t="n">
        <f aca="false">'Raw Data'!B449</f>
        <v>35</v>
      </c>
      <c r="C449" s="20" t="str">
        <f aca="false">'Raw Data'!C449</f>
        <v>male</v>
      </c>
      <c r="D449" s="20" t="n">
        <f aca="false">'Raw Data'!D449</f>
        <v>2</v>
      </c>
      <c r="E449" s="20" t="str">
        <f aca="false">'Raw Data'!E449</f>
        <v>own</v>
      </c>
      <c r="F449" s="20" t="str">
        <f aca="false">'Raw Data'!F449</f>
        <v>little</v>
      </c>
      <c r="G449" s="20" t="str">
        <f aca="false">'Raw Data'!G449</f>
        <v>moderate</v>
      </c>
      <c r="H449" s="20" t="n">
        <f aca="false">'Raw Data'!H449</f>
        <v>2576</v>
      </c>
      <c r="I449" s="20" t="n">
        <f aca="false">'Raw Data'!I449</f>
        <v>7</v>
      </c>
      <c r="J449" s="20" t="str">
        <f aca="false">'Raw Data'!J449</f>
        <v>radio/TV</v>
      </c>
      <c r="K449" s="21" t="n">
        <f aca="false">H449/I449</f>
        <v>368</v>
      </c>
      <c r="L449" s="21" t="n">
        <f aca="false">100-MIN(K449/Assumptions!$B$14,1)*100</f>
        <v>8</v>
      </c>
      <c r="M449" s="21" t="n">
        <f aca="false">VLOOKUP(F449,Assumptions!$A$19:$B$23,2,0)</f>
        <v>25</v>
      </c>
      <c r="N449" s="21" t="n">
        <f aca="false">VLOOKUP(G449,Assumptions!$A$27:$B$30,2,0)</f>
        <v>60</v>
      </c>
      <c r="O449" s="21" t="n">
        <f aca="false">VLOOKUP(D449,Assumptions!$A$34:$B$37,2,0)</f>
        <v>66</v>
      </c>
      <c r="P449" s="21" t="n">
        <f aca="false">VLOOKUP(E449,Assumptions!$A$41:$B$43,2,0)</f>
        <v>100</v>
      </c>
      <c r="Q449" s="22" t="n">
        <f aca="false">L449*Assumptions!$B$7+M449*Assumptions!$B$8+N449*Assumptions!$B$9+O449*Assumptions!$B$10+P449*Assumptions!$B$11</f>
        <v>40.55</v>
      </c>
      <c r="R449" s="11" t="str">
        <f aca="false">IF(Q449&lt;=33,"High Risk",IF(Q449&lt;=66,"Medium Risk","Low Risk"))</f>
        <v>Medium Risk</v>
      </c>
    </row>
    <row r="450" customFormat="false" ht="15" hidden="false" customHeight="true" outlineLevel="0" collapsed="false">
      <c r="A450" s="20" t="n">
        <f aca="false">'Raw Data'!A450</f>
        <v>449</v>
      </c>
      <c r="B450" s="20" t="n">
        <f aca="false">'Raw Data'!B450</f>
        <v>55</v>
      </c>
      <c r="C450" s="20" t="str">
        <f aca="false">'Raw Data'!C450</f>
        <v>female</v>
      </c>
      <c r="D450" s="20" t="n">
        <f aca="false">'Raw Data'!D450</f>
        <v>3</v>
      </c>
      <c r="E450" s="20" t="str">
        <f aca="false">'Raw Data'!E450</f>
        <v>own</v>
      </c>
      <c r="F450" s="20" t="str">
        <f aca="false">'Raw Data'!F450</f>
        <v>none</v>
      </c>
      <c r="G450" s="20" t="str">
        <f aca="false">'Raw Data'!G450</f>
        <v>rich</v>
      </c>
      <c r="H450" s="20" t="n">
        <f aca="false">'Raw Data'!H450</f>
        <v>1424</v>
      </c>
      <c r="I450" s="20" t="n">
        <f aca="false">'Raw Data'!I450</f>
        <v>12</v>
      </c>
      <c r="J450" s="20" t="str">
        <f aca="false">'Raw Data'!J450</f>
        <v>furniture/equipment</v>
      </c>
      <c r="K450" s="21" t="n">
        <f aca="false">H450/I450</f>
        <v>118.666666666667</v>
      </c>
      <c r="L450" s="21" t="n">
        <f aca="false">100-MIN(K450/Assumptions!$B$14,1)*100</f>
        <v>70.3333333333333</v>
      </c>
      <c r="M450" s="21" t="n">
        <f aca="false">VLOOKUP(F450,Assumptions!$A$19:$B$23,2,0)</f>
        <v>40</v>
      </c>
      <c r="N450" s="21" t="n">
        <f aca="false">VLOOKUP(G450,Assumptions!$A$27:$B$30,2,0)</f>
        <v>100</v>
      </c>
      <c r="O450" s="21" t="n">
        <f aca="false">VLOOKUP(D450,Assumptions!$A$34:$B$37,2,0)</f>
        <v>100</v>
      </c>
      <c r="P450" s="21" t="n">
        <f aca="false">VLOOKUP(E450,Assumptions!$A$41:$B$43,2,0)</f>
        <v>100</v>
      </c>
      <c r="Q450" s="22" t="n">
        <f aca="false">L450*Assumptions!$B$7+M450*Assumptions!$B$8+N450*Assumptions!$B$9+O450*Assumptions!$B$10+P450*Assumptions!$B$11</f>
        <v>76.1</v>
      </c>
      <c r="R450" s="11" t="str">
        <f aca="false">IF(Q450&lt;=33,"High Risk",IF(Q450&lt;=66,"Medium Risk","Low Risk"))</f>
        <v>Low Risk</v>
      </c>
    </row>
    <row r="451" customFormat="false" ht="15" hidden="false" customHeight="true" outlineLevel="0" collapsed="false">
      <c r="A451" s="20" t="n">
        <f aca="false">'Raw Data'!A451</f>
        <v>450</v>
      </c>
      <c r="B451" s="20" t="n">
        <f aca="false">'Raw Data'!B451</f>
        <v>61</v>
      </c>
      <c r="C451" s="20" t="str">
        <f aca="false">'Raw Data'!C451</f>
        <v>male</v>
      </c>
      <c r="D451" s="20" t="n">
        <f aca="false">'Raw Data'!D451</f>
        <v>2</v>
      </c>
      <c r="E451" s="20" t="str">
        <f aca="false">'Raw Data'!E451</f>
        <v>own</v>
      </c>
      <c r="F451" s="20" t="str">
        <f aca="false">'Raw Data'!F451</f>
        <v>rich</v>
      </c>
      <c r="G451" s="20" t="str">
        <f aca="false">'Raw Data'!G451</f>
        <v>moderate</v>
      </c>
      <c r="H451" s="20" t="n">
        <f aca="false">'Raw Data'!H451</f>
        <v>1512</v>
      </c>
      <c r="I451" s="20" t="n">
        <f aca="false">'Raw Data'!I451</f>
        <v>15</v>
      </c>
      <c r="J451" s="20" t="str">
        <f aca="false">'Raw Data'!J451</f>
        <v>repairs</v>
      </c>
      <c r="K451" s="21" t="n">
        <f aca="false">H451/I451</f>
        <v>100.8</v>
      </c>
      <c r="L451" s="21" t="n">
        <f aca="false">100-MIN(K451/Assumptions!$B$14,1)*100</f>
        <v>74.8</v>
      </c>
      <c r="M451" s="21" t="n">
        <f aca="false">VLOOKUP(F451,Assumptions!$A$19:$B$23,2,0)</f>
        <v>100</v>
      </c>
      <c r="N451" s="21" t="n">
        <f aca="false">VLOOKUP(G451,Assumptions!$A$27:$B$30,2,0)</f>
        <v>60</v>
      </c>
      <c r="O451" s="21" t="n">
        <f aca="false">VLOOKUP(D451,Assumptions!$A$34:$B$37,2,0)</f>
        <v>66</v>
      </c>
      <c r="P451" s="21" t="n">
        <f aca="false">VLOOKUP(E451,Assumptions!$A$41:$B$43,2,0)</f>
        <v>100</v>
      </c>
      <c r="Q451" s="22" t="n">
        <f aca="false">L451*Assumptions!$B$7+M451*Assumptions!$B$8+N451*Assumptions!$B$9+O451*Assumptions!$B$10+P451*Assumptions!$B$11</f>
        <v>79.34</v>
      </c>
      <c r="R451" s="11" t="str">
        <f aca="false">IF(Q451&lt;=33,"High Risk",IF(Q451&lt;=66,"Medium Risk","Low Risk"))</f>
        <v>Low Risk</v>
      </c>
    </row>
    <row r="452" customFormat="false" ht="15" hidden="false" customHeight="true" outlineLevel="0" collapsed="false">
      <c r="A452" s="20" t="n">
        <f aca="false">'Raw Data'!A452</f>
        <v>451</v>
      </c>
      <c r="B452" s="20" t="n">
        <f aca="false">'Raw Data'!B452</f>
        <v>30</v>
      </c>
      <c r="C452" s="20" t="str">
        <f aca="false">'Raw Data'!C452</f>
        <v>male</v>
      </c>
      <c r="D452" s="20" t="n">
        <f aca="false">'Raw Data'!D452</f>
        <v>3</v>
      </c>
      <c r="E452" s="20" t="str">
        <f aca="false">'Raw Data'!E452</f>
        <v>own</v>
      </c>
      <c r="F452" s="20" t="str">
        <f aca="false">'Raw Data'!F452</f>
        <v>none</v>
      </c>
      <c r="G452" s="20" t="str">
        <f aca="false">'Raw Data'!G452</f>
        <v>none</v>
      </c>
      <c r="H452" s="20" t="n">
        <f aca="false">'Raw Data'!H452</f>
        <v>11054</v>
      </c>
      <c r="I452" s="20" t="n">
        <f aca="false">'Raw Data'!I452</f>
        <v>36</v>
      </c>
      <c r="J452" s="20" t="str">
        <f aca="false">'Raw Data'!J452</f>
        <v>car</v>
      </c>
      <c r="K452" s="21" t="n">
        <f aca="false">H452/I452</f>
        <v>307.055555555556</v>
      </c>
      <c r="L452" s="21" t="n">
        <f aca="false">100-MIN(K452/Assumptions!$B$14,1)*100</f>
        <v>23.2361111111111</v>
      </c>
      <c r="M452" s="21" t="n">
        <f aca="false">VLOOKUP(F452,Assumptions!$A$19:$B$23,2,0)</f>
        <v>40</v>
      </c>
      <c r="N452" s="21" t="n">
        <f aca="false">VLOOKUP(G452,Assumptions!$A$27:$B$30,2,0)</f>
        <v>50</v>
      </c>
      <c r="O452" s="21" t="n">
        <f aca="false">VLOOKUP(D452,Assumptions!$A$34:$B$37,2,0)</f>
        <v>100</v>
      </c>
      <c r="P452" s="21" t="n">
        <f aca="false">VLOOKUP(E452,Assumptions!$A$41:$B$43,2,0)</f>
        <v>100</v>
      </c>
      <c r="Q452" s="22" t="n">
        <f aca="false">L452*Assumptions!$B$7+M452*Assumptions!$B$8+N452*Assumptions!$B$9+O452*Assumptions!$B$10+P452*Assumptions!$B$11</f>
        <v>51.9708333333333</v>
      </c>
      <c r="R452" s="11" t="str">
        <f aca="false">IF(Q452&lt;=33,"High Risk",IF(Q452&lt;=66,"Medium Risk","Low Risk"))</f>
        <v>Medium Risk</v>
      </c>
    </row>
    <row r="453" customFormat="false" ht="15" hidden="false" customHeight="true" outlineLevel="0" collapsed="false">
      <c r="A453" s="20" t="n">
        <f aca="false">'Raw Data'!A453</f>
        <v>452</v>
      </c>
      <c r="B453" s="20" t="n">
        <f aca="false">'Raw Data'!B453</f>
        <v>29</v>
      </c>
      <c r="C453" s="20" t="str">
        <f aca="false">'Raw Data'!C453</f>
        <v>female</v>
      </c>
      <c r="D453" s="20" t="n">
        <f aca="false">'Raw Data'!D453</f>
        <v>2</v>
      </c>
      <c r="E453" s="20" t="str">
        <f aca="false">'Raw Data'!E453</f>
        <v>own</v>
      </c>
      <c r="F453" s="20" t="str">
        <f aca="false">'Raw Data'!F453</f>
        <v>little</v>
      </c>
      <c r="G453" s="20" t="str">
        <f aca="false">'Raw Data'!G453</f>
        <v>none</v>
      </c>
      <c r="H453" s="20" t="n">
        <f aca="false">'Raw Data'!H453</f>
        <v>518</v>
      </c>
      <c r="I453" s="20" t="n">
        <f aca="false">'Raw Data'!I453</f>
        <v>6</v>
      </c>
      <c r="J453" s="20" t="str">
        <f aca="false">'Raw Data'!J453</f>
        <v>radio/TV</v>
      </c>
      <c r="K453" s="21" t="n">
        <f aca="false">H453/I453</f>
        <v>86.3333333333333</v>
      </c>
      <c r="L453" s="21" t="n">
        <f aca="false">100-MIN(K453/Assumptions!$B$14,1)*100</f>
        <v>78.4166666666667</v>
      </c>
      <c r="M453" s="21" t="n">
        <f aca="false">VLOOKUP(F453,Assumptions!$A$19:$B$23,2,0)</f>
        <v>25</v>
      </c>
      <c r="N453" s="21" t="n">
        <f aca="false">VLOOKUP(G453,Assumptions!$A$27:$B$30,2,0)</f>
        <v>50</v>
      </c>
      <c r="O453" s="21" t="n">
        <f aca="false">VLOOKUP(D453,Assumptions!$A$34:$B$37,2,0)</f>
        <v>66</v>
      </c>
      <c r="P453" s="21" t="n">
        <f aca="false">VLOOKUP(E453,Assumptions!$A$41:$B$43,2,0)</f>
        <v>100</v>
      </c>
      <c r="Q453" s="22" t="n">
        <f aca="false">L453*Assumptions!$B$7+M453*Assumptions!$B$8+N453*Assumptions!$B$9+O453*Assumptions!$B$10+P453*Assumptions!$B$11</f>
        <v>59.675</v>
      </c>
      <c r="R453" s="11" t="str">
        <f aca="false">IF(Q453&lt;=33,"High Risk",IF(Q453&lt;=66,"Medium Risk","Low Risk"))</f>
        <v>Medium Risk</v>
      </c>
    </row>
    <row r="454" customFormat="false" ht="15" hidden="false" customHeight="true" outlineLevel="0" collapsed="false">
      <c r="A454" s="20" t="n">
        <f aca="false">'Raw Data'!A454</f>
        <v>453</v>
      </c>
      <c r="B454" s="20" t="n">
        <f aca="false">'Raw Data'!B454</f>
        <v>34</v>
      </c>
      <c r="C454" s="20" t="str">
        <f aca="false">'Raw Data'!C454</f>
        <v>male</v>
      </c>
      <c r="D454" s="20" t="n">
        <f aca="false">'Raw Data'!D454</f>
        <v>2</v>
      </c>
      <c r="E454" s="20" t="str">
        <f aca="false">'Raw Data'!E454</f>
        <v>own</v>
      </c>
      <c r="F454" s="20" t="str">
        <f aca="false">'Raw Data'!F454</f>
        <v>little</v>
      </c>
      <c r="G454" s="20" t="str">
        <f aca="false">'Raw Data'!G454</f>
        <v>none</v>
      </c>
      <c r="H454" s="20" t="n">
        <f aca="false">'Raw Data'!H454</f>
        <v>2759</v>
      </c>
      <c r="I454" s="20" t="n">
        <f aca="false">'Raw Data'!I454</f>
        <v>12</v>
      </c>
      <c r="J454" s="20" t="str">
        <f aca="false">'Raw Data'!J454</f>
        <v>furniture/equipment</v>
      </c>
      <c r="K454" s="21" t="n">
        <f aca="false">H454/I454</f>
        <v>229.916666666667</v>
      </c>
      <c r="L454" s="21" t="n">
        <f aca="false">100-MIN(K454/Assumptions!$B$14,1)*100</f>
        <v>42.5208333333333</v>
      </c>
      <c r="M454" s="21" t="n">
        <f aca="false">VLOOKUP(F454,Assumptions!$A$19:$B$23,2,0)</f>
        <v>25</v>
      </c>
      <c r="N454" s="21" t="n">
        <f aca="false">VLOOKUP(G454,Assumptions!$A$27:$B$30,2,0)</f>
        <v>50</v>
      </c>
      <c r="O454" s="21" t="n">
        <f aca="false">VLOOKUP(D454,Assumptions!$A$34:$B$37,2,0)</f>
        <v>66</v>
      </c>
      <c r="P454" s="21" t="n">
        <f aca="false">VLOOKUP(E454,Assumptions!$A$41:$B$43,2,0)</f>
        <v>100</v>
      </c>
      <c r="Q454" s="22" t="n">
        <f aca="false">L454*Assumptions!$B$7+M454*Assumptions!$B$8+N454*Assumptions!$B$9+O454*Assumptions!$B$10+P454*Assumptions!$B$11</f>
        <v>48.90625</v>
      </c>
      <c r="R454" s="11" t="str">
        <f aca="false">IF(Q454&lt;=33,"High Risk",IF(Q454&lt;=66,"Medium Risk","Low Risk"))</f>
        <v>Medium Risk</v>
      </c>
    </row>
    <row r="455" customFormat="false" ht="15" hidden="false" customHeight="true" outlineLevel="0" collapsed="false">
      <c r="A455" s="20" t="n">
        <f aca="false">'Raw Data'!A455</f>
        <v>454</v>
      </c>
      <c r="B455" s="20" t="n">
        <f aca="false">'Raw Data'!B455</f>
        <v>35</v>
      </c>
      <c r="C455" s="20" t="str">
        <f aca="false">'Raw Data'!C455</f>
        <v>male</v>
      </c>
      <c r="D455" s="20" t="n">
        <f aca="false">'Raw Data'!D455</f>
        <v>3</v>
      </c>
      <c r="E455" s="20" t="str">
        <f aca="false">'Raw Data'!E455</f>
        <v>own</v>
      </c>
      <c r="F455" s="20" t="str">
        <f aca="false">'Raw Data'!F455</f>
        <v>little</v>
      </c>
      <c r="G455" s="20" t="str">
        <f aca="false">'Raw Data'!G455</f>
        <v>none</v>
      </c>
      <c r="H455" s="20" t="n">
        <f aca="false">'Raw Data'!H455</f>
        <v>2670</v>
      </c>
      <c r="I455" s="20" t="n">
        <f aca="false">'Raw Data'!I455</f>
        <v>24</v>
      </c>
      <c r="J455" s="20" t="str">
        <f aca="false">'Raw Data'!J455</f>
        <v>car</v>
      </c>
      <c r="K455" s="21" t="n">
        <f aca="false">H455/I455</f>
        <v>111.25</v>
      </c>
      <c r="L455" s="21" t="n">
        <f aca="false">100-MIN(K455/Assumptions!$B$14,1)*100</f>
        <v>72.1875</v>
      </c>
      <c r="M455" s="21" t="n">
        <f aca="false">VLOOKUP(F455,Assumptions!$A$19:$B$23,2,0)</f>
        <v>25</v>
      </c>
      <c r="N455" s="21" t="n">
        <f aca="false">VLOOKUP(G455,Assumptions!$A$27:$B$30,2,0)</f>
        <v>50</v>
      </c>
      <c r="O455" s="21" t="n">
        <f aca="false">VLOOKUP(D455,Assumptions!$A$34:$B$37,2,0)</f>
        <v>100</v>
      </c>
      <c r="P455" s="21" t="n">
        <f aca="false">VLOOKUP(E455,Assumptions!$A$41:$B$43,2,0)</f>
        <v>100</v>
      </c>
      <c r="Q455" s="22" t="n">
        <f aca="false">L455*Assumptions!$B$7+M455*Assumptions!$B$8+N455*Assumptions!$B$9+O455*Assumptions!$B$10+P455*Assumptions!$B$11</f>
        <v>62.90625</v>
      </c>
      <c r="R455" s="11" t="str">
        <f aca="false">IF(Q455&lt;=33,"High Risk",IF(Q455&lt;=66,"Medium Risk","Low Risk"))</f>
        <v>Medium Risk</v>
      </c>
    </row>
    <row r="456" customFormat="false" ht="15" hidden="false" customHeight="true" outlineLevel="0" collapsed="false">
      <c r="A456" s="20" t="n">
        <f aca="false">'Raw Data'!A456</f>
        <v>455</v>
      </c>
      <c r="B456" s="20" t="n">
        <f aca="false">'Raw Data'!B456</f>
        <v>31</v>
      </c>
      <c r="C456" s="20" t="str">
        <f aca="false">'Raw Data'!C456</f>
        <v>male</v>
      </c>
      <c r="D456" s="20" t="n">
        <f aca="false">'Raw Data'!D456</f>
        <v>2</v>
      </c>
      <c r="E456" s="20" t="str">
        <f aca="false">'Raw Data'!E456</f>
        <v>own</v>
      </c>
      <c r="F456" s="20" t="str">
        <f aca="false">'Raw Data'!F456</f>
        <v>little</v>
      </c>
      <c r="G456" s="20" t="str">
        <f aca="false">'Raw Data'!G456</f>
        <v>little</v>
      </c>
      <c r="H456" s="20" t="n">
        <f aca="false">'Raw Data'!H456</f>
        <v>4817</v>
      </c>
      <c r="I456" s="20" t="n">
        <f aca="false">'Raw Data'!I456</f>
        <v>24</v>
      </c>
      <c r="J456" s="20" t="str">
        <f aca="false">'Raw Data'!J456</f>
        <v>car</v>
      </c>
      <c r="K456" s="21" t="n">
        <f aca="false">H456/I456</f>
        <v>200.708333333333</v>
      </c>
      <c r="L456" s="21" t="n">
        <f aca="false">100-MIN(K456/Assumptions!$B$14,1)*100</f>
        <v>49.8229166666667</v>
      </c>
      <c r="M456" s="21" t="n">
        <f aca="false">VLOOKUP(F456,Assumptions!$A$19:$B$23,2,0)</f>
        <v>25</v>
      </c>
      <c r="N456" s="21" t="n">
        <f aca="false">VLOOKUP(G456,Assumptions!$A$27:$B$30,2,0)</f>
        <v>25</v>
      </c>
      <c r="O456" s="21" t="n">
        <f aca="false">VLOOKUP(D456,Assumptions!$A$34:$B$37,2,0)</f>
        <v>66</v>
      </c>
      <c r="P456" s="21" t="n">
        <f aca="false">VLOOKUP(E456,Assumptions!$A$41:$B$43,2,0)</f>
        <v>100</v>
      </c>
      <c r="Q456" s="22" t="n">
        <f aca="false">L456*Assumptions!$B$7+M456*Assumptions!$B$8+N456*Assumptions!$B$9+O456*Assumptions!$B$10+P456*Assumptions!$B$11</f>
        <v>46.096875</v>
      </c>
      <c r="R456" s="11" t="str">
        <f aca="false">IF(Q456&lt;=33,"High Risk",IF(Q456&lt;=66,"Medium Risk","Low Risk"))</f>
        <v>Medium Risk</v>
      </c>
    </row>
    <row r="457" customFormat="false" ht="15" hidden="false" customHeight="true" outlineLevel="0" collapsed="false">
      <c r="A457" s="20" t="n">
        <f aca="false">'Raw Data'!A457</f>
        <v>456</v>
      </c>
      <c r="B457" s="20" t="n">
        <f aca="false">'Raw Data'!B457</f>
        <v>29</v>
      </c>
      <c r="C457" s="20" t="str">
        <f aca="false">'Raw Data'!C457</f>
        <v>female</v>
      </c>
      <c r="D457" s="20" t="n">
        <f aca="false">'Raw Data'!D457</f>
        <v>3</v>
      </c>
      <c r="E457" s="20" t="str">
        <f aca="false">'Raw Data'!E457</f>
        <v>own</v>
      </c>
      <c r="F457" s="20" t="str">
        <f aca="false">'Raw Data'!F457</f>
        <v>little</v>
      </c>
      <c r="G457" s="20" t="str">
        <f aca="false">'Raw Data'!G457</f>
        <v>none</v>
      </c>
      <c r="H457" s="20" t="n">
        <f aca="false">'Raw Data'!H457</f>
        <v>2679</v>
      </c>
      <c r="I457" s="20" t="n">
        <f aca="false">'Raw Data'!I457</f>
        <v>24</v>
      </c>
      <c r="J457" s="20" t="str">
        <f aca="false">'Raw Data'!J457</f>
        <v>car</v>
      </c>
      <c r="K457" s="21" t="n">
        <f aca="false">H457/I457</f>
        <v>111.625</v>
      </c>
      <c r="L457" s="21" t="n">
        <f aca="false">100-MIN(K457/Assumptions!$B$14,1)*100</f>
        <v>72.09375</v>
      </c>
      <c r="M457" s="21" t="n">
        <f aca="false">VLOOKUP(F457,Assumptions!$A$19:$B$23,2,0)</f>
        <v>25</v>
      </c>
      <c r="N457" s="21" t="n">
        <f aca="false">VLOOKUP(G457,Assumptions!$A$27:$B$30,2,0)</f>
        <v>50</v>
      </c>
      <c r="O457" s="21" t="n">
        <f aca="false">VLOOKUP(D457,Assumptions!$A$34:$B$37,2,0)</f>
        <v>100</v>
      </c>
      <c r="P457" s="21" t="n">
        <f aca="false">VLOOKUP(E457,Assumptions!$A$41:$B$43,2,0)</f>
        <v>100</v>
      </c>
      <c r="Q457" s="22" t="n">
        <f aca="false">L457*Assumptions!$B$7+M457*Assumptions!$B$8+N457*Assumptions!$B$9+O457*Assumptions!$B$10+P457*Assumptions!$B$11</f>
        <v>62.878125</v>
      </c>
      <c r="R457" s="11" t="str">
        <f aca="false">IF(Q457&lt;=33,"High Risk",IF(Q457&lt;=66,"Medium Risk","Low Risk"))</f>
        <v>Medium Risk</v>
      </c>
    </row>
    <row r="458" customFormat="false" ht="15" hidden="false" customHeight="true" outlineLevel="0" collapsed="false">
      <c r="A458" s="20" t="n">
        <f aca="false">'Raw Data'!A458</f>
        <v>457</v>
      </c>
      <c r="B458" s="20" t="n">
        <f aca="false">'Raw Data'!B458</f>
        <v>36</v>
      </c>
      <c r="C458" s="20" t="str">
        <f aca="false">'Raw Data'!C458</f>
        <v>male</v>
      </c>
      <c r="D458" s="20" t="n">
        <f aca="false">'Raw Data'!D458</f>
        <v>2</v>
      </c>
      <c r="E458" s="20" t="str">
        <f aca="false">'Raw Data'!E458</f>
        <v>rent</v>
      </c>
      <c r="F458" s="20" t="str">
        <f aca="false">'Raw Data'!F458</f>
        <v>little</v>
      </c>
      <c r="G458" s="20" t="str">
        <f aca="false">'Raw Data'!G458</f>
        <v>little</v>
      </c>
      <c r="H458" s="20" t="n">
        <f aca="false">'Raw Data'!H458</f>
        <v>3905</v>
      </c>
      <c r="I458" s="20" t="n">
        <f aca="false">'Raw Data'!I458</f>
        <v>11</v>
      </c>
      <c r="J458" s="20" t="str">
        <f aca="false">'Raw Data'!J458</f>
        <v>car</v>
      </c>
      <c r="K458" s="21" t="n">
        <f aca="false">H458/I458</f>
        <v>355</v>
      </c>
      <c r="L458" s="21" t="n">
        <f aca="false">100-MIN(K458/Assumptions!$B$14,1)*100</f>
        <v>11.25</v>
      </c>
      <c r="M458" s="21" t="n">
        <f aca="false">VLOOKUP(F458,Assumptions!$A$19:$B$23,2,0)</f>
        <v>25</v>
      </c>
      <c r="N458" s="21" t="n">
        <f aca="false">VLOOKUP(G458,Assumptions!$A$27:$B$30,2,0)</f>
        <v>25</v>
      </c>
      <c r="O458" s="21" t="n">
        <f aca="false">VLOOKUP(D458,Assumptions!$A$34:$B$37,2,0)</f>
        <v>66</v>
      </c>
      <c r="P458" s="21" t="n">
        <f aca="false">VLOOKUP(E458,Assumptions!$A$41:$B$43,2,0)</f>
        <v>30</v>
      </c>
      <c r="Q458" s="22" t="n">
        <f aca="false">L458*Assumptions!$B$7+M458*Assumptions!$B$8+N458*Assumptions!$B$9+O458*Assumptions!$B$10+P458*Assumptions!$B$11</f>
        <v>27.525</v>
      </c>
      <c r="R458" s="11" t="str">
        <f aca="false">IF(Q458&lt;=33,"High Risk",IF(Q458&lt;=66,"Medium Risk","Low Risk"))</f>
        <v>High Risk</v>
      </c>
    </row>
    <row r="459" customFormat="false" ht="15" hidden="false" customHeight="true" outlineLevel="0" collapsed="false">
      <c r="A459" s="20" t="n">
        <f aca="false">'Raw Data'!A459</f>
        <v>458</v>
      </c>
      <c r="B459" s="20" t="n">
        <f aca="false">'Raw Data'!B459</f>
        <v>35</v>
      </c>
      <c r="C459" s="20" t="str">
        <f aca="false">'Raw Data'!C459</f>
        <v>male</v>
      </c>
      <c r="D459" s="20" t="n">
        <f aca="false">'Raw Data'!D459</f>
        <v>2</v>
      </c>
      <c r="E459" s="20" t="str">
        <f aca="false">'Raw Data'!E459</f>
        <v>free</v>
      </c>
      <c r="F459" s="20" t="str">
        <f aca="false">'Raw Data'!F459</f>
        <v>little</v>
      </c>
      <c r="G459" s="20" t="str">
        <f aca="false">'Raw Data'!G459</f>
        <v>little</v>
      </c>
      <c r="H459" s="20" t="n">
        <f aca="false">'Raw Data'!H459</f>
        <v>3386</v>
      </c>
      <c r="I459" s="20" t="n">
        <f aca="false">'Raw Data'!I459</f>
        <v>12</v>
      </c>
      <c r="J459" s="20" t="str">
        <f aca="false">'Raw Data'!J459</f>
        <v>car</v>
      </c>
      <c r="K459" s="21" t="n">
        <f aca="false">H459/I459</f>
        <v>282.166666666667</v>
      </c>
      <c r="L459" s="21" t="n">
        <f aca="false">100-MIN(K459/Assumptions!$B$14,1)*100</f>
        <v>29.4583333333333</v>
      </c>
      <c r="M459" s="21" t="n">
        <f aca="false">VLOOKUP(F459,Assumptions!$A$19:$B$23,2,0)</f>
        <v>25</v>
      </c>
      <c r="N459" s="21" t="n">
        <f aca="false">VLOOKUP(G459,Assumptions!$A$27:$B$30,2,0)</f>
        <v>25</v>
      </c>
      <c r="O459" s="21" t="n">
        <f aca="false">VLOOKUP(D459,Assumptions!$A$34:$B$37,2,0)</f>
        <v>66</v>
      </c>
      <c r="P459" s="21" t="n">
        <f aca="false">VLOOKUP(E459,Assumptions!$A$41:$B$43,2,0)</f>
        <v>60</v>
      </c>
      <c r="Q459" s="22" t="n">
        <f aca="false">L459*Assumptions!$B$7+M459*Assumptions!$B$8+N459*Assumptions!$B$9+O459*Assumptions!$B$10+P459*Assumptions!$B$11</f>
        <v>35.9875</v>
      </c>
      <c r="R459" s="11" t="str">
        <f aca="false">IF(Q459&lt;=33,"High Risk",IF(Q459&lt;=66,"Medium Risk","Low Risk"))</f>
        <v>Medium Risk</v>
      </c>
    </row>
    <row r="460" customFormat="false" ht="15" hidden="false" customHeight="true" outlineLevel="0" collapsed="false">
      <c r="A460" s="20" t="n">
        <f aca="false">'Raw Data'!A460</f>
        <v>459</v>
      </c>
      <c r="B460" s="20" t="n">
        <f aca="false">'Raw Data'!B460</f>
        <v>27</v>
      </c>
      <c r="C460" s="20" t="str">
        <f aca="false">'Raw Data'!C460</f>
        <v>female</v>
      </c>
      <c r="D460" s="20" t="n">
        <f aca="false">'Raw Data'!D460</f>
        <v>2</v>
      </c>
      <c r="E460" s="20" t="str">
        <f aca="false">'Raw Data'!E460</f>
        <v>own</v>
      </c>
      <c r="F460" s="20" t="str">
        <f aca="false">'Raw Data'!F460</f>
        <v>little</v>
      </c>
      <c r="G460" s="20" t="str">
        <f aca="false">'Raw Data'!G460</f>
        <v>little</v>
      </c>
      <c r="H460" s="20" t="n">
        <f aca="false">'Raw Data'!H460</f>
        <v>343</v>
      </c>
      <c r="I460" s="20" t="n">
        <f aca="false">'Raw Data'!I460</f>
        <v>6</v>
      </c>
      <c r="J460" s="20" t="str">
        <f aca="false">'Raw Data'!J460</f>
        <v>domestic appliances</v>
      </c>
      <c r="K460" s="21" t="n">
        <f aca="false">H460/I460</f>
        <v>57.1666666666667</v>
      </c>
      <c r="L460" s="21" t="n">
        <f aca="false">100-MIN(K460/Assumptions!$B$14,1)*100</f>
        <v>85.7083333333333</v>
      </c>
      <c r="M460" s="21" t="n">
        <f aca="false">VLOOKUP(F460,Assumptions!$A$19:$B$23,2,0)</f>
        <v>25</v>
      </c>
      <c r="N460" s="21" t="n">
        <f aca="false">VLOOKUP(G460,Assumptions!$A$27:$B$30,2,0)</f>
        <v>25</v>
      </c>
      <c r="O460" s="21" t="n">
        <f aca="false">VLOOKUP(D460,Assumptions!$A$34:$B$37,2,0)</f>
        <v>66</v>
      </c>
      <c r="P460" s="21" t="n">
        <f aca="false">VLOOKUP(E460,Assumptions!$A$41:$B$43,2,0)</f>
        <v>100</v>
      </c>
      <c r="Q460" s="22" t="n">
        <f aca="false">L460*Assumptions!$B$7+M460*Assumptions!$B$8+N460*Assumptions!$B$9+O460*Assumptions!$B$10+P460*Assumptions!$B$11</f>
        <v>56.8625</v>
      </c>
      <c r="R460" s="11" t="str">
        <f aca="false">IF(Q460&lt;=33,"High Risk",IF(Q460&lt;=66,"Medium Risk","Low Risk"))</f>
        <v>Medium Risk</v>
      </c>
    </row>
    <row r="461" customFormat="false" ht="15" hidden="false" customHeight="true" outlineLevel="0" collapsed="false">
      <c r="A461" s="20" t="n">
        <f aca="false">'Raw Data'!A461</f>
        <v>460</v>
      </c>
      <c r="B461" s="20" t="n">
        <f aca="false">'Raw Data'!B461</f>
        <v>32</v>
      </c>
      <c r="C461" s="20" t="str">
        <f aca="false">'Raw Data'!C461</f>
        <v>male</v>
      </c>
      <c r="D461" s="20" t="n">
        <f aca="false">'Raw Data'!D461</f>
        <v>2</v>
      </c>
      <c r="E461" s="20" t="str">
        <f aca="false">'Raw Data'!E461</f>
        <v>own</v>
      </c>
      <c r="F461" s="20" t="str">
        <f aca="false">'Raw Data'!F461</f>
        <v>little</v>
      </c>
      <c r="G461" s="20" t="str">
        <f aca="false">'Raw Data'!G461</f>
        <v>none</v>
      </c>
      <c r="H461" s="20" t="n">
        <f aca="false">'Raw Data'!H461</f>
        <v>4594</v>
      </c>
      <c r="I461" s="20" t="n">
        <f aca="false">'Raw Data'!I461</f>
        <v>18</v>
      </c>
      <c r="J461" s="20" t="str">
        <f aca="false">'Raw Data'!J461</f>
        <v>radio/TV</v>
      </c>
      <c r="K461" s="21" t="n">
        <f aca="false">H461/I461</f>
        <v>255.222222222222</v>
      </c>
      <c r="L461" s="21" t="n">
        <f aca="false">100-MIN(K461/Assumptions!$B$14,1)*100</f>
        <v>36.1944444444444</v>
      </c>
      <c r="M461" s="21" t="n">
        <f aca="false">VLOOKUP(F461,Assumptions!$A$19:$B$23,2,0)</f>
        <v>25</v>
      </c>
      <c r="N461" s="21" t="n">
        <f aca="false">VLOOKUP(G461,Assumptions!$A$27:$B$30,2,0)</f>
        <v>50</v>
      </c>
      <c r="O461" s="21" t="n">
        <f aca="false">VLOOKUP(D461,Assumptions!$A$34:$B$37,2,0)</f>
        <v>66</v>
      </c>
      <c r="P461" s="21" t="n">
        <f aca="false">VLOOKUP(E461,Assumptions!$A$41:$B$43,2,0)</f>
        <v>100</v>
      </c>
      <c r="Q461" s="22" t="n">
        <f aca="false">L461*Assumptions!$B$7+M461*Assumptions!$B$8+N461*Assumptions!$B$9+O461*Assumptions!$B$10+P461*Assumptions!$B$11</f>
        <v>47.0083333333333</v>
      </c>
      <c r="R461" s="11" t="str">
        <f aca="false">IF(Q461&lt;=33,"High Risk",IF(Q461&lt;=66,"Medium Risk","Low Risk"))</f>
        <v>Medium Risk</v>
      </c>
    </row>
    <row r="462" customFormat="false" ht="15" hidden="false" customHeight="true" outlineLevel="0" collapsed="false">
      <c r="A462" s="20" t="n">
        <f aca="false">'Raw Data'!A462</f>
        <v>461</v>
      </c>
      <c r="B462" s="20" t="n">
        <f aca="false">'Raw Data'!B462</f>
        <v>37</v>
      </c>
      <c r="C462" s="20" t="str">
        <f aca="false">'Raw Data'!C462</f>
        <v>male</v>
      </c>
      <c r="D462" s="20" t="n">
        <f aca="false">'Raw Data'!D462</f>
        <v>2</v>
      </c>
      <c r="E462" s="20" t="str">
        <f aca="false">'Raw Data'!E462</f>
        <v>own</v>
      </c>
      <c r="F462" s="20" t="str">
        <f aca="false">'Raw Data'!F462</f>
        <v>little</v>
      </c>
      <c r="G462" s="20" t="str">
        <f aca="false">'Raw Data'!G462</f>
        <v>little</v>
      </c>
      <c r="H462" s="20" t="n">
        <f aca="false">'Raw Data'!H462</f>
        <v>3620</v>
      </c>
      <c r="I462" s="20" t="n">
        <f aca="false">'Raw Data'!I462</f>
        <v>36</v>
      </c>
      <c r="J462" s="20" t="str">
        <f aca="false">'Raw Data'!J462</f>
        <v>furniture/equipment</v>
      </c>
      <c r="K462" s="21" t="n">
        <f aca="false">H462/I462</f>
        <v>100.555555555556</v>
      </c>
      <c r="L462" s="21" t="n">
        <f aca="false">100-MIN(K462/Assumptions!$B$14,1)*100</f>
        <v>74.8611111111111</v>
      </c>
      <c r="M462" s="21" t="n">
        <f aca="false">VLOOKUP(F462,Assumptions!$A$19:$B$23,2,0)</f>
        <v>25</v>
      </c>
      <c r="N462" s="21" t="n">
        <f aca="false">VLOOKUP(G462,Assumptions!$A$27:$B$30,2,0)</f>
        <v>25</v>
      </c>
      <c r="O462" s="21" t="n">
        <f aca="false">VLOOKUP(D462,Assumptions!$A$34:$B$37,2,0)</f>
        <v>66</v>
      </c>
      <c r="P462" s="21" t="n">
        <f aca="false">VLOOKUP(E462,Assumptions!$A$41:$B$43,2,0)</f>
        <v>100</v>
      </c>
      <c r="Q462" s="22" t="n">
        <f aca="false">L462*Assumptions!$B$7+M462*Assumptions!$B$8+N462*Assumptions!$B$9+O462*Assumptions!$B$10+P462*Assumptions!$B$11</f>
        <v>53.6083333333333</v>
      </c>
      <c r="R462" s="11" t="str">
        <f aca="false">IF(Q462&lt;=33,"High Risk",IF(Q462&lt;=66,"Medium Risk","Low Risk"))</f>
        <v>Medium Risk</v>
      </c>
    </row>
    <row r="463" customFormat="false" ht="15" hidden="false" customHeight="true" outlineLevel="0" collapsed="false">
      <c r="A463" s="20" t="n">
        <f aca="false">'Raw Data'!A463</f>
        <v>462</v>
      </c>
      <c r="B463" s="20" t="n">
        <f aca="false">'Raw Data'!B463</f>
        <v>36</v>
      </c>
      <c r="C463" s="20" t="str">
        <f aca="false">'Raw Data'!C463</f>
        <v>male</v>
      </c>
      <c r="D463" s="20" t="n">
        <f aca="false">'Raw Data'!D463</f>
        <v>2</v>
      </c>
      <c r="E463" s="20" t="str">
        <f aca="false">'Raw Data'!E463</f>
        <v>own</v>
      </c>
      <c r="F463" s="20" t="str">
        <f aca="false">'Raw Data'!F463</f>
        <v>little</v>
      </c>
      <c r="G463" s="20" t="str">
        <f aca="false">'Raw Data'!G463</f>
        <v>little</v>
      </c>
      <c r="H463" s="20" t="n">
        <f aca="false">'Raw Data'!H463</f>
        <v>1721</v>
      </c>
      <c r="I463" s="20" t="n">
        <f aca="false">'Raw Data'!I463</f>
        <v>15</v>
      </c>
      <c r="J463" s="20" t="str">
        <f aca="false">'Raw Data'!J463</f>
        <v>car</v>
      </c>
      <c r="K463" s="21" t="n">
        <f aca="false">H463/I463</f>
        <v>114.733333333333</v>
      </c>
      <c r="L463" s="21" t="n">
        <f aca="false">100-MIN(K463/Assumptions!$B$14,1)*100</f>
        <v>71.3166666666667</v>
      </c>
      <c r="M463" s="21" t="n">
        <f aca="false">VLOOKUP(F463,Assumptions!$A$19:$B$23,2,0)</f>
        <v>25</v>
      </c>
      <c r="N463" s="21" t="n">
        <f aca="false">VLOOKUP(G463,Assumptions!$A$27:$B$30,2,0)</f>
        <v>25</v>
      </c>
      <c r="O463" s="21" t="n">
        <f aca="false">VLOOKUP(D463,Assumptions!$A$34:$B$37,2,0)</f>
        <v>66</v>
      </c>
      <c r="P463" s="21" t="n">
        <f aca="false">VLOOKUP(E463,Assumptions!$A$41:$B$43,2,0)</f>
        <v>100</v>
      </c>
      <c r="Q463" s="22" t="n">
        <f aca="false">L463*Assumptions!$B$7+M463*Assumptions!$B$8+N463*Assumptions!$B$9+O463*Assumptions!$B$10+P463*Assumptions!$B$11</f>
        <v>52.545</v>
      </c>
      <c r="R463" s="11" t="str">
        <f aca="false">IF(Q463&lt;=33,"High Risk",IF(Q463&lt;=66,"Medium Risk","Low Risk"))</f>
        <v>Medium Risk</v>
      </c>
    </row>
    <row r="464" customFormat="false" ht="15" hidden="false" customHeight="true" outlineLevel="0" collapsed="false">
      <c r="A464" s="20" t="n">
        <f aca="false">'Raw Data'!A464</f>
        <v>463</v>
      </c>
      <c r="B464" s="20" t="n">
        <f aca="false">'Raw Data'!B464</f>
        <v>34</v>
      </c>
      <c r="C464" s="20" t="str">
        <f aca="false">'Raw Data'!C464</f>
        <v>female</v>
      </c>
      <c r="D464" s="20" t="n">
        <f aca="false">'Raw Data'!D464</f>
        <v>3</v>
      </c>
      <c r="E464" s="20" t="str">
        <f aca="false">'Raw Data'!E464</f>
        <v>rent</v>
      </c>
      <c r="F464" s="20" t="str">
        <f aca="false">'Raw Data'!F464</f>
        <v>little</v>
      </c>
      <c r="G464" s="20" t="str">
        <f aca="false">'Raw Data'!G464</f>
        <v>moderate</v>
      </c>
      <c r="H464" s="20" t="n">
        <f aca="false">'Raw Data'!H464</f>
        <v>3017</v>
      </c>
      <c r="I464" s="20" t="n">
        <f aca="false">'Raw Data'!I464</f>
        <v>12</v>
      </c>
      <c r="J464" s="20" t="str">
        <f aca="false">'Raw Data'!J464</f>
        <v>furniture/equipment</v>
      </c>
      <c r="K464" s="21" t="n">
        <f aca="false">H464/I464</f>
        <v>251.416666666667</v>
      </c>
      <c r="L464" s="21" t="n">
        <f aca="false">100-MIN(K464/Assumptions!$B$14,1)*100</f>
        <v>37.1458333333333</v>
      </c>
      <c r="M464" s="21" t="n">
        <f aca="false">VLOOKUP(F464,Assumptions!$A$19:$B$23,2,0)</f>
        <v>25</v>
      </c>
      <c r="N464" s="21" t="n">
        <f aca="false">VLOOKUP(G464,Assumptions!$A$27:$B$30,2,0)</f>
        <v>60</v>
      </c>
      <c r="O464" s="21" t="n">
        <f aca="false">VLOOKUP(D464,Assumptions!$A$34:$B$37,2,0)</f>
        <v>100</v>
      </c>
      <c r="P464" s="21" t="n">
        <f aca="false">VLOOKUP(E464,Assumptions!$A$41:$B$43,2,0)</f>
        <v>30</v>
      </c>
      <c r="Q464" s="22" t="n">
        <f aca="false">L464*Assumptions!$B$7+M464*Assumptions!$B$8+N464*Assumptions!$B$9+O464*Assumptions!$B$10+P464*Assumptions!$B$11</f>
        <v>47.39375</v>
      </c>
      <c r="R464" s="11" t="str">
        <f aca="false">IF(Q464&lt;=33,"High Risk",IF(Q464&lt;=66,"Medium Risk","Low Risk"))</f>
        <v>Medium Risk</v>
      </c>
    </row>
    <row r="465" customFormat="false" ht="15" hidden="false" customHeight="true" outlineLevel="0" collapsed="false">
      <c r="A465" s="20" t="n">
        <f aca="false">'Raw Data'!A465</f>
        <v>464</v>
      </c>
      <c r="B465" s="20" t="n">
        <f aca="false">'Raw Data'!B465</f>
        <v>38</v>
      </c>
      <c r="C465" s="20" t="str">
        <f aca="false">'Raw Data'!C465</f>
        <v>male</v>
      </c>
      <c r="D465" s="20" t="n">
        <f aca="false">'Raw Data'!D465</f>
        <v>2</v>
      </c>
      <c r="E465" s="20" t="str">
        <f aca="false">'Raw Data'!E465</f>
        <v>own</v>
      </c>
      <c r="F465" s="20" t="str">
        <f aca="false">'Raw Data'!F465</f>
        <v>none</v>
      </c>
      <c r="G465" s="20" t="str">
        <f aca="false">'Raw Data'!G465</f>
        <v>moderate</v>
      </c>
      <c r="H465" s="20" t="n">
        <f aca="false">'Raw Data'!H465</f>
        <v>754</v>
      </c>
      <c r="I465" s="20" t="n">
        <f aca="false">'Raw Data'!I465</f>
        <v>12</v>
      </c>
      <c r="J465" s="20" t="str">
        <f aca="false">'Raw Data'!J465</f>
        <v>education</v>
      </c>
      <c r="K465" s="21" t="n">
        <f aca="false">H465/I465</f>
        <v>62.8333333333333</v>
      </c>
      <c r="L465" s="21" t="n">
        <f aca="false">100-MIN(K465/Assumptions!$B$14,1)*100</f>
        <v>84.2916666666667</v>
      </c>
      <c r="M465" s="21" t="n">
        <f aca="false">VLOOKUP(F465,Assumptions!$A$19:$B$23,2,0)</f>
        <v>40</v>
      </c>
      <c r="N465" s="21" t="n">
        <f aca="false">VLOOKUP(G465,Assumptions!$A$27:$B$30,2,0)</f>
        <v>60</v>
      </c>
      <c r="O465" s="21" t="n">
        <f aca="false">VLOOKUP(D465,Assumptions!$A$34:$B$37,2,0)</f>
        <v>66</v>
      </c>
      <c r="P465" s="21" t="n">
        <f aca="false">VLOOKUP(E465,Assumptions!$A$41:$B$43,2,0)</f>
        <v>100</v>
      </c>
      <c r="Q465" s="22" t="n">
        <f aca="false">L465*Assumptions!$B$7+M465*Assumptions!$B$8+N465*Assumptions!$B$9+O465*Assumptions!$B$10+P465*Assumptions!$B$11</f>
        <v>67.1875</v>
      </c>
      <c r="R465" s="11" t="str">
        <f aca="false">IF(Q465&lt;=33,"High Risk",IF(Q465&lt;=66,"Medium Risk","Low Risk"))</f>
        <v>Low Risk</v>
      </c>
    </row>
    <row r="466" customFormat="false" ht="15" hidden="false" customHeight="true" outlineLevel="0" collapsed="false">
      <c r="A466" s="20" t="n">
        <f aca="false">'Raw Data'!A466</f>
        <v>465</v>
      </c>
      <c r="B466" s="20" t="n">
        <f aca="false">'Raw Data'!B466</f>
        <v>34</v>
      </c>
      <c r="C466" s="20" t="str">
        <f aca="false">'Raw Data'!C466</f>
        <v>male</v>
      </c>
      <c r="D466" s="20" t="n">
        <f aca="false">'Raw Data'!D466</f>
        <v>2</v>
      </c>
      <c r="E466" s="20" t="str">
        <f aca="false">'Raw Data'!E466</f>
        <v>own</v>
      </c>
      <c r="F466" s="20" t="str">
        <f aca="false">'Raw Data'!F466</f>
        <v>little</v>
      </c>
      <c r="G466" s="20" t="str">
        <f aca="false">'Raw Data'!G466</f>
        <v>none</v>
      </c>
      <c r="H466" s="20" t="n">
        <f aca="false">'Raw Data'!H466</f>
        <v>1950</v>
      </c>
      <c r="I466" s="20" t="n">
        <f aca="false">'Raw Data'!I466</f>
        <v>18</v>
      </c>
      <c r="J466" s="20" t="str">
        <f aca="false">'Raw Data'!J466</f>
        <v>business</v>
      </c>
      <c r="K466" s="21" t="n">
        <f aca="false">H466/I466</f>
        <v>108.333333333333</v>
      </c>
      <c r="L466" s="21" t="n">
        <f aca="false">100-MIN(K466/Assumptions!$B$14,1)*100</f>
        <v>72.9166666666667</v>
      </c>
      <c r="M466" s="21" t="n">
        <f aca="false">VLOOKUP(F466,Assumptions!$A$19:$B$23,2,0)</f>
        <v>25</v>
      </c>
      <c r="N466" s="21" t="n">
        <f aca="false">VLOOKUP(G466,Assumptions!$A$27:$B$30,2,0)</f>
        <v>50</v>
      </c>
      <c r="O466" s="21" t="n">
        <f aca="false">VLOOKUP(D466,Assumptions!$A$34:$B$37,2,0)</f>
        <v>66</v>
      </c>
      <c r="P466" s="21" t="n">
        <f aca="false">VLOOKUP(E466,Assumptions!$A$41:$B$43,2,0)</f>
        <v>100</v>
      </c>
      <c r="Q466" s="22" t="n">
        <f aca="false">L466*Assumptions!$B$7+M466*Assumptions!$B$8+N466*Assumptions!$B$9+O466*Assumptions!$B$10+P466*Assumptions!$B$11</f>
        <v>58.025</v>
      </c>
      <c r="R466" s="11" t="str">
        <f aca="false">IF(Q466&lt;=33,"High Risk",IF(Q466&lt;=66,"Medium Risk","Low Risk"))</f>
        <v>Medium Risk</v>
      </c>
    </row>
    <row r="467" customFormat="false" ht="15" hidden="false" customHeight="true" outlineLevel="0" collapsed="false">
      <c r="A467" s="20" t="n">
        <f aca="false">'Raw Data'!A467</f>
        <v>466</v>
      </c>
      <c r="B467" s="20" t="n">
        <f aca="false">'Raw Data'!B467</f>
        <v>63</v>
      </c>
      <c r="C467" s="20" t="str">
        <f aca="false">'Raw Data'!C467</f>
        <v>male</v>
      </c>
      <c r="D467" s="20" t="n">
        <f aca="false">'Raw Data'!D467</f>
        <v>2</v>
      </c>
      <c r="E467" s="20" t="str">
        <f aca="false">'Raw Data'!E467</f>
        <v>own</v>
      </c>
      <c r="F467" s="20" t="str">
        <f aca="false">'Raw Data'!F467</f>
        <v>little</v>
      </c>
      <c r="G467" s="20" t="str">
        <f aca="false">'Raw Data'!G467</f>
        <v>little</v>
      </c>
      <c r="H467" s="20" t="n">
        <f aca="false">'Raw Data'!H467</f>
        <v>2924</v>
      </c>
      <c r="I467" s="20" t="n">
        <f aca="false">'Raw Data'!I467</f>
        <v>24</v>
      </c>
      <c r="J467" s="20" t="str">
        <f aca="false">'Raw Data'!J467</f>
        <v>car</v>
      </c>
      <c r="K467" s="21" t="n">
        <f aca="false">H467/I467</f>
        <v>121.833333333333</v>
      </c>
      <c r="L467" s="21" t="n">
        <f aca="false">100-MIN(K467/Assumptions!$B$14,1)*100</f>
        <v>69.5416666666667</v>
      </c>
      <c r="M467" s="21" t="n">
        <f aca="false">VLOOKUP(F467,Assumptions!$A$19:$B$23,2,0)</f>
        <v>25</v>
      </c>
      <c r="N467" s="21" t="n">
        <f aca="false">VLOOKUP(G467,Assumptions!$A$27:$B$30,2,0)</f>
        <v>25</v>
      </c>
      <c r="O467" s="21" t="n">
        <f aca="false">VLOOKUP(D467,Assumptions!$A$34:$B$37,2,0)</f>
        <v>66</v>
      </c>
      <c r="P467" s="21" t="n">
        <f aca="false">VLOOKUP(E467,Assumptions!$A$41:$B$43,2,0)</f>
        <v>100</v>
      </c>
      <c r="Q467" s="22" t="n">
        <f aca="false">L467*Assumptions!$B$7+M467*Assumptions!$B$8+N467*Assumptions!$B$9+O467*Assumptions!$B$10+P467*Assumptions!$B$11</f>
        <v>52.0125</v>
      </c>
      <c r="R467" s="11" t="str">
        <f aca="false">IF(Q467&lt;=33,"High Risk",IF(Q467&lt;=66,"Medium Risk","Low Risk"))</f>
        <v>Medium Risk</v>
      </c>
    </row>
    <row r="468" customFormat="false" ht="15" hidden="false" customHeight="true" outlineLevel="0" collapsed="false">
      <c r="A468" s="20" t="n">
        <f aca="false">'Raw Data'!A468</f>
        <v>467</v>
      </c>
      <c r="B468" s="20" t="n">
        <f aca="false">'Raw Data'!B468</f>
        <v>29</v>
      </c>
      <c r="C468" s="20" t="str">
        <f aca="false">'Raw Data'!C468</f>
        <v>female</v>
      </c>
      <c r="D468" s="20" t="n">
        <f aca="false">'Raw Data'!D468</f>
        <v>1</v>
      </c>
      <c r="E468" s="20" t="str">
        <f aca="false">'Raw Data'!E468</f>
        <v>rent</v>
      </c>
      <c r="F468" s="20" t="str">
        <f aca="false">'Raw Data'!F468</f>
        <v>little</v>
      </c>
      <c r="G468" s="20" t="str">
        <f aca="false">'Raw Data'!G468</f>
        <v>little</v>
      </c>
      <c r="H468" s="20" t="n">
        <f aca="false">'Raw Data'!H468</f>
        <v>1659</v>
      </c>
      <c r="I468" s="20" t="n">
        <f aca="false">'Raw Data'!I468</f>
        <v>24</v>
      </c>
      <c r="J468" s="20" t="str">
        <f aca="false">'Raw Data'!J468</f>
        <v>radio/TV</v>
      </c>
      <c r="K468" s="21" t="n">
        <f aca="false">H468/I468</f>
        <v>69.125</v>
      </c>
      <c r="L468" s="21" t="n">
        <f aca="false">100-MIN(K468/Assumptions!$B$14,1)*100</f>
        <v>82.71875</v>
      </c>
      <c r="M468" s="21" t="n">
        <f aca="false">VLOOKUP(F468,Assumptions!$A$19:$B$23,2,0)</f>
        <v>25</v>
      </c>
      <c r="N468" s="21" t="n">
        <f aca="false">VLOOKUP(G468,Assumptions!$A$27:$B$30,2,0)</f>
        <v>25</v>
      </c>
      <c r="O468" s="21" t="n">
        <f aca="false">VLOOKUP(D468,Assumptions!$A$34:$B$37,2,0)</f>
        <v>33</v>
      </c>
      <c r="P468" s="21" t="n">
        <f aca="false">VLOOKUP(E468,Assumptions!$A$41:$B$43,2,0)</f>
        <v>30</v>
      </c>
      <c r="Q468" s="22" t="n">
        <f aca="false">L468*Assumptions!$B$7+M468*Assumptions!$B$8+N468*Assumptions!$B$9+O468*Assumptions!$B$10+P468*Assumptions!$B$11</f>
        <v>44.015625</v>
      </c>
      <c r="R468" s="11" t="str">
        <f aca="false">IF(Q468&lt;=33,"High Risk",IF(Q468&lt;=66,"Medium Risk","Low Risk"))</f>
        <v>Medium Risk</v>
      </c>
    </row>
    <row r="469" customFormat="false" ht="15" hidden="false" customHeight="true" outlineLevel="0" collapsed="false">
      <c r="A469" s="20" t="n">
        <f aca="false">'Raw Data'!A469</f>
        <v>468</v>
      </c>
      <c r="B469" s="20" t="n">
        <f aca="false">'Raw Data'!B469</f>
        <v>32</v>
      </c>
      <c r="C469" s="20" t="str">
        <f aca="false">'Raw Data'!C469</f>
        <v>male</v>
      </c>
      <c r="D469" s="20" t="n">
        <f aca="false">'Raw Data'!D469</f>
        <v>2</v>
      </c>
      <c r="E469" s="20" t="str">
        <f aca="false">'Raw Data'!E469</f>
        <v>own</v>
      </c>
      <c r="F469" s="20" t="str">
        <f aca="false">'Raw Data'!F469</f>
        <v>none</v>
      </c>
      <c r="G469" s="20" t="str">
        <f aca="false">'Raw Data'!G469</f>
        <v>none</v>
      </c>
      <c r="H469" s="20" t="n">
        <f aca="false">'Raw Data'!H469</f>
        <v>7238</v>
      </c>
      <c r="I469" s="20" t="n">
        <f aca="false">'Raw Data'!I469</f>
        <v>48</v>
      </c>
      <c r="J469" s="20" t="str">
        <f aca="false">'Raw Data'!J469</f>
        <v>radio/TV</v>
      </c>
      <c r="K469" s="21" t="n">
        <f aca="false">H469/I469</f>
        <v>150.791666666667</v>
      </c>
      <c r="L469" s="21" t="n">
        <f aca="false">100-MIN(K469/Assumptions!$B$14,1)*100</f>
        <v>62.3020833333333</v>
      </c>
      <c r="M469" s="21" t="n">
        <f aca="false">VLOOKUP(F469,Assumptions!$A$19:$B$23,2,0)</f>
        <v>40</v>
      </c>
      <c r="N469" s="21" t="n">
        <f aca="false">VLOOKUP(G469,Assumptions!$A$27:$B$30,2,0)</f>
        <v>50</v>
      </c>
      <c r="O469" s="21" t="n">
        <f aca="false">VLOOKUP(D469,Assumptions!$A$34:$B$37,2,0)</f>
        <v>66</v>
      </c>
      <c r="P469" s="21" t="n">
        <f aca="false">VLOOKUP(E469,Assumptions!$A$41:$B$43,2,0)</f>
        <v>100</v>
      </c>
      <c r="Q469" s="22" t="n">
        <f aca="false">L469*Assumptions!$B$7+M469*Assumptions!$B$8+N469*Assumptions!$B$9+O469*Assumptions!$B$10+P469*Assumptions!$B$11</f>
        <v>58.590625</v>
      </c>
      <c r="R469" s="11" t="str">
        <f aca="false">IF(Q469&lt;=33,"High Risk",IF(Q469&lt;=66,"Medium Risk","Low Risk"))</f>
        <v>Medium Risk</v>
      </c>
    </row>
    <row r="470" customFormat="false" ht="15" hidden="false" customHeight="true" outlineLevel="0" collapsed="false">
      <c r="A470" s="20" t="n">
        <f aca="false">'Raw Data'!A470</f>
        <v>469</v>
      </c>
      <c r="B470" s="20" t="n">
        <f aca="false">'Raw Data'!B470</f>
        <v>26</v>
      </c>
      <c r="C470" s="20" t="str">
        <f aca="false">'Raw Data'!C470</f>
        <v>female</v>
      </c>
      <c r="D470" s="20" t="n">
        <f aca="false">'Raw Data'!D470</f>
        <v>2</v>
      </c>
      <c r="E470" s="20" t="str">
        <f aca="false">'Raw Data'!E470</f>
        <v>own</v>
      </c>
      <c r="F470" s="20" t="str">
        <f aca="false">'Raw Data'!F470</f>
        <v>little</v>
      </c>
      <c r="G470" s="20" t="str">
        <f aca="false">'Raw Data'!G470</f>
        <v>none</v>
      </c>
      <c r="H470" s="20" t="n">
        <f aca="false">'Raw Data'!H470</f>
        <v>2764</v>
      </c>
      <c r="I470" s="20" t="n">
        <f aca="false">'Raw Data'!I470</f>
        <v>33</v>
      </c>
      <c r="J470" s="20" t="str">
        <f aca="false">'Raw Data'!J470</f>
        <v>business</v>
      </c>
      <c r="K470" s="21" t="n">
        <f aca="false">H470/I470</f>
        <v>83.7575757575758</v>
      </c>
      <c r="L470" s="21" t="n">
        <f aca="false">100-MIN(K470/Assumptions!$B$14,1)*100</f>
        <v>79.0606060606061</v>
      </c>
      <c r="M470" s="21" t="n">
        <f aca="false">VLOOKUP(F470,Assumptions!$A$19:$B$23,2,0)</f>
        <v>25</v>
      </c>
      <c r="N470" s="21" t="n">
        <f aca="false">VLOOKUP(G470,Assumptions!$A$27:$B$30,2,0)</f>
        <v>50</v>
      </c>
      <c r="O470" s="21" t="n">
        <f aca="false">VLOOKUP(D470,Assumptions!$A$34:$B$37,2,0)</f>
        <v>66</v>
      </c>
      <c r="P470" s="21" t="n">
        <f aca="false">VLOOKUP(E470,Assumptions!$A$41:$B$43,2,0)</f>
        <v>100</v>
      </c>
      <c r="Q470" s="22" t="n">
        <f aca="false">L470*Assumptions!$B$7+M470*Assumptions!$B$8+N470*Assumptions!$B$9+O470*Assumptions!$B$10+P470*Assumptions!$B$11</f>
        <v>59.8681818181818</v>
      </c>
      <c r="R470" s="11" t="str">
        <f aca="false">IF(Q470&lt;=33,"High Risk",IF(Q470&lt;=66,"Medium Risk","Low Risk"))</f>
        <v>Medium Risk</v>
      </c>
    </row>
    <row r="471" customFormat="false" ht="15" hidden="false" customHeight="true" outlineLevel="0" collapsed="false">
      <c r="A471" s="20" t="n">
        <f aca="false">'Raw Data'!A471</f>
        <v>470</v>
      </c>
      <c r="B471" s="20" t="n">
        <f aca="false">'Raw Data'!B471</f>
        <v>35</v>
      </c>
      <c r="C471" s="20" t="str">
        <f aca="false">'Raw Data'!C471</f>
        <v>male</v>
      </c>
      <c r="D471" s="20" t="n">
        <f aca="false">'Raw Data'!D471</f>
        <v>1</v>
      </c>
      <c r="E471" s="20" t="str">
        <f aca="false">'Raw Data'!E471</f>
        <v>own</v>
      </c>
      <c r="F471" s="20" t="str">
        <f aca="false">'Raw Data'!F471</f>
        <v>little</v>
      </c>
      <c r="G471" s="20" t="str">
        <f aca="false">'Raw Data'!G471</f>
        <v>none</v>
      </c>
      <c r="H471" s="20" t="n">
        <f aca="false">'Raw Data'!H471</f>
        <v>4679</v>
      </c>
      <c r="I471" s="20" t="n">
        <f aca="false">'Raw Data'!I471</f>
        <v>24</v>
      </c>
      <c r="J471" s="20" t="str">
        <f aca="false">'Raw Data'!J471</f>
        <v>car</v>
      </c>
      <c r="K471" s="21" t="n">
        <f aca="false">H471/I471</f>
        <v>194.958333333333</v>
      </c>
      <c r="L471" s="21" t="n">
        <f aca="false">100-MIN(K471/Assumptions!$B$14,1)*100</f>
        <v>51.2604166666667</v>
      </c>
      <c r="M471" s="21" t="n">
        <f aca="false">VLOOKUP(F471,Assumptions!$A$19:$B$23,2,0)</f>
        <v>25</v>
      </c>
      <c r="N471" s="21" t="n">
        <f aca="false">VLOOKUP(G471,Assumptions!$A$27:$B$30,2,0)</f>
        <v>50</v>
      </c>
      <c r="O471" s="21" t="n">
        <f aca="false">VLOOKUP(D471,Assumptions!$A$34:$B$37,2,0)</f>
        <v>33</v>
      </c>
      <c r="P471" s="21" t="n">
        <f aca="false">VLOOKUP(E471,Assumptions!$A$41:$B$43,2,0)</f>
        <v>100</v>
      </c>
      <c r="Q471" s="22" t="n">
        <f aca="false">L471*Assumptions!$B$7+M471*Assumptions!$B$8+N471*Assumptions!$B$9+O471*Assumptions!$B$10+P471*Assumptions!$B$11</f>
        <v>46.578125</v>
      </c>
      <c r="R471" s="11" t="str">
        <f aca="false">IF(Q471&lt;=33,"High Risk",IF(Q471&lt;=66,"Medium Risk","Low Risk"))</f>
        <v>Medium Risk</v>
      </c>
    </row>
    <row r="472" customFormat="false" ht="15" hidden="false" customHeight="true" outlineLevel="0" collapsed="false">
      <c r="A472" s="20" t="n">
        <f aca="false">'Raw Data'!A472</f>
        <v>471</v>
      </c>
      <c r="B472" s="20" t="n">
        <f aca="false">'Raw Data'!B472</f>
        <v>22</v>
      </c>
      <c r="C472" s="20" t="str">
        <f aca="false">'Raw Data'!C472</f>
        <v>male</v>
      </c>
      <c r="D472" s="20" t="n">
        <f aca="false">'Raw Data'!D472</f>
        <v>2</v>
      </c>
      <c r="E472" s="20" t="str">
        <f aca="false">'Raw Data'!E472</f>
        <v>rent</v>
      </c>
      <c r="F472" s="20" t="str">
        <f aca="false">'Raw Data'!F472</f>
        <v>moderate</v>
      </c>
      <c r="G472" s="20" t="str">
        <f aca="false">'Raw Data'!G472</f>
        <v>moderate</v>
      </c>
      <c r="H472" s="20" t="n">
        <f aca="false">'Raw Data'!H472</f>
        <v>3092</v>
      </c>
      <c r="I472" s="20" t="n">
        <f aca="false">'Raw Data'!I472</f>
        <v>24</v>
      </c>
      <c r="J472" s="20" t="str">
        <f aca="false">'Raw Data'!J472</f>
        <v>radio/TV</v>
      </c>
      <c r="K472" s="21" t="n">
        <f aca="false">H472/I472</f>
        <v>128.833333333333</v>
      </c>
      <c r="L472" s="21" t="n">
        <f aca="false">100-MIN(K472/Assumptions!$B$14,1)*100</f>
        <v>67.7916666666667</v>
      </c>
      <c r="M472" s="21" t="n">
        <f aca="false">VLOOKUP(F472,Assumptions!$A$19:$B$23,2,0)</f>
        <v>50</v>
      </c>
      <c r="N472" s="21" t="n">
        <f aca="false">VLOOKUP(G472,Assumptions!$A$27:$B$30,2,0)</f>
        <v>60</v>
      </c>
      <c r="O472" s="21" t="n">
        <f aca="false">VLOOKUP(D472,Assumptions!$A$34:$B$37,2,0)</f>
        <v>66</v>
      </c>
      <c r="P472" s="21" t="n">
        <f aca="false">VLOOKUP(E472,Assumptions!$A$41:$B$43,2,0)</f>
        <v>30</v>
      </c>
      <c r="Q472" s="22" t="n">
        <f aca="false">L472*Assumptions!$B$7+M472*Assumptions!$B$8+N472*Assumptions!$B$9+O472*Assumptions!$B$10+P472*Assumptions!$B$11</f>
        <v>57.7375</v>
      </c>
      <c r="R472" s="11" t="str">
        <f aca="false">IF(Q472&lt;=33,"High Risk",IF(Q472&lt;=66,"Medium Risk","Low Risk"))</f>
        <v>Medium Risk</v>
      </c>
    </row>
    <row r="473" customFormat="false" ht="15" hidden="false" customHeight="true" outlineLevel="0" collapsed="false">
      <c r="A473" s="20" t="n">
        <f aca="false">'Raw Data'!A473</f>
        <v>472</v>
      </c>
      <c r="B473" s="20" t="n">
        <f aca="false">'Raw Data'!B473</f>
        <v>23</v>
      </c>
      <c r="C473" s="20" t="str">
        <f aca="false">'Raw Data'!C473</f>
        <v>female</v>
      </c>
      <c r="D473" s="20" t="n">
        <f aca="false">'Raw Data'!D473</f>
        <v>2</v>
      </c>
      <c r="E473" s="20" t="str">
        <f aca="false">'Raw Data'!E473</f>
        <v>own</v>
      </c>
      <c r="F473" s="20" t="str">
        <f aca="false">'Raw Data'!F473</f>
        <v>little</v>
      </c>
      <c r="G473" s="20" t="str">
        <f aca="false">'Raw Data'!G473</f>
        <v>little</v>
      </c>
      <c r="H473" s="20" t="n">
        <f aca="false">'Raw Data'!H473</f>
        <v>448</v>
      </c>
      <c r="I473" s="20" t="n">
        <f aca="false">'Raw Data'!I473</f>
        <v>6</v>
      </c>
      <c r="J473" s="20" t="str">
        <f aca="false">'Raw Data'!J473</f>
        <v>education</v>
      </c>
      <c r="K473" s="21" t="n">
        <f aca="false">H473/I473</f>
        <v>74.6666666666667</v>
      </c>
      <c r="L473" s="21" t="n">
        <f aca="false">100-MIN(K473/Assumptions!$B$14,1)*100</f>
        <v>81.3333333333333</v>
      </c>
      <c r="M473" s="21" t="n">
        <f aca="false">VLOOKUP(F473,Assumptions!$A$19:$B$23,2,0)</f>
        <v>25</v>
      </c>
      <c r="N473" s="21" t="n">
        <f aca="false">VLOOKUP(G473,Assumptions!$A$27:$B$30,2,0)</f>
        <v>25</v>
      </c>
      <c r="O473" s="21" t="n">
        <f aca="false">VLOOKUP(D473,Assumptions!$A$34:$B$37,2,0)</f>
        <v>66</v>
      </c>
      <c r="P473" s="21" t="n">
        <f aca="false">VLOOKUP(E473,Assumptions!$A$41:$B$43,2,0)</f>
        <v>100</v>
      </c>
      <c r="Q473" s="22" t="n">
        <f aca="false">L473*Assumptions!$B$7+M473*Assumptions!$B$8+N473*Assumptions!$B$9+O473*Assumptions!$B$10+P473*Assumptions!$B$11</f>
        <v>55.55</v>
      </c>
      <c r="R473" s="11" t="str">
        <f aca="false">IF(Q473&lt;=33,"High Risk",IF(Q473&lt;=66,"Medium Risk","Low Risk"))</f>
        <v>Medium Risk</v>
      </c>
    </row>
    <row r="474" customFormat="false" ht="15" hidden="false" customHeight="true" outlineLevel="0" collapsed="false">
      <c r="A474" s="20" t="n">
        <f aca="false">'Raw Data'!A474</f>
        <v>473</v>
      </c>
      <c r="B474" s="20" t="n">
        <f aca="false">'Raw Data'!B474</f>
        <v>28</v>
      </c>
      <c r="C474" s="20" t="str">
        <f aca="false">'Raw Data'!C474</f>
        <v>male</v>
      </c>
      <c r="D474" s="20" t="n">
        <f aca="false">'Raw Data'!D474</f>
        <v>1</v>
      </c>
      <c r="E474" s="20" t="str">
        <f aca="false">'Raw Data'!E474</f>
        <v>own</v>
      </c>
      <c r="F474" s="20" t="str">
        <f aca="false">'Raw Data'!F474</f>
        <v>little</v>
      </c>
      <c r="G474" s="20" t="str">
        <f aca="false">'Raw Data'!G474</f>
        <v>little</v>
      </c>
      <c r="H474" s="20" t="n">
        <f aca="false">'Raw Data'!H474</f>
        <v>654</v>
      </c>
      <c r="I474" s="20" t="n">
        <f aca="false">'Raw Data'!I474</f>
        <v>9</v>
      </c>
      <c r="J474" s="20" t="str">
        <f aca="false">'Raw Data'!J474</f>
        <v>car</v>
      </c>
      <c r="K474" s="21" t="n">
        <f aca="false">H474/I474</f>
        <v>72.6666666666667</v>
      </c>
      <c r="L474" s="21" t="n">
        <f aca="false">100-MIN(K474/Assumptions!$B$14,1)*100</f>
        <v>81.8333333333333</v>
      </c>
      <c r="M474" s="21" t="n">
        <f aca="false">VLOOKUP(F474,Assumptions!$A$19:$B$23,2,0)</f>
        <v>25</v>
      </c>
      <c r="N474" s="21" t="n">
        <f aca="false">VLOOKUP(G474,Assumptions!$A$27:$B$30,2,0)</f>
        <v>25</v>
      </c>
      <c r="O474" s="21" t="n">
        <f aca="false">VLOOKUP(D474,Assumptions!$A$34:$B$37,2,0)</f>
        <v>33</v>
      </c>
      <c r="P474" s="21" t="n">
        <f aca="false">VLOOKUP(E474,Assumptions!$A$41:$B$43,2,0)</f>
        <v>100</v>
      </c>
      <c r="Q474" s="22" t="n">
        <f aca="false">L474*Assumptions!$B$7+M474*Assumptions!$B$8+N474*Assumptions!$B$9+O474*Assumptions!$B$10+P474*Assumptions!$B$11</f>
        <v>50.75</v>
      </c>
      <c r="R474" s="11" t="str">
        <f aca="false">IF(Q474&lt;=33,"High Risk",IF(Q474&lt;=66,"Medium Risk","Low Risk"))</f>
        <v>Medium Risk</v>
      </c>
    </row>
    <row r="475" customFormat="false" ht="15" hidden="false" customHeight="true" outlineLevel="0" collapsed="false">
      <c r="A475" s="20" t="n">
        <f aca="false">'Raw Data'!A475</f>
        <v>474</v>
      </c>
      <c r="B475" s="20" t="n">
        <f aca="false">'Raw Data'!B475</f>
        <v>36</v>
      </c>
      <c r="C475" s="20" t="str">
        <f aca="false">'Raw Data'!C475</f>
        <v>male</v>
      </c>
      <c r="D475" s="20" t="n">
        <f aca="false">'Raw Data'!D475</f>
        <v>3</v>
      </c>
      <c r="E475" s="20" t="str">
        <f aca="false">'Raw Data'!E475</f>
        <v>own</v>
      </c>
      <c r="F475" s="20" t="str">
        <f aca="false">'Raw Data'!F475</f>
        <v>none</v>
      </c>
      <c r="G475" s="20" t="str">
        <f aca="false">'Raw Data'!G475</f>
        <v>none</v>
      </c>
      <c r="H475" s="20" t="n">
        <f aca="false">'Raw Data'!H475</f>
        <v>1238</v>
      </c>
      <c r="I475" s="20" t="n">
        <f aca="false">'Raw Data'!I475</f>
        <v>6</v>
      </c>
      <c r="J475" s="20" t="str">
        <f aca="false">'Raw Data'!J475</f>
        <v>education</v>
      </c>
      <c r="K475" s="21" t="n">
        <f aca="false">H475/I475</f>
        <v>206.333333333333</v>
      </c>
      <c r="L475" s="21" t="n">
        <f aca="false">100-MIN(K475/Assumptions!$B$14,1)*100</f>
        <v>48.4166666666667</v>
      </c>
      <c r="M475" s="21" t="n">
        <f aca="false">VLOOKUP(F475,Assumptions!$A$19:$B$23,2,0)</f>
        <v>40</v>
      </c>
      <c r="N475" s="21" t="n">
        <f aca="false">VLOOKUP(G475,Assumptions!$A$27:$B$30,2,0)</f>
        <v>50</v>
      </c>
      <c r="O475" s="21" t="n">
        <f aca="false">VLOOKUP(D475,Assumptions!$A$34:$B$37,2,0)</f>
        <v>100</v>
      </c>
      <c r="P475" s="21" t="n">
        <f aca="false">VLOOKUP(E475,Assumptions!$A$41:$B$43,2,0)</f>
        <v>100</v>
      </c>
      <c r="Q475" s="22" t="n">
        <f aca="false">L475*Assumptions!$B$7+M475*Assumptions!$B$8+N475*Assumptions!$B$9+O475*Assumptions!$B$10+P475*Assumptions!$B$11</f>
        <v>59.525</v>
      </c>
      <c r="R475" s="11" t="str">
        <f aca="false">IF(Q475&lt;=33,"High Risk",IF(Q475&lt;=66,"Medium Risk","Low Risk"))</f>
        <v>Medium Risk</v>
      </c>
    </row>
    <row r="476" customFormat="false" ht="15" hidden="false" customHeight="true" outlineLevel="0" collapsed="false">
      <c r="A476" s="20" t="n">
        <f aca="false">'Raw Data'!A476</f>
        <v>475</v>
      </c>
      <c r="B476" s="20" t="n">
        <f aca="false">'Raw Data'!B476</f>
        <v>33</v>
      </c>
      <c r="C476" s="20" t="str">
        <f aca="false">'Raw Data'!C476</f>
        <v>male</v>
      </c>
      <c r="D476" s="20" t="n">
        <f aca="false">'Raw Data'!D476</f>
        <v>2</v>
      </c>
      <c r="E476" s="20" t="str">
        <f aca="false">'Raw Data'!E476</f>
        <v>own</v>
      </c>
      <c r="F476" s="20" t="str">
        <f aca="false">'Raw Data'!F476</f>
        <v>little</v>
      </c>
      <c r="G476" s="20" t="str">
        <f aca="false">'Raw Data'!G476</f>
        <v>moderate</v>
      </c>
      <c r="H476" s="20" t="n">
        <f aca="false">'Raw Data'!H476</f>
        <v>1245</v>
      </c>
      <c r="I476" s="20" t="n">
        <f aca="false">'Raw Data'!I476</f>
        <v>18</v>
      </c>
      <c r="J476" s="20" t="str">
        <f aca="false">'Raw Data'!J476</f>
        <v>radio/TV</v>
      </c>
      <c r="K476" s="21" t="n">
        <f aca="false">H476/I476</f>
        <v>69.1666666666667</v>
      </c>
      <c r="L476" s="21" t="n">
        <f aca="false">100-MIN(K476/Assumptions!$B$14,1)*100</f>
        <v>82.7083333333333</v>
      </c>
      <c r="M476" s="21" t="n">
        <f aca="false">VLOOKUP(F476,Assumptions!$A$19:$B$23,2,0)</f>
        <v>25</v>
      </c>
      <c r="N476" s="21" t="n">
        <f aca="false">VLOOKUP(G476,Assumptions!$A$27:$B$30,2,0)</f>
        <v>60</v>
      </c>
      <c r="O476" s="21" t="n">
        <f aca="false">VLOOKUP(D476,Assumptions!$A$34:$B$37,2,0)</f>
        <v>66</v>
      </c>
      <c r="P476" s="21" t="n">
        <f aca="false">VLOOKUP(E476,Assumptions!$A$41:$B$43,2,0)</f>
        <v>100</v>
      </c>
      <c r="Q476" s="22" t="n">
        <f aca="false">L476*Assumptions!$B$7+M476*Assumptions!$B$8+N476*Assumptions!$B$9+O476*Assumptions!$B$10+P476*Assumptions!$B$11</f>
        <v>62.9625</v>
      </c>
      <c r="R476" s="11" t="str">
        <f aca="false">IF(Q476&lt;=33,"High Risk",IF(Q476&lt;=66,"Medium Risk","Low Risk"))</f>
        <v>Medium Risk</v>
      </c>
    </row>
    <row r="477" customFormat="false" ht="15" hidden="false" customHeight="true" outlineLevel="0" collapsed="false">
      <c r="A477" s="20" t="n">
        <f aca="false">'Raw Data'!A477</f>
        <v>476</v>
      </c>
      <c r="B477" s="20" t="n">
        <f aca="false">'Raw Data'!B477</f>
        <v>26</v>
      </c>
      <c r="C477" s="20" t="str">
        <f aca="false">'Raw Data'!C477</f>
        <v>female</v>
      </c>
      <c r="D477" s="20" t="n">
        <f aca="false">'Raw Data'!D477</f>
        <v>2</v>
      </c>
      <c r="E477" s="20" t="str">
        <f aca="false">'Raw Data'!E477</f>
        <v>rent</v>
      </c>
      <c r="F477" s="20" t="str">
        <f aca="false">'Raw Data'!F477</f>
        <v>little</v>
      </c>
      <c r="G477" s="20" t="str">
        <f aca="false">'Raw Data'!G477</f>
        <v>little</v>
      </c>
      <c r="H477" s="20" t="n">
        <f aca="false">'Raw Data'!H477</f>
        <v>3114</v>
      </c>
      <c r="I477" s="20" t="n">
        <f aca="false">'Raw Data'!I477</f>
        <v>18</v>
      </c>
      <c r="J477" s="20" t="str">
        <f aca="false">'Raw Data'!J477</f>
        <v>furniture/equipment</v>
      </c>
      <c r="K477" s="21" t="n">
        <f aca="false">H477/I477</f>
        <v>173</v>
      </c>
      <c r="L477" s="21" t="n">
        <f aca="false">100-MIN(K477/Assumptions!$B$14,1)*100</f>
        <v>56.75</v>
      </c>
      <c r="M477" s="21" t="n">
        <f aca="false">VLOOKUP(F477,Assumptions!$A$19:$B$23,2,0)</f>
        <v>25</v>
      </c>
      <c r="N477" s="21" t="n">
        <f aca="false">VLOOKUP(G477,Assumptions!$A$27:$B$30,2,0)</f>
        <v>25</v>
      </c>
      <c r="O477" s="21" t="n">
        <f aca="false">VLOOKUP(D477,Assumptions!$A$34:$B$37,2,0)</f>
        <v>66</v>
      </c>
      <c r="P477" s="21" t="n">
        <f aca="false">VLOOKUP(E477,Assumptions!$A$41:$B$43,2,0)</f>
        <v>30</v>
      </c>
      <c r="Q477" s="22" t="n">
        <f aca="false">L477*Assumptions!$B$7+M477*Assumptions!$B$8+N477*Assumptions!$B$9+O477*Assumptions!$B$10+P477*Assumptions!$B$11</f>
        <v>41.175</v>
      </c>
      <c r="R477" s="11" t="str">
        <f aca="false">IF(Q477&lt;=33,"High Risk",IF(Q477&lt;=66,"Medium Risk","Low Risk"))</f>
        <v>Medium Risk</v>
      </c>
    </row>
    <row r="478" customFormat="false" ht="15" hidden="false" customHeight="true" outlineLevel="0" collapsed="false">
      <c r="A478" s="20" t="n">
        <f aca="false">'Raw Data'!A478</f>
        <v>477</v>
      </c>
      <c r="B478" s="20" t="n">
        <f aca="false">'Raw Data'!B478</f>
        <v>24</v>
      </c>
      <c r="C478" s="20" t="str">
        <f aca="false">'Raw Data'!C478</f>
        <v>male</v>
      </c>
      <c r="D478" s="20" t="n">
        <f aca="false">'Raw Data'!D478</f>
        <v>2</v>
      </c>
      <c r="E478" s="20" t="str">
        <f aca="false">'Raw Data'!E478</f>
        <v>own</v>
      </c>
      <c r="F478" s="20" t="str">
        <f aca="false">'Raw Data'!F478</f>
        <v>quite rich</v>
      </c>
      <c r="G478" s="20" t="str">
        <f aca="false">'Raw Data'!G478</f>
        <v>none</v>
      </c>
      <c r="H478" s="20" t="n">
        <f aca="false">'Raw Data'!H478</f>
        <v>2569</v>
      </c>
      <c r="I478" s="20" t="n">
        <f aca="false">'Raw Data'!I478</f>
        <v>39</v>
      </c>
      <c r="J478" s="20" t="str">
        <f aca="false">'Raw Data'!J478</f>
        <v>car</v>
      </c>
      <c r="K478" s="21" t="n">
        <f aca="false">H478/I478</f>
        <v>65.8717948717949</v>
      </c>
      <c r="L478" s="21" t="n">
        <f aca="false">100-MIN(K478/Assumptions!$B$14,1)*100</f>
        <v>83.5320512820513</v>
      </c>
      <c r="M478" s="21" t="n">
        <f aca="false">VLOOKUP(F478,Assumptions!$A$19:$B$23,2,0)</f>
        <v>75</v>
      </c>
      <c r="N478" s="21" t="n">
        <f aca="false">VLOOKUP(G478,Assumptions!$A$27:$B$30,2,0)</f>
        <v>50</v>
      </c>
      <c r="O478" s="21" t="n">
        <f aca="false">VLOOKUP(D478,Assumptions!$A$34:$B$37,2,0)</f>
        <v>66</v>
      </c>
      <c r="P478" s="21" t="n">
        <f aca="false">VLOOKUP(E478,Assumptions!$A$41:$B$43,2,0)</f>
        <v>100</v>
      </c>
      <c r="Q478" s="22" t="n">
        <f aca="false">L478*Assumptions!$B$7+M478*Assumptions!$B$8+N478*Assumptions!$B$9+O478*Assumptions!$B$10+P478*Assumptions!$B$11</f>
        <v>73.7096153846154</v>
      </c>
      <c r="R478" s="11" t="str">
        <f aca="false">IF(Q478&lt;=33,"High Risk",IF(Q478&lt;=66,"Medium Risk","Low Risk"))</f>
        <v>Low Risk</v>
      </c>
    </row>
    <row r="479" customFormat="false" ht="15" hidden="false" customHeight="true" outlineLevel="0" collapsed="false">
      <c r="A479" s="20" t="n">
        <f aca="false">'Raw Data'!A479</f>
        <v>478</v>
      </c>
      <c r="B479" s="20" t="n">
        <f aca="false">'Raw Data'!B479</f>
        <v>25</v>
      </c>
      <c r="C479" s="20" t="str">
        <f aca="false">'Raw Data'!C479</f>
        <v>male</v>
      </c>
      <c r="D479" s="20" t="n">
        <f aca="false">'Raw Data'!D479</f>
        <v>2</v>
      </c>
      <c r="E479" s="20" t="str">
        <f aca="false">'Raw Data'!E479</f>
        <v>own</v>
      </c>
      <c r="F479" s="20" t="str">
        <f aca="false">'Raw Data'!F479</f>
        <v>little</v>
      </c>
      <c r="G479" s="20" t="str">
        <f aca="false">'Raw Data'!G479</f>
        <v>rich</v>
      </c>
      <c r="H479" s="20" t="n">
        <f aca="false">'Raw Data'!H479</f>
        <v>5152</v>
      </c>
      <c r="I479" s="20" t="n">
        <f aca="false">'Raw Data'!I479</f>
        <v>24</v>
      </c>
      <c r="J479" s="20" t="str">
        <f aca="false">'Raw Data'!J479</f>
        <v>radio/TV</v>
      </c>
      <c r="K479" s="21" t="n">
        <f aca="false">H479/I479</f>
        <v>214.666666666667</v>
      </c>
      <c r="L479" s="21" t="n">
        <f aca="false">100-MIN(K479/Assumptions!$B$14,1)*100</f>
        <v>46.3333333333333</v>
      </c>
      <c r="M479" s="21" t="n">
        <f aca="false">VLOOKUP(F479,Assumptions!$A$19:$B$23,2,0)</f>
        <v>25</v>
      </c>
      <c r="N479" s="21" t="n">
        <f aca="false">VLOOKUP(G479,Assumptions!$A$27:$B$30,2,0)</f>
        <v>100</v>
      </c>
      <c r="O479" s="21" t="n">
        <f aca="false">VLOOKUP(D479,Assumptions!$A$34:$B$37,2,0)</f>
        <v>66</v>
      </c>
      <c r="P479" s="21" t="n">
        <f aca="false">VLOOKUP(E479,Assumptions!$A$41:$B$43,2,0)</f>
        <v>100</v>
      </c>
      <c r="Q479" s="22" t="n">
        <f aca="false">L479*Assumptions!$B$7+M479*Assumptions!$B$8+N479*Assumptions!$B$9+O479*Assumptions!$B$10+P479*Assumptions!$B$11</f>
        <v>60.05</v>
      </c>
      <c r="R479" s="11" t="str">
        <f aca="false">IF(Q479&lt;=33,"High Risk",IF(Q479&lt;=66,"Medium Risk","Low Risk"))</f>
        <v>Medium Risk</v>
      </c>
    </row>
    <row r="480" customFormat="false" ht="15" hidden="false" customHeight="true" outlineLevel="0" collapsed="false">
      <c r="A480" s="20" t="n">
        <f aca="false">'Raw Data'!A480</f>
        <v>479</v>
      </c>
      <c r="B480" s="20" t="n">
        <f aca="false">'Raw Data'!B480</f>
        <v>39</v>
      </c>
      <c r="C480" s="20" t="str">
        <f aca="false">'Raw Data'!C480</f>
        <v>male</v>
      </c>
      <c r="D480" s="20" t="n">
        <f aca="false">'Raw Data'!D480</f>
        <v>1</v>
      </c>
      <c r="E480" s="20" t="str">
        <f aca="false">'Raw Data'!E480</f>
        <v>own</v>
      </c>
      <c r="F480" s="20" t="str">
        <f aca="false">'Raw Data'!F480</f>
        <v>moderate</v>
      </c>
      <c r="G480" s="20" t="str">
        <f aca="false">'Raw Data'!G480</f>
        <v>moderate</v>
      </c>
      <c r="H480" s="20" t="n">
        <f aca="false">'Raw Data'!H480</f>
        <v>1037</v>
      </c>
      <c r="I480" s="20" t="n">
        <f aca="false">'Raw Data'!I480</f>
        <v>12</v>
      </c>
      <c r="J480" s="20" t="str">
        <f aca="false">'Raw Data'!J480</f>
        <v>business</v>
      </c>
      <c r="K480" s="21" t="n">
        <f aca="false">H480/I480</f>
        <v>86.4166666666667</v>
      </c>
      <c r="L480" s="21" t="n">
        <f aca="false">100-MIN(K480/Assumptions!$B$14,1)*100</f>
        <v>78.3958333333333</v>
      </c>
      <c r="M480" s="21" t="n">
        <f aca="false">VLOOKUP(F480,Assumptions!$A$19:$B$23,2,0)</f>
        <v>50</v>
      </c>
      <c r="N480" s="21" t="n">
        <f aca="false">VLOOKUP(G480,Assumptions!$A$27:$B$30,2,0)</f>
        <v>60</v>
      </c>
      <c r="O480" s="21" t="n">
        <f aca="false">VLOOKUP(D480,Assumptions!$A$34:$B$37,2,0)</f>
        <v>33</v>
      </c>
      <c r="P480" s="21" t="n">
        <f aca="false">VLOOKUP(E480,Assumptions!$A$41:$B$43,2,0)</f>
        <v>100</v>
      </c>
      <c r="Q480" s="22" t="n">
        <f aca="false">L480*Assumptions!$B$7+M480*Assumptions!$B$8+N480*Assumptions!$B$9+O480*Assumptions!$B$10+P480*Assumptions!$B$11</f>
        <v>62.96875</v>
      </c>
      <c r="R480" s="11" t="str">
        <f aca="false">IF(Q480&lt;=33,"High Risk",IF(Q480&lt;=66,"Medium Risk","Low Risk"))</f>
        <v>Medium Risk</v>
      </c>
    </row>
    <row r="481" customFormat="false" ht="15" hidden="false" customHeight="true" outlineLevel="0" collapsed="false">
      <c r="A481" s="20" t="n">
        <f aca="false">'Raw Data'!A481</f>
        <v>480</v>
      </c>
      <c r="B481" s="20" t="n">
        <f aca="false">'Raw Data'!B481</f>
        <v>44</v>
      </c>
      <c r="C481" s="20" t="str">
        <f aca="false">'Raw Data'!C481</f>
        <v>male</v>
      </c>
      <c r="D481" s="20" t="n">
        <f aca="false">'Raw Data'!D481</f>
        <v>2</v>
      </c>
      <c r="E481" s="20" t="str">
        <f aca="false">'Raw Data'!E481</f>
        <v>own</v>
      </c>
      <c r="F481" s="20" t="str">
        <f aca="false">'Raw Data'!F481</f>
        <v>little</v>
      </c>
      <c r="G481" s="20" t="str">
        <f aca="false">'Raw Data'!G481</f>
        <v>little</v>
      </c>
      <c r="H481" s="20" t="n">
        <f aca="false">'Raw Data'!H481</f>
        <v>1478</v>
      </c>
      <c r="I481" s="20" t="n">
        <f aca="false">'Raw Data'!I481</f>
        <v>15</v>
      </c>
      <c r="J481" s="20" t="str">
        <f aca="false">'Raw Data'!J481</f>
        <v>furniture/equipment</v>
      </c>
      <c r="K481" s="21" t="n">
        <f aca="false">H481/I481</f>
        <v>98.5333333333333</v>
      </c>
      <c r="L481" s="21" t="n">
        <f aca="false">100-MIN(K481/Assumptions!$B$14,1)*100</f>
        <v>75.3666666666667</v>
      </c>
      <c r="M481" s="21" t="n">
        <f aca="false">VLOOKUP(F481,Assumptions!$A$19:$B$23,2,0)</f>
        <v>25</v>
      </c>
      <c r="N481" s="21" t="n">
        <f aca="false">VLOOKUP(G481,Assumptions!$A$27:$B$30,2,0)</f>
        <v>25</v>
      </c>
      <c r="O481" s="21" t="n">
        <f aca="false">VLOOKUP(D481,Assumptions!$A$34:$B$37,2,0)</f>
        <v>66</v>
      </c>
      <c r="P481" s="21" t="n">
        <f aca="false">VLOOKUP(E481,Assumptions!$A$41:$B$43,2,0)</f>
        <v>100</v>
      </c>
      <c r="Q481" s="22" t="n">
        <f aca="false">L481*Assumptions!$B$7+M481*Assumptions!$B$8+N481*Assumptions!$B$9+O481*Assumptions!$B$10+P481*Assumptions!$B$11</f>
        <v>53.76</v>
      </c>
      <c r="R481" s="11" t="str">
        <f aca="false">IF(Q481&lt;=33,"High Risk",IF(Q481&lt;=66,"Medium Risk","Low Risk"))</f>
        <v>Medium Risk</v>
      </c>
    </row>
    <row r="482" customFormat="false" ht="15" hidden="false" customHeight="true" outlineLevel="0" collapsed="false">
      <c r="A482" s="20" t="n">
        <f aca="false">'Raw Data'!A482</f>
        <v>481</v>
      </c>
      <c r="B482" s="20" t="n">
        <f aca="false">'Raw Data'!B482</f>
        <v>23</v>
      </c>
      <c r="C482" s="20" t="str">
        <f aca="false">'Raw Data'!C482</f>
        <v>female</v>
      </c>
      <c r="D482" s="20" t="n">
        <f aca="false">'Raw Data'!D482</f>
        <v>1</v>
      </c>
      <c r="E482" s="20" t="str">
        <f aca="false">'Raw Data'!E482</f>
        <v>own</v>
      </c>
      <c r="F482" s="20" t="str">
        <f aca="false">'Raw Data'!F482</f>
        <v>little</v>
      </c>
      <c r="G482" s="20" t="str">
        <f aca="false">'Raw Data'!G482</f>
        <v>moderate</v>
      </c>
      <c r="H482" s="20" t="n">
        <f aca="false">'Raw Data'!H482</f>
        <v>3573</v>
      </c>
      <c r="I482" s="20" t="n">
        <f aca="false">'Raw Data'!I482</f>
        <v>12</v>
      </c>
      <c r="J482" s="20" t="str">
        <f aca="false">'Raw Data'!J482</f>
        <v>radio/TV</v>
      </c>
      <c r="K482" s="21" t="n">
        <f aca="false">H482/I482</f>
        <v>297.75</v>
      </c>
      <c r="L482" s="21" t="n">
        <f aca="false">100-MIN(K482/Assumptions!$B$14,1)*100</f>
        <v>25.5625</v>
      </c>
      <c r="M482" s="21" t="n">
        <f aca="false">VLOOKUP(F482,Assumptions!$A$19:$B$23,2,0)</f>
        <v>25</v>
      </c>
      <c r="N482" s="21" t="n">
        <f aca="false">VLOOKUP(G482,Assumptions!$A$27:$B$30,2,0)</f>
        <v>60</v>
      </c>
      <c r="O482" s="21" t="n">
        <f aca="false">VLOOKUP(D482,Assumptions!$A$34:$B$37,2,0)</f>
        <v>33</v>
      </c>
      <c r="P482" s="21" t="n">
        <f aca="false">VLOOKUP(E482,Assumptions!$A$41:$B$43,2,0)</f>
        <v>100</v>
      </c>
      <c r="Q482" s="22" t="n">
        <f aca="false">L482*Assumptions!$B$7+M482*Assumptions!$B$8+N482*Assumptions!$B$9+O482*Assumptions!$B$10+P482*Assumptions!$B$11</f>
        <v>40.86875</v>
      </c>
      <c r="R482" s="11" t="str">
        <f aca="false">IF(Q482&lt;=33,"High Risk",IF(Q482&lt;=66,"Medium Risk","Low Risk"))</f>
        <v>Medium Risk</v>
      </c>
    </row>
    <row r="483" customFormat="false" ht="15" hidden="false" customHeight="true" outlineLevel="0" collapsed="false">
      <c r="A483" s="20" t="n">
        <f aca="false">'Raw Data'!A483</f>
        <v>482</v>
      </c>
      <c r="B483" s="20" t="n">
        <f aca="false">'Raw Data'!B483</f>
        <v>26</v>
      </c>
      <c r="C483" s="20" t="str">
        <f aca="false">'Raw Data'!C483</f>
        <v>male</v>
      </c>
      <c r="D483" s="20" t="n">
        <f aca="false">'Raw Data'!D483</f>
        <v>2</v>
      </c>
      <c r="E483" s="20" t="str">
        <f aca="false">'Raw Data'!E483</f>
        <v>own</v>
      </c>
      <c r="F483" s="20" t="str">
        <f aca="false">'Raw Data'!F483</f>
        <v>little</v>
      </c>
      <c r="G483" s="20" t="str">
        <f aca="false">'Raw Data'!G483</f>
        <v>moderate</v>
      </c>
      <c r="H483" s="20" t="n">
        <f aca="false">'Raw Data'!H483</f>
        <v>1201</v>
      </c>
      <c r="I483" s="20" t="n">
        <f aca="false">'Raw Data'!I483</f>
        <v>24</v>
      </c>
      <c r="J483" s="20" t="str">
        <f aca="false">'Raw Data'!J483</f>
        <v>car</v>
      </c>
      <c r="K483" s="21" t="n">
        <f aca="false">H483/I483</f>
        <v>50.0416666666667</v>
      </c>
      <c r="L483" s="21" t="n">
        <f aca="false">100-MIN(K483/Assumptions!$B$14,1)*100</f>
        <v>87.4895833333333</v>
      </c>
      <c r="M483" s="21" t="n">
        <f aca="false">VLOOKUP(F483,Assumptions!$A$19:$B$23,2,0)</f>
        <v>25</v>
      </c>
      <c r="N483" s="21" t="n">
        <f aca="false">VLOOKUP(G483,Assumptions!$A$27:$B$30,2,0)</f>
        <v>60</v>
      </c>
      <c r="O483" s="21" t="n">
        <f aca="false">VLOOKUP(D483,Assumptions!$A$34:$B$37,2,0)</f>
        <v>66</v>
      </c>
      <c r="P483" s="21" t="n">
        <f aca="false">VLOOKUP(E483,Assumptions!$A$41:$B$43,2,0)</f>
        <v>100</v>
      </c>
      <c r="Q483" s="22" t="n">
        <f aca="false">L483*Assumptions!$B$7+M483*Assumptions!$B$8+N483*Assumptions!$B$9+O483*Assumptions!$B$10+P483*Assumptions!$B$11</f>
        <v>64.396875</v>
      </c>
      <c r="R483" s="11" t="str">
        <f aca="false">IF(Q483&lt;=33,"High Risk",IF(Q483&lt;=66,"Medium Risk","Low Risk"))</f>
        <v>Medium Risk</v>
      </c>
    </row>
    <row r="484" customFormat="false" ht="15" hidden="false" customHeight="true" outlineLevel="0" collapsed="false">
      <c r="A484" s="20" t="n">
        <f aca="false">'Raw Data'!A484</f>
        <v>483</v>
      </c>
      <c r="B484" s="20" t="n">
        <f aca="false">'Raw Data'!B484</f>
        <v>57</v>
      </c>
      <c r="C484" s="20" t="str">
        <f aca="false">'Raw Data'!C484</f>
        <v>female</v>
      </c>
      <c r="D484" s="20" t="n">
        <f aca="false">'Raw Data'!D484</f>
        <v>2</v>
      </c>
      <c r="E484" s="20" t="str">
        <f aca="false">'Raw Data'!E484</f>
        <v>rent</v>
      </c>
      <c r="F484" s="20" t="str">
        <f aca="false">'Raw Data'!F484</f>
        <v>rich</v>
      </c>
      <c r="G484" s="20" t="str">
        <f aca="false">'Raw Data'!G484</f>
        <v>little</v>
      </c>
      <c r="H484" s="20" t="n">
        <f aca="false">'Raw Data'!H484</f>
        <v>3622</v>
      </c>
      <c r="I484" s="20" t="n">
        <f aca="false">'Raw Data'!I484</f>
        <v>30</v>
      </c>
      <c r="J484" s="20" t="str">
        <f aca="false">'Raw Data'!J484</f>
        <v>furniture/equipment</v>
      </c>
      <c r="K484" s="21" t="n">
        <f aca="false">H484/I484</f>
        <v>120.733333333333</v>
      </c>
      <c r="L484" s="21" t="n">
        <f aca="false">100-MIN(K484/Assumptions!$B$14,1)*100</f>
        <v>69.8166666666667</v>
      </c>
      <c r="M484" s="21" t="n">
        <f aca="false">VLOOKUP(F484,Assumptions!$A$19:$B$23,2,0)</f>
        <v>100</v>
      </c>
      <c r="N484" s="21" t="n">
        <f aca="false">VLOOKUP(G484,Assumptions!$A$27:$B$30,2,0)</f>
        <v>25</v>
      </c>
      <c r="O484" s="21" t="n">
        <f aca="false">VLOOKUP(D484,Assumptions!$A$34:$B$37,2,0)</f>
        <v>66</v>
      </c>
      <c r="P484" s="21" t="n">
        <f aca="false">VLOOKUP(E484,Assumptions!$A$41:$B$43,2,0)</f>
        <v>30</v>
      </c>
      <c r="Q484" s="22" t="n">
        <f aca="false">L484*Assumptions!$B$7+M484*Assumptions!$B$8+N484*Assumptions!$B$9+O484*Assumptions!$B$10+P484*Assumptions!$B$11</f>
        <v>63.845</v>
      </c>
      <c r="R484" s="11" t="str">
        <f aca="false">IF(Q484&lt;=33,"High Risk",IF(Q484&lt;=66,"Medium Risk","Low Risk"))</f>
        <v>Medium Risk</v>
      </c>
    </row>
    <row r="485" customFormat="false" ht="15" hidden="false" customHeight="true" outlineLevel="0" collapsed="false">
      <c r="A485" s="20" t="n">
        <f aca="false">'Raw Data'!A485</f>
        <v>484</v>
      </c>
      <c r="B485" s="20" t="n">
        <f aca="false">'Raw Data'!B485</f>
        <v>30</v>
      </c>
      <c r="C485" s="20" t="str">
        <f aca="false">'Raw Data'!C485</f>
        <v>female</v>
      </c>
      <c r="D485" s="20" t="n">
        <f aca="false">'Raw Data'!D485</f>
        <v>2</v>
      </c>
      <c r="E485" s="20" t="str">
        <f aca="false">'Raw Data'!E485</f>
        <v>own</v>
      </c>
      <c r="F485" s="20" t="str">
        <f aca="false">'Raw Data'!F485</f>
        <v>rich</v>
      </c>
      <c r="G485" s="20" t="str">
        <f aca="false">'Raw Data'!G485</f>
        <v>none</v>
      </c>
      <c r="H485" s="20" t="n">
        <f aca="false">'Raw Data'!H485</f>
        <v>960</v>
      </c>
      <c r="I485" s="20" t="n">
        <f aca="false">'Raw Data'!I485</f>
        <v>15</v>
      </c>
      <c r="J485" s="20" t="str">
        <f aca="false">'Raw Data'!J485</f>
        <v>furniture/equipment</v>
      </c>
      <c r="K485" s="21" t="n">
        <f aca="false">H485/I485</f>
        <v>64</v>
      </c>
      <c r="L485" s="21" t="n">
        <f aca="false">100-MIN(K485/Assumptions!$B$14,1)*100</f>
        <v>84</v>
      </c>
      <c r="M485" s="21" t="n">
        <f aca="false">VLOOKUP(F485,Assumptions!$A$19:$B$23,2,0)</f>
        <v>100</v>
      </c>
      <c r="N485" s="21" t="n">
        <f aca="false">VLOOKUP(G485,Assumptions!$A$27:$B$30,2,0)</f>
        <v>50</v>
      </c>
      <c r="O485" s="21" t="n">
        <f aca="false">VLOOKUP(D485,Assumptions!$A$34:$B$37,2,0)</f>
        <v>66</v>
      </c>
      <c r="P485" s="21" t="n">
        <f aca="false">VLOOKUP(E485,Assumptions!$A$41:$B$43,2,0)</f>
        <v>100</v>
      </c>
      <c r="Q485" s="22" t="n">
        <f aca="false">L485*Assumptions!$B$7+M485*Assumptions!$B$8+N485*Assumptions!$B$9+O485*Assumptions!$B$10+P485*Assumptions!$B$11</f>
        <v>80.1</v>
      </c>
      <c r="R485" s="11" t="str">
        <f aca="false">IF(Q485&lt;=33,"High Risk",IF(Q485&lt;=66,"Medium Risk","Low Risk"))</f>
        <v>Low Risk</v>
      </c>
    </row>
    <row r="486" customFormat="false" ht="15" hidden="false" customHeight="true" outlineLevel="0" collapsed="false">
      <c r="A486" s="20" t="n">
        <f aca="false">'Raw Data'!A486</f>
        <v>485</v>
      </c>
      <c r="B486" s="20" t="n">
        <f aca="false">'Raw Data'!B486</f>
        <v>44</v>
      </c>
      <c r="C486" s="20" t="str">
        <f aca="false">'Raw Data'!C486</f>
        <v>male</v>
      </c>
      <c r="D486" s="20" t="n">
        <f aca="false">'Raw Data'!D486</f>
        <v>2</v>
      </c>
      <c r="E486" s="20" t="str">
        <f aca="false">'Raw Data'!E486</f>
        <v>own</v>
      </c>
      <c r="F486" s="20" t="str">
        <f aca="false">'Raw Data'!F486</f>
        <v>quite rich</v>
      </c>
      <c r="G486" s="20" t="str">
        <f aca="false">'Raw Data'!G486</f>
        <v>none</v>
      </c>
      <c r="H486" s="20" t="n">
        <f aca="false">'Raw Data'!H486</f>
        <v>1163</v>
      </c>
      <c r="I486" s="20" t="n">
        <f aca="false">'Raw Data'!I486</f>
        <v>12</v>
      </c>
      <c r="J486" s="20" t="str">
        <f aca="false">'Raw Data'!J486</f>
        <v>car</v>
      </c>
      <c r="K486" s="21" t="n">
        <f aca="false">H486/I486</f>
        <v>96.9166666666667</v>
      </c>
      <c r="L486" s="21" t="n">
        <f aca="false">100-MIN(K486/Assumptions!$B$14,1)*100</f>
        <v>75.7708333333333</v>
      </c>
      <c r="M486" s="21" t="n">
        <f aca="false">VLOOKUP(F486,Assumptions!$A$19:$B$23,2,0)</f>
        <v>75</v>
      </c>
      <c r="N486" s="21" t="n">
        <f aca="false">VLOOKUP(G486,Assumptions!$A$27:$B$30,2,0)</f>
        <v>50</v>
      </c>
      <c r="O486" s="21" t="n">
        <f aca="false">VLOOKUP(D486,Assumptions!$A$34:$B$37,2,0)</f>
        <v>66</v>
      </c>
      <c r="P486" s="21" t="n">
        <f aca="false">VLOOKUP(E486,Assumptions!$A$41:$B$43,2,0)</f>
        <v>100</v>
      </c>
      <c r="Q486" s="22" t="n">
        <f aca="false">L486*Assumptions!$B$7+M486*Assumptions!$B$8+N486*Assumptions!$B$9+O486*Assumptions!$B$10+P486*Assumptions!$B$11</f>
        <v>71.38125</v>
      </c>
      <c r="R486" s="11" t="str">
        <f aca="false">IF(Q486&lt;=33,"High Risk",IF(Q486&lt;=66,"Medium Risk","Low Risk"))</f>
        <v>Low Risk</v>
      </c>
    </row>
    <row r="487" customFormat="false" ht="15" hidden="false" customHeight="true" outlineLevel="0" collapsed="false">
      <c r="A487" s="20" t="n">
        <f aca="false">'Raw Data'!A487</f>
        <v>486</v>
      </c>
      <c r="B487" s="20" t="n">
        <f aca="false">'Raw Data'!B487</f>
        <v>47</v>
      </c>
      <c r="C487" s="20" t="str">
        <f aca="false">'Raw Data'!C487</f>
        <v>male</v>
      </c>
      <c r="D487" s="20" t="n">
        <f aca="false">'Raw Data'!D487</f>
        <v>3</v>
      </c>
      <c r="E487" s="20" t="str">
        <f aca="false">'Raw Data'!E487</f>
        <v>own</v>
      </c>
      <c r="F487" s="20" t="str">
        <f aca="false">'Raw Data'!F487</f>
        <v>little</v>
      </c>
      <c r="G487" s="20" t="str">
        <f aca="false">'Raw Data'!G487</f>
        <v>moderate</v>
      </c>
      <c r="H487" s="20" t="n">
        <f aca="false">'Raw Data'!H487</f>
        <v>1209</v>
      </c>
      <c r="I487" s="20" t="n">
        <f aca="false">'Raw Data'!I487</f>
        <v>6</v>
      </c>
      <c r="J487" s="20" t="str">
        <f aca="false">'Raw Data'!J487</f>
        <v>car</v>
      </c>
      <c r="K487" s="21" t="n">
        <f aca="false">H487/I487</f>
        <v>201.5</v>
      </c>
      <c r="L487" s="21" t="n">
        <f aca="false">100-MIN(K487/Assumptions!$B$14,1)*100</f>
        <v>49.625</v>
      </c>
      <c r="M487" s="21" t="n">
        <f aca="false">VLOOKUP(F487,Assumptions!$A$19:$B$23,2,0)</f>
        <v>25</v>
      </c>
      <c r="N487" s="21" t="n">
        <f aca="false">VLOOKUP(G487,Assumptions!$A$27:$B$30,2,0)</f>
        <v>60</v>
      </c>
      <c r="O487" s="21" t="n">
        <f aca="false">VLOOKUP(D487,Assumptions!$A$34:$B$37,2,0)</f>
        <v>100</v>
      </c>
      <c r="P487" s="21" t="n">
        <f aca="false">VLOOKUP(E487,Assumptions!$A$41:$B$43,2,0)</f>
        <v>100</v>
      </c>
      <c r="Q487" s="22" t="n">
        <f aca="false">L487*Assumptions!$B$7+M487*Assumptions!$B$8+N487*Assumptions!$B$9+O487*Assumptions!$B$10+P487*Assumptions!$B$11</f>
        <v>58.1375</v>
      </c>
      <c r="R487" s="11" t="str">
        <f aca="false">IF(Q487&lt;=33,"High Risk",IF(Q487&lt;=66,"Medium Risk","Low Risk"))</f>
        <v>Medium Risk</v>
      </c>
    </row>
    <row r="488" customFormat="false" ht="15" hidden="false" customHeight="true" outlineLevel="0" collapsed="false">
      <c r="A488" s="20" t="n">
        <f aca="false">'Raw Data'!A488</f>
        <v>487</v>
      </c>
      <c r="B488" s="20" t="n">
        <f aca="false">'Raw Data'!B488</f>
        <v>52</v>
      </c>
      <c r="C488" s="20" t="str">
        <f aca="false">'Raw Data'!C488</f>
        <v>male</v>
      </c>
      <c r="D488" s="20" t="n">
        <f aca="false">'Raw Data'!D488</f>
        <v>2</v>
      </c>
      <c r="E488" s="20" t="str">
        <f aca="false">'Raw Data'!E488</f>
        <v>own</v>
      </c>
      <c r="F488" s="20" t="str">
        <f aca="false">'Raw Data'!F488</f>
        <v>little</v>
      </c>
      <c r="G488" s="20" t="str">
        <f aca="false">'Raw Data'!G488</f>
        <v>none</v>
      </c>
      <c r="H488" s="20" t="n">
        <f aca="false">'Raw Data'!H488</f>
        <v>3077</v>
      </c>
      <c r="I488" s="20" t="n">
        <f aca="false">'Raw Data'!I488</f>
        <v>12</v>
      </c>
      <c r="J488" s="20" t="str">
        <f aca="false">'Raw Data'!J488</f>
        <v>radio/TV</v>
      </c>
      <c r="K488" s="21" t="n">
        <f aca="false">H488/I488</f>
        <v>256.416666666667</v>
      </c>
      <c r="L488" s="21" t="n">
        <f aca="false">100-MIN(K488/Assumptions!$B$14,1)*100</f>
        <v>35.8958333333333</v>
      </c>
      <c r="M488" s="21" t="n">
        <f aca="false">VLOOKUP(F488,Assumptions!$A$19:$B$23,2,0)</f>
        <v>25</v>
      </c>
      <c r="N488" s="21" t="n">
        <f aca="false">VLOOKUP(G488,Assumptions!$A$27:$B$30,2,0)</f>
        <v>50</v>
      </c>
      <c r="O488" s="21" t="n">
        <f aca="false">VLOOKUP(D488,Assumptions!$A$34:$B$37,2,0)</f>
        <v>66</v>
      </c>
      <c r="P488" s="21" t="n">
        <f aca="false">VLOOKUP(E488,Assumptions!$A$41:$B$43,2,0)</f>
        <v>100</v>
      </c>
      <c r="Q488" s="22" t="n">
        <f aca="false">L488*Assumptions!$B$7+M488*Assumptions!$B$8+N488*Assumptions!$B$9+O488*Assumptions!$B$10+P488*Assumptions!$B$11</f>
        <v>46.91875</v>
      </c>
      <c r="R488" s="11" t="str">
        <f aca="false">IF(Q488&lt;=33,"High Risk",IF(Q488&lt;=66,"Medium Risk","Low Risk"))</f>
        <v>Medium Risk</v>
      </c>
    </row>
    <row r="489" customFormat="false" ht="15" hidden="false" customHeight="true" outlineLevel="0" collapsed="false">
      <c r="A489" s="20" t="n">
        <f aca="false">'Raw Data'!A489</f>
        <v>488</v>
      </c>
      <c r="B489" s="20" t="n">
        <f aca="false">'Raw Data'!B489</f>
        <v>62</v>
      </c>
      <c r="C489" s="20" t="str">
        <f aca="false">'Raw Data'!C489</f>
        <v>female</v>
      </c>
      <c r="D489" s="20" t="n">
        <f aca="false">'Raw Data'!D489</f>
        <v>2</v>
      </c>
      <c r="E489" s="20" t="str">
        <f aca="false">'Raw Data'!E489</f>
        <v>free</v>
      </c>
      <c r="F489" s="20" t="str">
        <f aca="false">'Raw Data'!F489</f>
        <v>little</v>
      </c>
      <c r="G489" s="20" t="str">
        <f aca="false">'Raw Data'!G489</f>
        <v>none</v>
      </c>
      <c r="H489" s="20" t="n">
        <f aca="false">'Raw Data'!H489</f>
        <v>3757</v>
      </c>
      <c r="I489" s="20" t="n">
        <f aca="false">'Raw Data'!I489</f>
        <v>24</v>
      </c>
      <c r="J489" s="20" t="str">
        <f aca="false">'Raw Data'!J489</f>
        <v>car</v>
      </c>
      <c r="K489" s="21" t="n">
        <f aca="false">H489/I489</f>
        <v>156.541666666667</v>
      </c>
      <c r="L489" s="21" t="n">
        <f aca="false">100-MIN(K489/Assumptions!$B$14,1)*100</f>
        <v>60.8645833333333</v>
      </c>
      <c r="M489" s="21" t="n">
        <f aca="false">VLOOKUP(F489,Assumptions!$A$19:$B$23,2,0)</f>
        <v>25</v>
      </c>
      <c r="N489" s="21" t="n">
        <f aca="false">VLOOKUP(G489,Assumptions!$A$27:$B$30,2,0)</f>
        <v>50</v>
      </c>
      <c r="O489" s="21" t="n">
        <f aca="false">VLOOKUP(D489,Assumptions!$A$34:$B$37,2,0)</f>
        <v>66</v>
      </c>
      <c r="P489" s="21" t="n">
        <f aca="false">VLOOKUP(E489,Assumptions!$A$41:$B$43,2,0)</f>
        <v>60</v>
      </c>
      <c r="Q489" s="22" t="n">
        <f aca="false">L489*Assumptions!$B$7+M489*Assumptions!$B$8+N489*Assumptions!$B$9+O489*Assumptions!$B$10+P489*Assumptions!$B$11</f>
        <v>50.409375</v>
      </c>
      <c r="R489" s="11" t="str">
        <f aca="false">IF(Q489&lt;=33,"High Risk",IF(Q489&lt;=66,"Medium Risk","Low Risk"))</f>
        <v>Medium Risk</v>
      </c>
    </row>
    <row r="490" customFormat="false" ht="15" hidden="false" customHeight="true" outlineLevel="0" collapsed="false">
      <c r="A490" s="20" t="n">
        <f aca="false">'Raw Data'!A490</f>
        <v>489</v>
      </c>
      <c r="B490" s="20" t="n">
        <f aca="false">'Raw Data'!B490</f>
        <v>35</v>
      </c>
      <c r="C490" s="20" t="str">
        <f aca="false">'Raw Data'!C490</f>
        <v>male</v>
      </c>
      <c r="D490" s="20" t="n">
        <f aca="false">'Raw Data'!D490</f>
        <v>1</v>
      </c>
      <c r="E490" s="20" t="str">
        <f aca="false">'Raw Data'!E490</f>
        <v>rent</v>
      </c>
      <c r="F490" s="20" t="str">
        <f aca="false">'Raw Data'!F490</f>
        <v>moderate</v>
      </c>
      <c r="G490" s="20" t="str">
        <f aca="false">'Raw Data'!G490</f>
        <v>none</v>
      </c>
      <c r="H490" s="20" t="n">
        <f aca="false">'Raw Data'!H490</f>
        <v>1418</v>
      </c>
      <c r="I490" s="20" t="n">
        <f aca="false">'Raw Data'!I490</f>
        <v>10</v>
      </c>
      <c r="J490" s="20" t="str">
        <f aca="false">'Raw Data'!J490</f>
        <v>car</v>
      </c>
      <c r="K490" s="21" t="n">
        <f aca="false">H490/I490</f>
        <v>141.8</v>
      </c>
      <c r="L490" s="21" t="n">
        <f aca="false">100-MIN(K490/Assumptions!$B$14,1)*100</f>
        <v>64.55</v>
      </c>
      <c r="M490" s="21" t="n">
        <f aca="false">VLOOKUP(F490,Assumptions!$A$19:$B$23,2,0)</f>
        <v>50</v>
      </c>
      <c r="N490" s="21" t="n">
        <f aca="false">VLOOKUP(G490,Assumptions!$A$27:$B$30,2,0)</f>
        <v>50</v>
      </c>
      <c r="O490" s="21" t="n">
        <f aca="false">VLOOKUP(D490,Assumptions!$A$34:$B$37,2,0)</f>
        <v>33</v>
      </c>
      <c r="P490" s="21" t="n">
        <f aca="false">VLOOKUP(E490,Assumptions!$A$41:$B$43,2,0)</f>
        <v>30</v>
      </c>
      <c r="Q490" s="22" t="n">
        <f aca="false">L490*Assumptions!$B$7+M490*Assumptions!$B$8+N490*Assumptions!$B$9+O490*Assumptions!$B$10+P490*Assumptions!$B$11</f>
        <v>49.815</v>
      </c>
      <c r="R490" s="11" t="str">
        <f aca="false">IF(Q490&lt;=33,"High Risk",IF(Q490&lt;=66,"Medium Risk","Low Risk"))</f>
        <v>Medium Risk</v>
      </c>
    </row>
    <row r="491" customFormat="false" ht="15" hidden="false" customHeight="true" outlineLevel="0" collapsed="false">
      <c r="A491" s="20" t="n">
        <f aca="false">'Raw Data'!A491</f>
        <v>490</v>
      </c>
      <c r="B491" s="20" t="n">
        <f aca="false">'Raw Data'!B491</f>
        <v>26</v>
      </c>
      <c r="C491" s="20" t="str">
        <f aca="false">'Raw Data'!C491</f>
        <v>male</v>
      </c>
      <c r="D491" s="20" t="n">
        <f aca="false">'Raw Data'!D491</f>
        <v>2</v>
      </c>
      <c r="E491" s="20" t="str">
        <f aca="false">'Raw Data'!E491</f>
        <v>rent</v>
      </c>
      <c r="F491" s="20" t="str">
        <f aca="false">'Raw Data'!F491</f>
        <v>little</v>
      </c>
      <c r="G491" s="20" t="str">
        <f aca="false">'Raw Data'!G491</f>
        <v>none</v>
      </c>
      <c r="H491" s="20" t="n">
        <f aca="false">'Raw Data'!H491</f>
        <v>3518</v>
      </c>
      <c r="I491" s="20" t="n">
        <f aca="false">'Raw Data'!I491</f>
        <v>6</v>
      </c>
      <c r="J491" s="20" t="str">
        <f aca="false">'Raw Data'!J491</f>
        <v>car</v>
      </c>
      <c r="K491" s="21" t="n">
        <f aca="false">H491/I491</f>
        <v>586.333333333333</v>
      </c>
      <c r="L491" s="21" t="n">
        <f aca="false">100-MIN(K491/Assumptions!$B$14,1)*100</f>
        <v>0</v>
      </c>
      <c r="M491" s="21" t="n">
        <f aca="false">VLOOKUP(F491,Assumptions!$A$19:$B$23,2,0)</f>
        <v>25</v>
      </c>
      <c r="N491" s="21" t="n">
        <f aca="false">VLOOKUP(G491,Assumptions!$A$27:$B$30,2,0)</f>
        <v>50</v>
      </c>
      <c r="O491" s="21" t="n">
        <f aca="false">VLOOKUP(D491,Assumptions!$A$34:$B$37,2,0)</f>
        <v>66</v>
      </c>
      <c r="P491" s="21" t="n">
        <f aca="false">VLOOKUP(E491,Assumptions!$A$41:$B$43,2,0)</f>
        <v>30</v>
      </c>
      <c r="Q491" s="22" t="n">
        <f aca="false">L491*Assumptions!$B$7+M491*Assumptions!$B$8+N491*Assumptions!$B$9+O491*Assumptions!$B$10+P491*Assumptions!$B$11</f>
        <v>29.15</v>
      </c>
      <c r="R491" s="11" t="str">
        <f aca="false">IF(Q491&lt;=33,"High Risk",IF(Q491&lt;=66,"Medium Risk","Low Risk"))</f>
        <v>High Risk</v>
      </c>
    </row>
    <row r="492" customFormat="false" ht="15" hidden="false" customHeight="true" outlineLevel="0" collapsed="false">
      <c r="A492" s="20" t="n">
        <f aca="false">'Raw Data'!A492</f>
        <v>491</v>
      </c>
      <c r="B492" s="20" t="n">
        <f aca="false">'Raw Data'!B492</f>
        <v>26</v>
      </c>
      <c r="C492" s="20" t="str">
        <f aca="false">'Raw Data'!C492</f>
        <v>male</v>
      </c>
      <c r="D492" s="20" t="n">
        <f aca="false">'Raw Data'!D492</f>
        <v>2</v>
      </c>
      <c r="E492" s="20" t="str">
        <f aca="false">'Raw Data'!E492</f>
        <v>own</v>
      </c>
      <c r="F492" s="20" t="str">
        <f aca="false">'Raw Data'!F492</f>
        <v>little</v>
      </c>
      <c r="G492" s="20" t="str">
        <f aca="false">'Raw Data'!G492</f>
        <v>none</v>
      </c>
      <c r="H492" s="20" t="n">
        <f aca="false">'Raw Data'!H492</f>
        <v>1934</v>
      </c>
      <c r="I492" s="20" t="n">
        <f aca="false">'Raw Data'!I492</f>
        <v>12</v>
      </c>
      <c r="J492" s="20" t="str">
        <f aca="false">'Raw Data'!J492</f>
        <v>radio/TV</v>
      </c>
      <c r="K492" s="21" t="n">
        <f aca="false">H492/I492</f>
        <v>161.166666666667</v>
      </c>
      <c r="L492" s="21" t="n">
        <f aca="false">100-MIN(K492/Assumptions!$B$14,1)*100</f>
        <v>59.7083333333333</v>
      </c>
      <c r="M492" s="21" t="n">
        <f aca="false">VLOOKUP(F492,Assumptions!$A$19:$B$23,2,0)</f>
        <v>25</v>
      </c>
      <c r="N492" s="21" t="n">
        <f aca="false">VLOOKUP(G492,Assumptions!$A$27:$B$30,2,0)</f>
        <v>50</v>
      </c>
      <c r="O492" s="21" t="n">
        <f aca="false">VLOOKUP(D492,Assumptions!$A$34:$B$37,2,0)</f>
        <v>66</v>
      </c>
      <c r="P492" s="21" t="n">
        <f aca="false">VLOOKUP(E492,Assumptions!$A$41:$B$43,2,0)</f>
        <v>100</v>
      </c>
      <c r="Q492" s="22" t="n">
        <f aca="false">L492*Assumptions!$B$7+M492*Assumptions!$B$8+N492*Assumptions!$B$9+O492*Assumptions!$B$10+P492*Assumptions!$B$11</f>
        <v>54.0625</v>
      </c>
      <c r="R492" s="11" t="str">
        <f aca="false">IF(Q492&lt;=33,"High Risk",IF(Q492&lt;=66,"Medium Risk","Low Risk"))</f>
        <v>Medium Risk</v>
      </c>
    </row>
    <row r="493" customFormat="false" ht="15" hidden="false" customHeight="true" outlineLevel="0" collapsed="false">
      <c r="A493" s="20" t="n">
        <f aca="false">'Raw Data'!A493</f>
        <v>492</v>
      </c>
      <c r="B493" s="20" t="n">
        <f aca="false">'Raw Data'!B493</f>
        <v>42</v>
      </c>
      <c r="C493" s="20" t="str">
        <f aca="false">'Raw Data'!C493</f>
        <v>female</v>
      </c>
      <c r="D493" s="20" t="n">
        <f aca="false">'Raw Data'!D493</f>
        <v>3</v>
      </c>
      <c r="E493" s="20" t="str">
        <f aca="false">'Raw Data'!E493</f>
        <v>free</v>
      </c>
      <c r="F493" s="20" t="str">
        <f aca="false">'Raw Data'!F493</f>
        <v>little</v>
      </c>
      <c r="G493" s="20" t="str">
        <f aca="false">'Raw Data'!G493</f>
        <v>moderate</v>
      </c>
      <c r="H493" s="20" t="n">
        <f aca="false">'Raw Data'!H493</f>
        <v>8318</v>
      </c>
      <c r="I493" s="20" t="n">
        <f aca="false">'Raw Data'!I493</f>
        <v>27</v>
      </c>
      <c r="J493" s="20" t="str">
        <f aca="false">'Raw Data'!J493</f>
        <v>business</v>
      </c>
      <c r="K493" s="21" t="n">
        <f aca="false">H493/I493</f>
        <v>308.074074074074</v>
      </c>
      <c r="L493" s="21" t="n">
        <f aca="false">100-MIN(K493/Assumptions!$B$14,1)*100</f>
        <v>22.9814814814815</v>
      </c>
      <c r="M493" s="21" t="n">
        <f aca="false">VLOOKUP(F493,Assumptions!$A$19:$B$23,2,0)</f>
        <v>25</v>
      </c>
      <c r="N493" s="21" t="n">
        <f aca="false">VLOOKUP(G493,Assumptions!$A$27:$B$30,2,0)</f>
        <v>60</v>
      </c>
      <c r="O493" s="21" t="n">
        <f aca="false">VLOOKUP(D493,Assumptions!$A$34:$B$37,2,0)</f>
        <v>100</v>
      </c>
      <c r="P493" s="21" t="n">
        <f aca="false">VLOOKUP(E493,Assumptions!$A$41:$B$43,2,0)</f>
        <v>60</v>
      </c>
      <c r="Q493" s="22" t="n">
        <f aca="false">L493*Assumptions!$B$7+M493*Assumptions!$B$8+N493*Assumptions!$B$9+O493*Assumptions!$B$10+P493*Assumptions!$B$11</f>
        <v>46.1444444444444</v>
      </c>
      <c r="R493" s="11" t="str">
        <f aca="false">IF(Q493&lt;=33,"High Risk",IF(Q493&lt;=66,"Medium Risk","Low Risk"))</f>
        <v>Medium Risk</v>
      </c>
    </row>
    <row r="494" customFormat="false" ht="15" hidden="false" customHeight="true" outlineLevel="0" collapsed="false">
      <c r="A494" s="20" t="n">
        <f aca="false">'Raw Data'!A494</f>
        <v>493</v>
      </c>
      <c r="B494" s="20" t="n">
        <f aca="false">'Raw Data'!B494</f>
        <v>27</v>
      </c>
      <c r="C494" s="20" t="str">
        <f aca="false">'Raw Data'!C494</f>
        <v>female</v>
      </c>
      <c r="D494" s="20" t="n">
        <f aca="false">'Raw Data'!D494</f>
        <v>2</v>
      </c>
      <c r="E494" s="20" t="str">
        <f aca="false">'Raw Data'!E494</f>
        <v>own</v>
      </c>
      <c r="F494" s="20" t="str">
        <f aca="false">'Raw Data'!F494</f>
        <v>moderate</v>
      </c>
      <c r="G494" s="20" t="str">
        <f aca="false">'Raw Data'!G494</f>
        <v>none</v>
      </c>
      <c r="H494" s="20" t="n">
        <f aca="false">'Raw Data'!H494</f>
        <v>1237</v>
      </c>
      <c r="I494" s="20" t="n">
        <f aca="false">'Raw Data'!I494</f>
        <v>6</v>
      </c>
      <c r="J494" s="20" t="str">
        <f aca="false">'Raw Data'!J494</f>
        <v>radio/TV</v>
      </c>
      <c r="K494" s="21" t="n">
        <f aca="false">H494/I494</f>
        <v>206.166666666667</v>
      </c>
      <c r="L494" s="21" t="n">
        <f aca="false">100-MIN(K494/Assumptions!$B$14,1)*100</f>
        <v>48.4583333333333</v>
      </c>
      <c r="M494" s="21" t="n">
        <f aca="false">VLOOKUP(F494,Assumptions!$A$19:$B$23,2,0)</f>
        <v>50</v>
      </c>
      <c r="N494" s="21" t="n">
        <f aca="false">VLOOKUP(G494,Assumptions!$A$27:$B$30,2,0)</f>
        <v>50</v>
      </c>
      <c r="O494" s="21" t="n">
        <f aca="false">VLOOKUP(D494,Assumptions!$A$34:$B$37,2,0)</f>
        <v>66</v>
      </c>
      <c r="P494" s="21" t="n">
        <f aca="false">VLOOKUP(E494,Assumptions!$A$41:$B$43,2,0)</f>
        <v>100</v>
      </c>
      <c r="Q494" s="22" t="n">
        <f aca="false">L494*Assumptions!$B$7+M494*Assumptions!$B$8+N494*Assumptions!$B$9+O494*Assumptions!$B$10+P494*Assumptions!$B$11</f>
        <v>56.9375</v>
      </c>
      <c r="R494" s="11" t="str">
        <f aca="false">IF(Q494&lt;=33,"High Risk",IF(Q494&lt;=66,"Medium Risk","Low Risk"))</f>
        <v>Medium Risk</v>
      </c>
    </row>
    <row r="495" customFormat="false" ht="15" hidden="false" customHeight="true" outlineLevel="0" collapsed="false">
      <c r="A495" s="20" t="n">
        <f aca="false">'Raw Data'!A495</f>
        <v>494</v>
      </c>
      <c r="B495" s="20" t="n">
        <f aca="false">'Raw Data'!B495</f>
        <v>38</v>
      </c>
      <c r="C495" s="20" t="str">
        <f aca="false">'Raw Data'!C495</f>
        <v>male</v>
      </c>
      <c r="D495" s="20" t="n">
        <f aca="false">'Raw Data'!D495</f>
        <v>2</v>
      </c>
      <c r="E495" s="20" t="str">
        <f aca="false">'Raw Data'!E495</f>
        <v>own</v>
      </c>
      <c r="F495" s="20" t="str">
        <f aca="false">'Raw Data'!F495</f>
        <v>none</v>
      </c>
      <c r="G495" s="20" t="str">
        <f aca="false">'Raw Data'!G495</f>
        <v>moderate</v>
      </c>
      <c r="H495" s="20" t="n">
        <f aca="false">'Raw Data'!H495</f>
        <v>368</v>
      </c>
      <c r="I495" s="20" t="n">
        <f aca="false">'Raw Data'!I495</f>
        <v>6</v>
      </c>
      <c r="J495" s="20" t="str">
        <f aca="false">'Raw Data'!J495</f>
        <v>radio/TV</v>
      </c>
      <c r="K495" s="21" t="n">
        <f aca="false">H495/I495</f>
        <v>61.3333333333333</v>
      </c>
      <c r="L495" s="21" t="n">
        <f aca="false">100-MIN(K495/Assumptions!$B$14,1)*100</f>
        <v>84.6666666666667</v>
      </c>
      <c r="M495" s="21" t="n">
        <f aca="false">VLOOKUP(F495,Assumptions!$A$19:$B$23,2,0)</f>
        <v>40</v>
      </c>
      <c r="N495" s="21" t="n">
        <f aca="false">VLOOKUP(G495,Assumptions!$A$27:$B$30,2,0)</f>
        <v>60</v>
      </c>
      <c r="O495" s="21" t="n">
        <f aca="false">VLOOKUP(D495,Assumptions!$A$34:$B$37,2,0)</f>
        <v>66</v>
      </c>
      <c r="P495" s="21" t="n">
        <f aca="false">VLOOKUP(E495,Assumptions!$A$41:$B$43,2,0)</f>
        <v>100</v>
      </c>
      <c r="Q495" s="22" t="n">
        <f aca="false">L495*Assumptions!$B$7+M495*Assumptions!$B$8+N495*Assumptions!$B$9+O495*Assumptions!$B$10+P495*Assumptions!$B$11</f>
        <v>67.3</v>
      </c>
      <c r="R495" s="11" t="str">
        <f aca="false">IF(Q495&lt;=33,"High Risk",IF(Q495&lt;=66,"Medium Risk","Low Risk"))</f>
        <v>Low Risk</v>
      </c>
    </row>
    <row r="496" customFormat="false" ht="15" hidden="false" customHeight="true" outlineLevel="0" collapsed="false">
      <c r="A496" s="20" t="n">
        <f aca="false">'Raw Data'!A496</f>
        <v>495</v>
      </c>
      <c r="B496" s="20" t="n">
        <f aca="false">'Raw Data'!B496</f>
        <v>39</v>
      </c>
      <c r="C496" s="20" t="str">
        <f aca="false">'Raw Data'!C496</f>
        <v>male</v>
      </c>
      <c r="D496" s="20" t="n">
        <f aca="false">'Raw Data'!D496</f>
        <v>1</v>
      </c>
      <c r="E496" s="20" t="str">
        <f aca="false">'Raw Data'!E496</f>
        <v>rent</v>
      </c>
      <c r="F496" s="20" t="str">
        <f aca="false">'Raw Data'!F496</f>
        <v>little</v>
      </c>
      <c r="G496" s="20" t="str">
        <f aca="false">'Raw Data'!G496</f>
        <v>little</v>
      </c>
      <c r="H496" s="20" t="n">
        <f aca="false">'Raw Data'!H496</f>
        <v>2122</v>
      </c>
      <c r="I496" s="20" t="n">
        <f aca="false">'Raw Data'!I496</f>
        <v>12</v>
      </c>
      <c r="J496" s="20" t="str">
        <f aca="false">'Raw Data'!J496</f>
        <v>car</v>
      </c>
      <c r="K496" s="21" t="n">
        <f aca="false">H496/I496</f>
        <v>176.833333333333</v>
      </c>
      <c r="L496" s="21" t="n">
        <f aca="false">100-MIN(K496/Assumptions!$B$14,1)*100</f>
        <v>55.7916666666667</v>
      </c>
      <c r="M496" s="21" t="n">
        <f aca="false">VLOOKUP(F496,Assumptions!$A$19:$B$23,2,0)</f>
        <v>25</v>
      </c>
      <c r="N496" s="21" t="n">
        <f aca="false">VLOOKUP(G496,Assumptions!$A$27:$B$30,2,0)</f>
        <v>25</v>
      </c>
      <c r="O496" s="21" t="n">
        <f aca="false">VLOOKUP(D496,Assumptions!$A$34:$B$37,2,0)</f>
        <v>33</v>
      </c>
      <c r="P496" s="21" t="n">
        <f aca="false">VLOOKUP(E496,Assumptions!$A$41:$B$43,2,0)</f>
        <v>30</v>
      </c>
      <c r="Q496" s="22" t="n">
        <f aca="false">L496*Assumptions!$B$7+M496*Assumptions!$B$8+N496*Assumptions!$B$9+O496*Assumptions!$B$10+P496*Assumptions!$B$11</f>
        <v>35.9375</v>
      </c>
      <c r="R496" s="11" t="str">
        <f aca="false">IF(Q496&lt;=33,"High Risk",IF(Q496&lt;=66,"Medium Risk","Low Risk"))</f>
        <v>Medium Risk</v>
      </c>
    </row>
    <row r="497" customFormat="false" ht="15" hidden="false" customHeight="true" outlineLevel="0" collapsed="false">
      <c r="A497" s="20" t="n">
        <f aca="false">'Raw Data'!A497</f>
        <v>496</v>
      </c>
      <c r="B497" s="20" t="n">
        <f aca="false">'Raw Data'!B497</f>
        <v>20</v>
      </c>
      <c r="C497" s="20" t="str">
        <f aca="false">'Raw Data'!C497</f>
        <v>male</v>
      </c>
      <c r="D497" s="20" t="n">
        <f aca="false">'Raw Data'!D497</f>
        <v>2</v>
      </c>
      <c r="E497" s="20" t="str">
        <f aca="false">'Raw Data'!E497</f>
        <v>own</v>
      </c>
      <c r="F497" s="20" t="str">
        <f aca="false">'Raw Data'!F497</f>
        <v>none</v>
      </c>
      <c r="G497" s="20" t="str">
        <f aca="false">'Raw Data'!G497</f>
        <v>little</v>
      </c>
      <c r="H497" s="20" t="n">
        <f aca="false">'Raw Data'!H497</f>
        <v>2996</v>
      </c>
      <c r="I497" s="20" t="n">
        <f aca="false">'Raw Data'!I497</f>
        <v>24</v>
      </c>
      <c r="J497" s="20" t="str">
        <f aca="false">'Raw Data'!J497</f>
        <v>furniture/equipment</v>
      </c>
      <c r="K497" s="21" t="n">
        <f aca="false">H497/I497</f>
        <v>124.833333333333</v>
      </c>
      <c r="L497" s="21" t="n">
        <f aca="false">100-MIN(K497/Assumptions!$B$14,1)*100</f>
        <v>68.7916666666667</v>
      </c>
      <c r="M497" s="21" t="n">
        <f aca="false">VLOOKUP(F497,Assumptions!$A$19:$B$23,2,0)</f>
        <v>40</v>
      </c>
      <c r="N497" s="21" t="n">
        <f aca="false">VLOOKUP(G497,Assumptions!$A$27:$B$30,2,0)</f>
        <v>25</v>
      </c>
      <c r="O497" s="21" t="n">
        <f aca="false">VLOOKUP(D497,Assumptions!$A$34:$B$37,2,0)</f>
        <v>66</v>
      </c>
      <c r="P497" s="21" t="n">
        <f aca="false">VLOOKUP(E497,Assumptions!$A$41:$B$43,2,0)</f>
        <v>100</v>
      </c>
      <c r="Q497" s="22" t="n">
        <f aca="false">L497*Assumptions!$B$7+M497*Assumptions!$B$8+N497*Assumptions!$B$9+O497*Assumptions!$B$10+P497*Assumptions!$B$11</f>
        <v>55.5375</v>
      </c>
      <c r="R497" s="11" t="str">
        <f aca="false">IF(Q497&lt;=33,"High Risk",IF(Q497&lt;=66,"Medium Risk","Low Risk"))</f>
        <v>Medium Risk</v>
      </c>
    </row>
    <row r="498" customFormat="false" ht="15" hidden="false" customHeight="true" outlineLevel="0" collapsed="false">
      <c r="A498" s="20" t="n">
        <f aca="false">'Raw Data'!A498</f>
        <v>497</v>
      </c>
      <c r="B498" s="20" t="n">
        <f aca="false">'Raw Data'!B498</f>
        <v>29</v>
      </c>
      <c r="C498" s="20" t="str">
        <f aca="false">'Raw Data'!C498</f>
        <v>male</v>
      </c>
      <c r="D498" s="20" t="n">
        <f aca="false">'Raw Data'!D498</f>
        <v>3</v>
      </c>
      <c r="E498" s="20" t="str">
        <f aca="false">'Raw Data'!E498</f>
        <v>rent</v>
      </c>
      <c r="F498" s="20" t="str">
        <f aca="false">'Raw Data'!F498</f>
        <v>moderate</v>
      </c>
      <c r="G498" s="20" t="str">
        <f aca="false">'Raw Data'!G498</f>
        <v>moderate</v>
      </c>
      <c r="H498" s="20" t="n">
        <f aca="false">'Raw Data'!H498</f>
        <v>9034</v>
      </c>
      <c r="I498" s="20" t="n">
        <f aca="false">'Raw Data'!I498</f>
        <v>36</v>
      </c>
      <c r="J498" s="20" t="str">
        <f aca="false">'Raw Data'!J498</f>
        <v>furniture/equipment</v>
      </c>
      <c r="K498" s="21" t="n">
        <f aca="false">H498/I498</f>
        <v>250.944444444444</v>
      </c>
      <c r="L498" s="21" t="n">
        <f aca="false">100-MIN(K498/Assumptions!$B$14,1)*100</f>
        <v>37.2638888888889</v>
      </c>
      <c r="M498" s="21" t="n">
        <f aca="false">VLOOKUP(F498,Assumptions!$A$19:$B$23,2,0)</f>
        <v>50</v>
      </c>
      <c r="N498" s="21" t="n">
        <f aca="false">VLOOKUP(G498,Assumptions!$A$27:$B$30,2,0)</f>
        <v>60</v>
      </c>
      <c r="O498" s="21" t="n">
        <f aca="false">VLOOKUP(D498,Assumptions!$A$34:$B$37,2,0)</f>
        <v>100</v>
      </c>
      <c r="P498" s="21" t="n">
        <f aca="false">VLOOKUP(E498,Assumptions!$A$41:$B$43,2,0)</f>
        <v>30</v>
      </c>
      <c r="Q498" s="22" t="n">
        <f aca="false">L498*Assumptions!$B$7+M498*Assumptions!$B$8+N498*Assumptions!$B$9+O498*Assumptions!$B$10+P498*Assumptions!$B$11</f>
        <v>53.6791666666667</v>
      </c>
      <c r="R498" s="11" t="str">
        <f aca="false">IF(Q498&lt;=33,"High Risk",IF(Q498&lt;=66,"Medium Risk","Low Risk"))</f>
        <v>Medium Risk</v>
      </c>
    </row>
    <row r="499" customFormat="false" ht="15" hidden="false" customHeight="true" outlineLevel="0" collapsed="false">
      <c r="A499" s="20" t="n">
        <f aca="false">'Raw Data'!A499</f>
        <v>498</v>
      </c>
      <c r="B499" s="20" t="n">
        <f aca="false">'Raw Data'!B499</f>
        <v>40</v>
      </c>
      <c r="C499" s="20" t="str">
        <f aca="false">'Raw Data'!C499</f>
        <v>male</v>
      </c>
      <c r="D499" s="20" t="n">
        <f aca="false">'Raw Data'!D499</f>
        <v>2</v>
      </c>
      <c r="E499" s="20" t="str">
        <f aca="false">'Raw Data'!E499</f>
        <v>own</v>
      </c>
      <c r="F499" s="20" t="str">
        <f aca="false">'Raw Data'!F499</f>
        <v>little</v>
      </c>
      <c r="G499" s="20" t="str">
        <f aca="false">'Raw Data'!G499</f>
        <v>none</v>
      </c>
      <c r="H499" s="20" t="n">
        <f aca="false">'Raw Data'!H499</f>
        <v>1585</v>
      </c>
      <c r="I499" s="20" t="n">
        <f aca="false">'Raw Data'!I499</f>
        <v>24</v>
      </c>
      <c r="J499" s="20" t="str">
        <f aca="false">'Raw Data'!J499</f>
        <v>furniture/equipment</v>
      </c>
      <c r="K499" s="21" t="n">
        <f aca="false">H499/I499</f>
        <v>66.0416666666667</v>
      </c>
      <c r="L499" s="21" t="n">
        <f aca="false">100-MIN(K499/Assumptions!$B$14,1)*100</f>
        <v>83.4895833333333</v>
      </c>
      <c r="M499" s="21" t="n">
        <f aca="false">VLOOKUP(F499,Assumptions!$A$19:$B$23,2,0)</f>
        <v>25</v>
      </c>
      <c r="N499" s="21" t="n">
        <f aca="false">VLOOKUP(G499,Assumptions!$A$27:$B$30,2,0)</f>
        <v>50</v>
      </c>
      <c r="O499" s="21" t="n">
        <f aca="false">VLOOKUP(D499,Assumptions!$A$34:$B$37,2,0)</f>
        <v>66</v>
      </c>
      <c r="P499" s="21" t="n">
        <f aca="false">VLOOKUP(E499,Assumptions!$A$41:$B$43,2,0)</f>
        <v>100</v>
      </c>
      <c r="Q499" s="22" t="n">
        <f aca="false">L499*Assumptions!$B$7+M499*Assumptions!$B$8+N499*Assumptions!$B$9+O499*Assumptions!$B$10+P499*Assumptions!$B$11</f>
        <v>61.196875</v>
      </c>
      <c r="R499" s="11" t="str">
        <f aca="false">IF(Q499&lt;=33,"High Risk",IF(Q499&lt;=66,"Medium Risk","Low Risk"))</f>
        <v>Medium Risk</v>
      </c>
    </row>
    <row r="500" customFormat="false" ht="15" hidden="false" customHeight="true" outlineLevel="0" collapsed="false">
      <c r="A500" s="20" t="n">
        <f aca="false">'Raw Data'!A500</f>
        <v>499</v>
      </c>
      <c r="B500" s="20" t="n">
        <f aca="false">'Raw Data'!B500</f>
        <v>32</v>
      </c>
      <c r="C500" s="20" t="str">
        <f aca="false">'Raw Data'!C500</f>
        <v>male</v>
      </c>
      <c r="D500" s="20" t="n">
        <f aca="false">'Raw Data'!D500</f>
        <v>1</v>
      </c>
      <c r="E500" s="20" t="str">
        <f aca="false">'Raw Data'!E500</f>
        <v>own</v>
      </c>
      <c r="F500" s="20" t="str">
        <f aca="false">'Raw Data'!F500</f>
        <v>little</v>
      </c>
      <c r="G500" s="20" t="str">
        <f aca="false">'Raw Data'!G500</f>
        <v>moderate</v>
      </c>
      <c r="H500" s="20" t="n">
        <f aca="false">'Raw Data'!H500</f>
        <v>1301</v>
      </c>
      <c r="I500" s="20" t="n">
        <f aca="false">'Raw Data'!I500</f>
        <v>18</v>
      </c>
      <c r="J500" s="20" t="str">
        <f aca="false">'Raw Data'!J500</f>
        <v>radio/TV</v>
      </c>
      <c r="K500" s="21" t="n">
        <f aca="false">H500/I500</f>
        <v>72.2777777777778</v>
      </c>
      <c r="L500" s="21" t="n">
        <f aca="false">100-MIN(K500/Assumptions!$B$14,1)*100</f>
        <v>81.9305555555556</v>
      </c>
      <c r="M500" s="21" t="n">
        <f aca="false">VLOOKUP(F500,Assumptions!$A$19:$B$23,2,0)</f>
        <v>25</v>
      </c>
      <c r="N500" s="21" t="n">
        <f aca="false">VLOOKUP(G500,Assumptions!$A$27:$B$30,2,0)</f>
        <v>60</v>
      </c>
      <c r="O500" s="21" t="n">
        <f aca="false">VLOOKUP(D500,Assumptions!$A$34:$B$37,2,0)</f>
        <v>33</v>
      </c>
      <c r="P500" s="21" t="n">
        <f aca="false">VLOOKUP(E500,Assumptions!$A$41:$B$43,2,0)</f>
        <v>100</v>
      </c>
      <c r="Q500" s="22" t="n">
        <f aca="false">L500*Assumptions!$B$7+M500*Assumptions!$B$8+N500*Assumptions!$B$9+O500*Assumptions!$B$10+P500*Assumptions!$B$11</f>
        <v>57.7791666666667</v>
      </c>
      <c r="R500" s="11" t="str">
        <f aca="false">IF(Q500&lt;=33,"High Risk",IF(Q500&lt;=66,"Medium Risk","Low Risk"))</f>
        <v>Medium Risk</v>
      </c>
    </row>
    <row r="501" customFormat="false" ht="15" hidden="false" customHeight="true" outlineLevel="0" collapsed="false">
      <c r="A501" s="20" t="n">
        <f aca="false">'Raw Data'!A501</f>
        <v>500</v>
      </c>
      <c r="B501" s="20" t="n">
        <f aca="false">'Raw Data'!B501</f>
        <v>28</v>
      </c>
      <c r="C501" s="20" t="str">
        <f aca="false">'Raw Data'!C501</f>
        <v>male</v>
      </c>
      <c r="D501" s="20" t="n">
        <f aca="false">'Raw Data'!D501</f>
        <v>2</v>
      </c>
      <c r="E501" s="20" t="str">
        <f aca="false">'Raw Data'!E501</f>
        <v>own</v>
      </c>
      <c r="F501" s="20" t="str">
        <f aca="false">'Raw Data'!F501</f>
        <v>moderate</v>
      </c>
      <c r="G501" s="20" t="str">
        <f aca="false">'Raw Data'!G501</f>
        <v>rich</v>
      </c>
      <c r="H501" s="20" t="n">
        <f aca="false">'Raw Data'!H501</f>
        <v>1323</v>
      </c>
      <c r="I501" s="20" t="n">
        <f aca="false">'Raw Data'!I501</f>
        <v>6</v>
      </c>
      <c r="J501" s="20" t="str">
        <f aca="false">'Raw Data'!J501</f>
        <v>car</v>
      </c>
      <c r="K501" s="21" t="n">
        <f aca="false">H501/I501</f>
        <v>220.5</v>
      </c>
      <c r="L501" s="21" t="n">
        <f aca="false">100-MIN(K501/Assumptions!$B$14,1)*100</f>
        <v>44.875</v>
      </c>
      <c r="M501" s="21" t="n">
        <f aca="false">VLOOKUP(F501,Assumptions!$A$19:$B$23,2,0)</f>
        <v>50</v>
      </c>
      <c r="N501" s="21" t="n">
        <f aca="false">VLOOKUP(G501,Assumptions!$A$27:$B$30,2,0)</f>
        <v>100</v>
      </c>
      <c r="O501" s="21" t="n">
        <f aca="false">VLOOKUP(D501,Assumptions!$A$34:$B$37,2,0)</f>
        <v>66</v>
      </c>
      <c r="P501" s="21" t="n">
        <f aca="false">VLOOKUP(E501,Assumptions!$A$41:$B$43,2,0)</f>
        <v>100</v>
      </c>
      <c r="Q501" s="22" t="n">
        <f aca="false">L501*Assumptions!$B$7+M501*Assumptions!$B$8+N501*Assumptions!$B$9+O501*Assumptions!$B$10+P501*Assumptions!$B$11</f>
        <v>65.8625</v>
      </c>
      <c r="R501" s="11" t="str">
        <f aca="false">IF(Q501&lt;=33,"High Risk",IF(Q501&lt;=66,"Medium Risk","Low Risk"))</f>
        <v>Medium Risk</v>
      </c>
    </row>
    <row r="502" customFormat="false" ht="15" hidden="false" customHeight="true" outlineLevel="0" collapsed="false">
      <c r="A502" s="20" t="n">
        <f aca="false">'Raw Data'!A502</f>
        <v>501</v>
      </c>
      <c r="B502" s="20" t="n">
        <f aca="false">'Raw Data'!B502</f>
        <v>27</v>
      </c>
      <c r="C502" s="20" t="str">
        <f aca="false">'Raw Data'!C502</f>
        <v>female</v>
      </c>
      <c r="D502" s="20" t="n">
        <f aca="false">'Raw Data'!D502</f>
        <v>2</v>
      </c>
      <c r="E502" s="20" t="str">
        <f aca="false">'Raw Data'!E502</f>
        <v>own</v>
      </c>
      <c r="F502" s="20" t="str">
        <f aca="false">'Raw Data'!F502</f>
        <v>little</v>
      </c>
      <c r="G502" s="20" t="str">
        <f aca="false">'Raw Data'!G502</f>
        <v>little</v>
      </c>
      <c r="H502" s="20" t="n">
        <f aca="false">'Raw Data'!H502</f>
        <v>3123</v>
      </c>
      <c r="I502" s="20" t="n">
        <f aca="false">'Raw Data'!I502</f>
        <v>24</v>
      </c>
      <c r="J502" s="20" t="str">
        <f aca="false">'Raw Data'!J502</f>
        <v>car</v>
      </c>
      <c r="K502" s="21" t="n">
        <f aca="false">H502/I502</f>
        <v>130.125</v>
      </c>
      <c r="L502" s="21" t="n">
        <f aca="false">100-MIN(K502/Assumptions!$B$14,1)*100</f>
        <v>67.46875</v>
      </c>
      <c r="M502" s="21" t="n">
        <f aca="false">VLOOKUP(F502,Assumptions!$A$19:$B$23,2,0)</f>
        <v>25</v>
      </c>
      <c r="N502" s="21" t="n">
        <f aca="false">VLOOKUP(G502,Assumptions!$A$27:$B$30,2,0)</f>
        <v>25</v>
      </c>
      <c r="O502" s="21" t="n">
        <f aca="false">VLOOKUP(D502,Assumptions!$A$34:$B$37,2,0)</f>
        <v>66</v>
      </c>
      <c r="P502" s="21" t="n">
        <f aca="false">VLOOKUP(E502,Assumptions!$A$41:$B$43,2,0)</f>
        <v>100</v>
      </c>
      <c r="Q502" s="22" t="n">
        <f aca="false">L502*Assumptions!$B$7+M502*Assumptions!$B$8+N502*Assumptions!$B$9+O502*Assumptions!$B$10+P502*Assumptions!$B$11</f>
        <v>51.390625</v>
      </c>
      <c r="R502" s="11" t="str">
        <f aca="false">IF(Q502&lt;=33,"High Risk",IF(Q502&lt;=66,"Medium Risk","Low Risk"))</f>
        <v>Medium Risk</v>
      </c>
    </row>
    <row r="503" customFormat="false" ht="15" hidden="false" customHeight="true" outlineLevel="0" collapsed="false">
      <c r="A503" s="20" t="n">
        <f aca="false">'Raw Data'!A503</f>
        <v>502</v>
      </c>
      <c r="B503" s="20" t="n">
        <f aca="false">'Raw Data'!B503</f>
        <v>42</v>
      </c>
      <c r="C503" s="20" t="str">
        <f aca="false">'Raw Data'!C503</f>
        <v>male</v>
      </c>
      <c r="D503" s="20" t="n">
        <f aca="false">'Raw Data'!D503</f>
        <v>2</v>
      </c>
      <c r="E503" s="20" t="str">
        <f aca="false">'Raw Data'!E503</f>
        <v>free</v>
      </c>
      <c r="F503" s="20" t="str">
        <f aca="false">'Raw Data'!F503</f>
        <v>little</v>
      </c>
      <c r="G503" s="20" t="str">
        <f aca="false">'Raw Data'!G503</f>
        <v>little</v>
      </c>
      <c r="H503" s="20" t="n">
        <f aca="false">'Raw Data'!H503</f>
        <v>5493</v>
      </c>
      <c r="I503" s="20" t="n">
        <f aca="false">'Raw Data'!I503</f>
        <v>36</v>
      </c>
      <c r="J503" s="20" t="str">
        <f aca="false">'Raw Data'!J503</f>
        <v>car</v>
      </c>
      <c r="K503" s="21" t="n">
        <f aca="false">H503/I503</f>
        <v>152.583333333333</v>
      </c>
      <c r="L503" s="21" t="n">
        <f aca="false">100-MIN(K503/Assumptions!$B$14,1)*100</f>
        <v>61.8541666666667</v>
      </c>
      <c r="M503" s="21" t="n">
        <f aca="false">VLOOKUP(F503,Assumptions!$A$19:$B$23,2,0)</f>
        <v>25</v>
      </c>
      <c r="N503" s="21" t="n">
        <f aca="false">VLOOKUP(G503,Assumptions!$A$27:$B$30,2,0)</f>
        <v>25</v>
      </c>
      <c r="O503" s="21" t="n">
        <f aca="false">VLOOKUP(D503,Assumptions!$A$34:$B$37,2,0)</f>
        <v>66</v>
      </c>
      <c r="P503" s="21" t="n">
        <f aca="false">VLOOKUP(E503,Assumptions!$A$41:$B$43,2,0)</f>
        <v>60</v>
      </c>
      <c r="Q503" s="22" t="n">
        <f aca="false">L503*Assumptions!$B$7+M503*Assumptions!$B$8+N503*Assumptions!$B$9+O503*Assumptions!$B$10+P503*Assumptions!$B$11</f>
        <v>45.70625</v>
      </c>
      <c r="R503" s="11" t="str">
        <f aca="false">IF(Q503&lt;=33,"High Risk",IF(Q503&lt;=66,"Medium Risk","Low Risk"))</f>
        <v>Medium Risk</v>
      </c>
    </row>
    <row r="504" customFormat="false" ht="15" hidden="false" customHeight="true" outlineLevel="0" collapsed="false">
      <c r="A504" s="20" t="n">
        <f aca="false">'Raw Data'!A504</f>
        <v>503</v>
      </c>
      <c r="B504" s="20" t="n">
        <f aca="false">'Raw Data'!B504</f>
        <v>49</v>
      </c>
      <c r="C504" s="20" t="str">
        <f aca="false">'Raw Data'!C504</f>
        <v>male</v>
      </c>
      <c r="D504" s="20" t="n">
        <f aca="false">'Raw Data'!D504</f>
        <v>2</v>
      </c>
      <c r="E504" s="20" t="str">
        <f aca="false">'Raw Data'!E504</f>
        <v>own</v>
      </c>
      <c r="F504" s="20" t="str">
        <f aca="false">'Raw Data'!F504</f>
        <v>moderate</v>
      </c>
      <c r="G504" s="20" t="str">
        <f aca="false">'Raw Data'!G504</f>
        <v>rich</v>
      </c>
      <c r="H504" s="20" t="n">
        <f aca="false">'Raw Data'!H504</f>
        <v>1126</v>
      </c>
      <c r="I504" s="20" t="n">
        <f aca="false">'Raw Data'!I504</f>
        <v>9</v>
      </c>
      <c r="J504" s="20" t="str">
        <f aca="false">'Raw Data'!J504</f>
        <v>radio/TV</v>
      </c>
      <c r="K504" s="21" t="n">
        <f aca="false">H504/I504</f>
        <v>125.111111111111</v>
      </c>
      <c r="L504" s="21" t="n">
        <f aca="false">100-MIN(K504/Assumptions!$B$14,1)*100</f>
        <v>68.7222222222222</v>
      </c>
      <c r="M504" s="21" t="n">
        <f aca="false">VLOOKUP(F504,Assumptions!$A$19:$B$23,2,0)</f>
        <v>50</v>
      </c>
      <c r="N504" s="21" t="n">
        <f aca="false">VLOOKUP(G504,Assumptions!$A$27:$B$30,2,0)</f>
        <v>100</v>
      </c>
      <c r="O504" s="21" t="n">
        <f aca="false">VLOOKUP(D504,Assumptions!$A$34:$B$37,2,0)</f>
        <v>66</v>
      </c>
      <c r="P504" s="21" t="n">
        <f aca="false">VLOOKUP(E504,Assumptions!$A$41:$B$43,2,0)</f>
        <v>100</v>
      </c>
      <c r="Q504" s="22" t="n">
        <f aca="false">L504*Assumptions!$B$7+M504*Assumptions!$B$8+N504*Assumptions!$B$9+O504*Assumptions!$B$10+P504*Assumptions!$B$11</f>
        <v>73.0166666666667</v>
      </c>
      <c r="R504" s="11" t="str">
        <f aca="false">IF(Q504&lt;=33,"High Risk",IF(Q504&lt;=66,"Medium Risk","Low Risk"))</f>
        <v>Low Risk</v>
      </c>
    </row>
    <row r="505" customFormat="false" ht="15" hidden="false" customHeight="true" outlineLevel="0" collapsed="false">
      <c r="A505" s="20" t="n">
        <f aca="false">'Raw Data'!A505</f>
        <v>504</v>
      </c>
      <c r="B505" s="20" t="n">
        <f aca="false">'Raw Data'!B505</f>
        <v>38</v>
      </c>
      <c r="C505" s="20" t="str">
        <f aca="false">'Raw Data'!C505</f>
        <v>male</v>
      </c>
      <c r="D505" s="20" t="n">
        <f aca="false">'Raw Data'!D505</f>
        <v>2</v>
      </c>
      <c r="E505" s="20" t="str">
        <f aca="false">'Raw Data'!E505</f>
        <v>own</v>
      </c>
      <c r="F505" s="20" t="str">
        <f aca="false">'Raw Data'!F505</f>
        <v>moderate</v>
      </c>
      <c r="G505" s="20" t="str">
        <f aca="false">'Raw Data'!G505</f>
        <v>moderate</v>
      </c>
      <c r="H505" s="20" t="n">
        <f aca="false">'Raw Data'!H505</f>
        <v>1216</v>
      </c>
      <c r="I505" s="20" t="n">
        <f aca="false">'Raw Data'!I505</f>
        <v>24</v>
      </c>
      <c r="J505" s="20" t="str">
        <f aca="false">'Raw Data'!J505</f>
        <v>radio/TV</v>
      </c>
      <c r="K505" s="21" t="n">
        <f aca="false">H505/I505</f>
        <v>50.6666666666667</v>
      </c>
      <c r="L505" s="21" t="n">
        <f aca="false">100-MIN(K505/Assumptions!$B$14,1)*100</f>
        <v>87.3333333333333</v>
      </c>
      <c r="M505" s="21" t="n">
        <f aca="false">VLOOKUP(F505,Assumptions!$A$19:$B$23,2,0)</f>
        <v>50</v>
      </c>
      <c r="N505" s="21" t="n">
        <f aca="false">VLOOKUP(G505,Assumptions!$A$27:$B$30,2,0)</f>
        <v>60</v>
      </c>
      <c r="O505" s="21" t="n">
        <f aca="false">VLOOKUP(D505,Assumptions!$A$34:$B$37,2,0)</f>
        <v>66</v>
      </c>
      <c r="P505" s="21" t="n">
        <f aca="false">VLOOKUP(E505,Assumptions!$A$41:$B$43,2,0)</f>
        <v>100</v>
      </c>
      <c r="Q505" s="22" t="n">
        <f aca="false">L505*Assumptions!$B$7+M505*Assumptions!$B$8+N505*Assumptions!$B$9+O505*Assumptions!$B$10+P505*Assumptions!$B$11</f>
        <v>70.6</v>
      </c>
      <c r="R505" s="11" t="str">
        <f aca="false">IF(Q505&lt;=33,"High Risk",IF(Q505&lt;=66,"Medium Risk","Low Risk"))</f>
        <v>Low Risk</v>
      </c>
    </row>
    <row r="506" customFormat="false" ht="15" hidden="false" customHeight="true" outlineLevel="0" collapsed="false">
      <c r="A506" s="20" t="n">
        <f aca="false">'Raw Data'!A506</f>
        <v>505</v>
      </c>
      <c r="B506" s="20" t="n">
        <f aca="false">'Raw Data'!B506</f>
        <v>24</v>
      </c>
      <c r="C506" s="20" t="str">
        <f aca="false">'Raw Data'!C506</f>
        <v>female</v>
      </c>
      <c r="D506" s="20" t="n">
        <f aca="false">'Raw Data'!D506</f>
        <v>2</v>
      </c>
      <c r="E506" s="20" t="str">
        <f aca="false">'Raw Data'!E506</f>
        <v>rent</v>
      </c>
      <c r="F506" s="20" t="str">
        <f aca="false">'Raw Data'!F506</f>
        <v>little</v>
      </c>
      <c r="G506" s="20" t="str">
        <f aca="false">'Raw Data'!G506</f>
        <v>little</v>
      </c>
      <c r="H506" s="20" t="n">
        <f aca="false">'Raw Data'!H506</f>
        <v>1207</v>
      </c>
      <c r="I506" s="20" t="n">
        <f aca="false">'Raw Data'!I506</f>
        <v>24</v>
      </c>
      <c r="J506" s="20" t="str">
        <f aca="false">'Raw Data'!J506</f>
        <v>car</v>
      </c>
      <c r="K506" s="21" t="n">
        <f aca="false">H506/I506</f>
        <v>50.2916666666667</v>
      </c>
      <c r="L506" s="21" t="n">
        <f aca="false">100-MIN(K506/Assumptions!$B$14,1)*100</f>
        <v>87.4270833333333</v>
      </c>
      <c r="M506" s="21" t="n">
        <f aca="false">VLOOKUP(F506,Assumptions!$A$19:$B$23,2,0)</f>
        <v>25</v>
      </c>
      <c r="N506" s="21" t="n">
        <f aca="false">VLOOKUP(G506,Assumptions!$A$27:$B$30,2,0)</f>
        <v>25</v>
      </c>
      <c r="O506" s="21" t="n">
        <f aca="false">VLOOKUP(D506,Assumptions!$A$34:$B$37,2,0)</f>
        <v>66</v>
      </c>
      <c r="P506" s="21" t="n">
        <f aca="false">VLOOKUP(E506,Assumptions!$A$41:$B$43,2,0)</f>
        <v>30</v>
      </c>
      <c r="Q506" s="22" t="n">
        <f aca="false">L506*Assumptions!$B$7+M506*Assumptions!$B$8+N506*Assumptions!$B$9+O506*Assumptions!$B$10+P506*Assumptions!$B$11</f>
        <v>50.378125</v>
      </c>
      <c r="R506" s="11" t="str">
        <f aca="false">IF(Q506&lt;=33,"High Risk",IF(Q506&lt;=66,"Medium Risk","Low Risk"))</f>
        <v>Medium Risk</v>
      </c>
    </row>
    <row r="507" customFormat="false" ht="15" hidden="false" customHeight="true" outlineLevel="0" collapsed="false">
      <c r="A507" s="20" t="n">
        <f aca="false">'Raw Data'!A507</f>
        <v>506</v>
      </c>
      <c r="B507" s="20" t="n">
        <f aca="false">'Raw Data'!B507</f>
        <v>27</v>
      </c>
      <c r="C507" s="20" t="str">
        <f aca="false">'Raw Data'!C507</f>
        <v>male</v>
      </c>
      <c r="D507" s="20" t="n">
        <f aca="false">'Raw Data'!D507</f>
        <v>1</v>
      </c>
      <c r="E507" s="20" t="str">
        <f aca="false">'Raw Data'!E507</f>
        <v>own</v>
      </c>
      <c r="F507" s="20" t="str">
        <f aca="false">'Raw Data'!F507</f>
        <v>none</v>
      </c>
      <c r="G507" s="20" t="str">
        <f aca="false">'Raw Data'!G507</f>
        <v>none</v>
      </c>
      <c r="H507" s="20" t="n">
        <f aca="false">'Raw Data'!H507</f>
        <v>1309</v>
      </c>
      <c r="I507" s="20" t="n">
        <f aca="false">'Raw Data'!I507</f>
        <v>10</v>
      </c>
      <c r="J507" s="20" t="str">
        <f aca="false">'Raw Data'!J507</f>
        <v>car</v>
      </c>
      <c r="K507" s="21" t="n">
        <f aca="false">H507/I507</f>
        <v>130.9</v>
      </c>
      <c r="L507" s="21" t="n">
        <f aca="false">100-MIN(K507/Assumptions!$B$14,1)*100</f>
        <v>67.275</v>
      </c>
      <c r="M507" s="21" t="n">
        <f aca="false">VLOOKUP(F507,Assumptions!$A$19:$B$23,2,0)</f>
        <v>40</v>
      </c>
      <c r="N507" s="21" t="n">
        <f aca="false">VLOOKUP(G507,Assumptions!$A$27:$B$30,2,0)</f>
        <v>50</v>
      </c>
      <c r="O507" s="21" t="n">
        <f aca="false">VLOOKUP(D507,Assumptions!$A$34:$B$37,2,0)</f>
        <v>33</v>
      </c>
      <c r="P507" s="21" t="n">
        <f aca="false">VLOOKUP(E507,Assumptions!$A$41:$B$43,2,0)</f>
        <v>100</v>
      </c>
      <c r="Q507" s="22" t="n">
        <f aca="false">L507*Assumptions!$B$7+M507*Assumptions!$B$8+N507*Assumptions!$B$9+O507*Assumptions!$B$10+P507*Assumptions!$B$11</f>
        <v>55.1325</v>
      </c>
      <c r="R507" s="11" t="str">
        <f aca="false">IF(Q507&lt;=33,"High Risk",IF(Q507&lt;=66,"Medium Risk","Low Risk"))</f>
        <v>Medium Risk</v>
      </c>
    </row>
    <row r="508" customFormat="false" ht="15" hidden="false" customHeight="true" outlineLevel="0" collapsed="false">
      <c r="A508" s="20" t="n">
        <f aca="false">'Raw Data'!A508</f>
        <v>507</v>
      </c>
      <c r="B508" s="20" t="n">
        <f aca="false">'Raw Data'!B508</f>
        <v>36</v>
      </c>
      <c r="C508" s="20" t="str">
        <f aca="false">'Raw Data'!C508</f>
        <v>male</v>
      </c>
      <c r="D508" s="20" t="n">
        <f aca="false">'Raw Data'!D508</f>
        <v>2</v>
      </c>
      <c r="E508" s="20" t="str">
        <f aca="false">'Raw Data'!E508</f>
        <v>own</v>
      </c>
      <c r="F508" s="20" t="str">
        <f aca="false">'Raw Data'!F508</f>
        <v>quite rich</v>
      </c>
      <c r="G508" s="20" t="str">
        <f aca="false">'Raw Data'!G508</f>
        <v>rich</v>
      </c>
      <c r="H508" s="20" t="n">
        <f aca="false">'Raw Data'!H508</f>
        <v>2360</v>
      </c>
      <c r="I508" s="20" t="n">
        <f aca="false">'Raw Data'!I508</f>
        <v>15</v>
      </c>
      <c r="J508" s="20" t="str">
        <f aca="false">'Raw Data'!J508</f>
        <v>car</v>
      </c>
      <c r="K508" s="21" t="n">
        <f aca="false">H508/I508</f>
        <v>157.333333333333</v>
      </c>
      <c r="L508" s="21" t="n">
        <f aca="false">100-MIN(K508/Assumptions!$B$14,1)*100</f>
        <v>60.6666666666667</v>
      </c>
      <c r="M508" s="21" t="n">
        <f aca="false">VLOOKUP(F508,Assumptions!$A$19:$B$23,2,0)</f>
        <v>75</v>
      </c>
      <c r="N508" s="21" t="n">
        <f aca="false">VLOOKUP(G508,Assumptions!$A$27:$B$30,2,0)</f>
        <v>100</v>
      </c>
      <c r="O508" s="21" t="n">
        <f aca="false">VLOOKUP(D508,Assumptions!$A$34:$B$37,2,0)</f>
        <v>66</v>
      </c>
      <c r="P508" s="21" t="n">
        <f aca="false">VLOOKUP(E508,Assumptions!$A$41:$B$43,2,0)</f>
        <v>100</v>
      </c>
      <c r="Q508" s="22" t="n">
        <f aca="false">L508*Assumptions!$B$7+M508*Assumptions!$B$8+N508*Assumptions!$B$9+O508*Assumptions!$B$10+P508*Assumptions!$B$11</f>
        <v>76.85</v>
      </c>
      <c r="R508" s="11" t="str">
        <f aca="false">IF(Q508&lt;=33,"High Risk",IF(Q508&lt;=66,"Medium Risk","Low Risk"))</f>
        <v>Low Risk</v>
      </c>
    </row>
    <row r="509" customFormat="false" ht="15" hidden="false" customHeight="true" outlineLevel="0" collapsed="false">
      <c r="A509" s="20" t="n">
        <f aca="false">'Raw Data'!A509</f>
        <v>508</v>
      </c>
      <c r="B509" s="20" t="n">
        <f aca="false">'Raw Data'!B509</f>
        <v>34</v>
      </c>
      <c r="C509" s="20" t="str">
        <f aca="false">'Raw Data'!C509</f>
        <v>male</v>
      </c>
      <c r="D509" s="20" t="n">
        <f aca="false">'Raw Data'!D509</f>
        <v>3</v>
      </c>
      <c r="E509" s="20" t="str">
        <f aca="false">'Raw Data'!E509</f>
        <v>own</v>
      </c>
      <c r="F509" s="20" t="str">
        <f aca="false">'Raw Data'!F509</f>
        <v>moderate</v>
      </c>
      <c r="G509" s="20" t="str">
        <f aca="false">'Raw Data'!G509</f>
        <v>moderate</v>
      </c>
      <c r="H509" s="20" t="n">
        <f aca="false">'Raw Data'!H509</f>
        <v>6850</v>
      </c>
      <c r="I509" s="20" t="n">
        <f aca="false">'Raw Data'!I509</f>
        <v>15</v>
      </c>
      <c r="J509" s="20" t="str">
        <f aca="false">'Raw Data'!J509</f>
        <v>car</v>
      </c>
      <c r="K509" s="21" t="n">
        <f aca="false">H509/I509</f>
        <v>456.666666666667</v>
      </c>
      <c r="L509" s="21" t="n">
        <f aca="false">100-MIN(K509/Assumptions!$B$14,1)*100</f>
        <v>0</v>
      </c>
      <c r="M509" s="21" t="n">
        <f aca="false">VLOOKUP(F509,Assumptions!$A$19:$B$23,2,0)</f>
        <v>50</v>
      </c>
      <c r="N509" s="21" t="n">
        <f aca="false">VLOOKUP(G509,Assumptions!$A$27:$B$30,2,0)</f>
        <v>60</v>
      </c>
      <c r="O509" s="21" t="n">
        <f aca="false">VLOOKUP(D509,Assumptions!$A$34:$B$37,2,0)</f>
        <v>100</v>
      </c>
      <c r="P509" s="21" t="n">
        <f aca="false">VLOOKUP(E509,Assumptions!$A$41:$B$43,2,0)</f>
        <v>100</v>
      </c>
      <c r="Q509" s="22" t="n">
        <f aca="false">L509*Assumptions!$B$7+M509*Assumptions!$B$8+N509*Assumptions!$B$9+O509*Assumptions!$B$10+P509*Assumptions!$B$11</f>
        <v>49.5</v>
      </c>
      <c r="R509" s="11" t="str">
        <f aca="false">IF(Q509&lt;=33,"High Risk",IF(Q509&lt;=66,"Medium Risk","Low Risk"))</f>
        <v>Medium Risk</v>
      </c>
    </row>
    <row r="510" customFormat="false" ht="15" hidden="false" customHeight="true" outlineLevel="0" collapsed="false">
      <c r="A510" s="20" t="n">
        <f aca="false">'Raw Data'!A510</f>
        <v>509</v>
      </c>
      <c r="B510" s="20" t="n">
        <f aca="false">'Raw Data'!B510</f>
        <v>28</v>
      </c>
      <c r="C510" s="20" t="str">
        <f aca="false">'Raw Data'!C510</f>
        <v>male</v>
      </c>
      <c r="D510" s="20" t="n">
        <f aca="false">'Raw Data'!D510</f>
        <v>2</v>
      </c>
      <c r="E510" s="20" t="str">
        <f aca="false">'Raw Data'!E510</f>
        <v>own</v>
      </c>
      <c r="F510" s="20" t="str">
        <f aca="false">'Raw Data'!F510</f>
        <v>little</v>
      </c>
      <c r="G510" s="20" t="str">
        <f aca="false">'Raw Data'!G510</f>
        <v>none</v>
      </c>
      <c r="H510" s="20" t="n">
        <f aca="false">'Raw Data'!H510</f>
        <v>1413</v>
      </c>
      <c r="I510" s="20" t="n">
        <f aca="false">'Raw Data'!I510</f>
        <v>24</v>
      </c>
      <c r="J510" s="20" t="str">
        <f aca="false">'Raw Data'!J510</f>
        <v>radio/TV</v>
      </c>
      <c r="K510" s="21" t="n">
        <f aca="false">H510/I510</f>
        <v>58.875</v>
      </c>
      <c r="L510" s="21" t="n">
        <f aca="false">100-MIN(K510/Assumptions!$B$14,1)*100</f>
        <v>85.28125</v>
      </c>
      <c r="M510" s="21" t="n">
        <f aca="false">VLOOKUP(F510,Assumptions!$A$19:$B$23,2,0)</f>
        <v>25</v>
      </c>
      <c r="N510" s="21" t="n">
        <f aca="false">VLOOKUP(G510,Assumptions!$A$27:$B$30,2,0)</f>
        <v>50</v>
      </c>
      <c r="O510" s="21" t="n">
        <f aca="false">VLOOKUP(D510,Assumptions!$A$34:$B$37,2,0)</f>
        <v>66</v>
      </c>
      <c r="P510" s="21" t="n">
        <f aca="false">VLOOKUP(E510,Assumptions!$A$41:$B$43,2,0)</f>
        <v>100</v>
      </c>
      <c r="Q510" s="22" t="n">
        <f aca="false">L510*Assumptions!$B$7+M510*Assumptions!$B$8+N510*Assumptions!$B$9+O510*Assumptions!$B$10+P510*Assumptions!$B$11</f>
        <v>61.734375</v>
      </c>
      <c r="R510" s="11" t="str">
        <f aca="false">IF(Q510&lt;=33,"High Risk",IF(Q510&lt;=66,"Medium Risk","Low Risk"))</f>
        <v>Medium Risk</v>
      </c>
    </row>
    <row r="511" customFormat="false" ht="15" hidden="false" customHeight="true" outlineLevel="0" collapsed="false">
      <c r="A511" s="20" t="n">
        <f aca="false">'Raw Data'!A511</f>
        <v>510</v>
      </c>
      <c r="B511" s="20" t="n">
        <f aca="false">'Raw Data'!B511</f>
        <v>45</v>
      </c>
      <c r="C511" s="20" t="str">
        <f aca="false">'Raw Data'!C511</f>
        <v>male</v>
      </c>
      <c r="D511" s="20" t="n">
        <f aca="false">'Raw Data'!D511</f>
        <v>3</v>
      </c>
      <c r="E511" s="20" t="str">
        <f aca="false">'Raw Data'!E511</f>
        <v>own</v>
      </c>
      <c r="F511" s="20" t="str">
        <f aca="false">'Raw Data'!F511</f>
        <v>moderate</v>
      </c>
      <c r="G511" s="20" t="str">
        <f aca="false">'Raw Data'!G511</f>
        <v>none</v>
      </c>
      <c r="H511" s="20" t="n">
        <f aca="false">'Raw Data'!H511</f>
        <v>8588</v>
      </c>
      <c r="I511" s="20" t="n">
        <f aca="false">'Raw Data'!I511</f>
        <v>39</v>
      </c>
      <c r="J511" s="20" t="str">
        <f aca="false">'Raw Data'!J511</f>
        <v>car</v>
      </c>
      <c r="K511" s="21" t="n">
        <f aca="false">H511/I511</f>
        <v>220.205128205128</v>
      </c>
      <c r="L511" s="21" t="n">
        <f aca="false">100-MIN(K511/Assumptions!$B$14,1)*100</f>
        <v>44.948717948718</v>
      </c>
      <c r="M511" s="21" t="n">
        <f aca="false">VLOOKUP(F511,Assumptions!$A$19:$B$23,2,0)</f>
        <v>50</v>
      </c>
      <c r="N511" s="21" t="n">
        <f aca="false">VLOOKUP(G511,Assumptions!$A$27:$B$30,2,0)</f>
        <v>50</v>
      </c>
      <c r="O511" s="21" t="n">
        <f aca="false">VLOOKUP(D511,Assumptions!$A$34:$B$37,2,0)</f>
        <v>100</v>
      </c>
      <c r="P511" s="21" t="n">
        <f aca="false">VLOOKUP(E511,Assumptions!$A$41:$B$43,2,0)</f>
        <v>100</v>
      </c>
      <c r="Q511" s="22" t="n">
        <f aca="false">L511*Assumptions!$B$7+M511*Assumptions!$B$8+N511*Assumptions!$B$9+O511*Assumptions!$B$10+P511*Assumptions!$B$11</f>
        <v>60.9846153846154</v>
      </c>
      <c r="R511" s="11" t="str">
        <f aca="false">IF(Q511&lt;=33,"High Risk",IF(Q511&lt;=66,"Medium Risk","Low Risk"))</f>
        <v>Medium Risk</v>
      </c>
    </row>
    <row r="512" customFormat="false" ht="15" hidden="false" customHeight="true" outlineLevel="0" collapsed="false">
      <c r="A512" s="20" t="n">
        <f aca="false">'Raw Data'!A512</f>
        <v>511</v>
      </c>
      <c r="B512" s="20" t="n">
        <f aca="false">'Raw Data'!B512</f>
        <v>26</v>
      </c>
      <c r="C512" s="20" t="str">
        <f aca="false">'Raw Data'!C512</f>
        <v>male</v>
      </c>
      <c r="D512" s="20" t="n">
        <f aca="false">'Raw Data'!D512</f>
        <v>2</v>
      </c>
      <c r="E512" s="20" t="str">
        <f aca="false">'Raw Data'!E512</f>
        <v>own</v>
      </c>
      <c r="F512" s="20" t="str">
        <f aca="false">'Raw Data'!F512</f>
        <v>little</v>
      </c>
      <c r="G512" s="20" t="str">
        <f aca="false">'Raw Data'!G512</f>
        <v>little</v>
      </c>
      <c r="H512" s="20" t="n">
        <f aca="false">'Raw Data'!H512</f>
        <v>759</v>
      </c>
      <c r="I512" s="20" t="n">
        <f aca="false">'Raw Data'!I512</f>
        <v>12</v>
      </c>
      <c r="J512" s="20" t="str">
        <f aca="false">'Raw Data'!J512</f>
        <v>car</v>
      </c>
      <c r="K512" s="21" t="n">
        <f aca="false">H512/I512</f>
        <v>63.25</v>
      </c>
      <c r="L512" s="21" t="n">
        <f aca="false">100-MIN(K512/Assumptions!$B$14,1)*100</f>
        <v>84.1875</v>
      </c>
      <c r="M512" s="21" t="n">
        <f aca="false">VLOOKUP(F512,Assumptions!$A$19:$B$23,2,0)</f>
        <v>25</v>
      </c>
      <c r="N512" s="21" t="n">
        <f aca="false">VLOOKUP(G512,Assumptions!$A$27:$B$30,2,0)</f>
        <v>25</v>
      </c>
      <c r="O512" s="21" t="n">
        <f aca="false">VLOOKUP(D512,Assumptions!$A$34:$B$37,2,0)</f>
        <v>66</v>
      </c>
      <c r="P512" s="21" t="n">
        <f aca="false">VLOOKUP(E512,Assumptions!$A$41:$B$43,2,0)</f>
        <v>100</v>
      </c>
      <c r="Q512" s="22" t="n">
        <f aca="false">L512*Assumptions!$B$7+M512*Assumptions!$B$8+N512*Assumptions!$B$9+O512*Assumptions!$B$10+P512*Assumptions!$B$11</f>
        <v>56.40625</v>
      </c>
      <c r="R512" s="11" t="str">
        <f aca="false">IF(Q512&lt;=33,"High Risk",IF(Q512&lt;=66,"Medium Risk","Low Risk"))</f>
        <v>Medium Risk</v>
      </c>
    </row>
    <row r="513" customFormat="false" ht="15" hidden="false" customHeight="true" outlineLevel="0" collapsed="false">
      <c r="A513" s="20" t="n">
        <f aca="false">'Raw Data'!A513</f>
        <v>512</v>
      </c>
      <c r="B513" s="20" t="n">
        <f aca="false">'Raw Data'!B513</f>
        <v>32</v>
      </c>
      <c r="C513" s="20" t="str">
        <f aca="false">'Raw Data'!C513</f>
        <v>male</v>
      </c>
      <c r="D513" s="20" t="n">
        <f aca="false">'Raw Data'!D513</f>
        <v>3</v>
      </c>
      <c r="E513" s="20" t="str">
        <f aca="false">'Raw Data'!E513</f>
        <v>free</v>
      </c>
      <c r="F513" s="20" t="str">
        <f aca="false">'Raw Data'!F513</f>
        <v>little</v>
      </c>
      <c r="G513" s="20" t="str">
        <f aca="false">'Raw Data'!G513</f>
        <v>none</v>
      </c>
      <c r="H513" s="20" t="n">
        <f aca="false">'Raw Data'!H513</f>
        <v>4686</v>
      </c>
      <c r="I513" s="20" t="n">
        <f aca="false">'Raw Data'!I513</f>
        <v>36</v>
      </c>
      <c r="J513" s="20" t="str">
        <f aca="false">'Raw Data'!J513</f>
        <v>car</v>
      </c>
      <c r="K513" s="21" t="n">
        <f aca="false">H513/I513</f>
        <v>130.166666666667</v>
      </c>
      <c r="L513" s="21" t="n">
        <f aca="false">100-MIN(K513/Assumptions!$B$14,1)*100</f>
        <v>67.4583333333333</v>
      </c>
      <c r="M513" s="21" t="n">
        <f aca="false">VLOOKUP(F513,Assumptions!$A$19:$B$23,2,0)</f>
        <v>25</v>
      </c>
      <c r="N513" s="21" t="n">
        <f aca="false">VLOOKUP(G513,Assumptions!$A$27:$B$30,2,0)</f>
        <v>50</v>
      </c>
      <c r="O513" s="21" t="n">
        <f aca="false">VLOOKUP(D513,Assumptions!$A$34:$B$37,2,0)</f>
        <v>100</v>
      </c>
      <c r="P513" s="21" t="n">
        <f aca="false">VLOOKUP(E513,Assumptions!$A$41:$B$43,2,0)</f>
        <v>60</v>
      </c>
      <c r="Q513" s="22" t="n">
        <f aca="false">L513*Assumptions!$B$7+M513*Assumptions!$B$8+N513*Assumptions!$B$9+O513*Assumptions!$B$10+P513*Assumptions!$B$11</f>
        <v>57.4875</v>
      </c>
      <c r="R513" s="11" t="str">
        <f aca="false">IF(Q513&lt;=33,"High Risk",IF(Q513&lt;=66,"Medium Risk","Low Risk"))</f>
        <v>Medium Risk</v>
      </c>
    </row>
    <row r="514" customFormat="false" ht="15" hidden="false" customHeight="true" outlineLevel="0" collapsed="false">
      <c r="A514" s="20" t="n">
        <f aca="false">'Raw Data'!A514</f>
        <v>513</v>
      </c>
      <c r="B514" s="20" t="n">
        <f aca="false">'Raw Data'!B514</f>
        <v>26</v>
      </c>
      <c r="C514" s="20" t="str">
        <f aca="false">'Raw Data'!C514</f>
        <v>male</v>
      </c>
      <c r="D514" s="20" t="n">
        <f aca="false">'Raw Data'!D514</f>
        <v>2</v>
      </c>
      <c r="E514" s="20" t="str">
        <f aca="false">'Raw Data'!E514</f>
        <v>rent</v>
      </c>
      <c r="F514" s="20" t="str">
        <f aca="false">'Raw Data'!F514</f>
        <v>little</v>
      </c>
      <c r="G514" s="20" t="str">
        <f aca="false">'Raw Data'!G514</f>
        <v>rich</v>
      </c>
      <c r="H514" s="20" t="n">
        <f aca="false">'Raw Data'!H514</f>
        <v>2687</v>
      </c>
      <c r="I514" s="20" t="n">
        <f aca="false">'Raw Data'!I514</f>
        <v>15</v>
      </c>
      <c r="J514" s="20" t="str">
        <f aca="false">'Raw Data'!J514</f>
        <v>business</v>
      </c>
      <c r="K514" s="21" t="n">
        <f aca="false">H514/I514</f>
        <v>179.133333333333</v>
      </c>
      <c r="L514" s="21" t="n">
        <f aca="false">100-MIN(K514/Assumptions!$B$14,1)*100</f>
        <v>55.2166666666667</v>
      </c>
      <c r="M514" s="21" t="n">
        <f aca="false">VLOOKUP(F514,Assumptions!$A$19:$B$23,2,0)</f>
        <v>25</v>
      </c>
      <c r="N514" s="21" t="n">
        <f aca="false">VLOOKUP(G514,Assumptions!$A$27:$B$30,2,0)</f>
        <v>100</v>
      </c>
      <c r="O514" s="21" t="n">
        <f aca="false">VLOOKUP(D514,Assumptions!$A$34:$B$37,2,0)</f>
        <v>66</v>
      </c>
      <c r="P514" s="21" t="n">
        <f aca="false">VLOOKUP(E514,Assumptions!$A$41:$B$43,2,0)</f>
        <v>30</v>
      </c>
      <c r="Q514" s="22" t="n">
        <f aca="false">L514*Assumptions!$B$7+M514*Assumptions!$B$8+N514*Assumptions!$B$9+O514*Assumptions!$B$10+P514*Assumptions!$B$11</f>
        <v>55.715</v>
      </c>
      <c r="R514" s="11" t="str">
        <f aca="false">IF(Q514&lt;=33,"High Risk",IF(Q514&lt;=66,"Medium Risk","Low Risk"))</f>
        <v>Medium Risk</v>
      </c>
    </row>
    <row r="515" customFormat="false" ht="15" hidden="false" customHeight="true" outlineLevel="0" collapsed="false">
      <c r="A515" s="20" t="n">
        <f aca="false">'Raw Data'!A515</f>
        <v>514</v>
      </c>
      <c r="B515" s="20" t="n">
        <f aca="false">'Raw Data'!B515</f>
        <v>20</v>
      </c>
      <c r="C515" s="20" t="str">
        <f aca="false">'Raw Data'!C515</f>
        <v>male</v>
      </c>
      <c r="D515" s="20" t="n">
        <f aca="false">'Raw Data'!D515</f>
        <v>2</v>
      </c>
      <c r="E515" s="20" t="str">
        <f aca="false">'Raw Data'!E515</f>
        <v>rent</v>
      </c>
      <c r="F515" s="20" t="str">
        <f aca="false">'Raw Data'!F515</f>
        <v>little</v>
      </c>
      <c r="G515" s="20" t="str">
        <f aca="false">'Raw Data'!G515</f>
        <v>moderate</v>
      </c>
      <c r="H515" s="20" t="n">
        <f aca="false">'Raw Data'!H515</f>
        <v>585</v>
      </c>
      <c r="I515" s="20" t="n">
        <f aca="false">'Raw Data'!I515</f>
        <v>12</v>
      </c>
      <c r="J515" s="20" t="str">
        <f aca="false">'Raw Data'!J515</f>
        <v>radio/TV</v>
      </c>
      <c r="K515" s="21" t="n">
        <f aca="false">H515/I515</f>
        <v>48.75</v>
      </c>
      <c r="L515" s="21" t="n">
        <f aca="false">100-MIN(K515/Assumptions!$B$14,1)*100</f>
        <v>87.8125</v>
      </c>
      <c r="M515" s="21" t="n">
        <f aca="false">VLOOKUP(F515,Assumptions!$A$19:$B$23,2,0)</f>
        <v>25</v>
      </c>
      <c r="N515" s="21" t="n">
        <f aca="false">VLOOKUP(G515,Assumptions!$A$27:$B$30,2,0)</f>
        <v>60</v>
      </c>
      <c r="O515" s="21" t="n">
        <f aca="false">VLOOKUP(D515,Assumptions!$A$34:$B$37,2,0)</f>
        <v>66</v>
      </c>
      <c r="P515" s="21" t="n">
        <f aca="false">VLOOKUP(E515,Assumptions!$A$41:$B$43,2,0)</f>
        <v>30</v>
      </c>
      <c r="Q515" s="22" t="n">
        <f aca="false">L515*Assumptions!$B$7+M515*Assumptions!$B$8+N515*Assumptions!$B$9+O515*Assumptions!$B$10+P515*Assumptions!$B$11</f>
        <v>57.49375</v>
      </c>
      <c r="R515" s="11" t="str">
        <f aca="false">IF(Q515&lt;=33,"High Risk",IF(Q515&lt;=66,"Medium Risk","Low Risk"))</f>
        <v>Medium Risk</v>
      </c>
    </row>
    <row r="516" customFormat="false" ht="15" hidden="false" customHeight="true" outlineLevel="0" collapsed="false">
      <c r="A516" s="20" t="n">
        <f aca="false">'Raw Data'!A516</f>
        <v>515</v>
      </c>
      <c r="B516" s="20" t="n">
        <f aca="false">'Raw Data'!B516</f>
        <v>54</v>
      </c>
      <c r="C516" s="20" t="str">
        <f aca="false">'Raw Data'!C516</f>
        <v>male</v>
      </c>
      <c r="D516" s="20" t="n">
        <f aca="false">'Raw Data'!D516</f>
        <v>2</v>
      </c>
      <c r="E516" s="20" t="str">
        <f aca="false">'Raw Data'!E516</f>
        <v>own</v>
      </c>
      <c r="F516" s="20" t="str">
        <f aca="false">'Raw Data'!F516</f>
        <v>none</v>
      </c>
      <c r="G516" s="20" t="str">
        <f aca="false">'Raw Data'!G516</f>
        <v>none</v>
      </c>
      <c r="H516" s="20" t="n">
        <f aca="false">'Raw Data'!H516</f>
        <v>2255</v>
      </c>
      <c r="I516" s="20" t="n">
        <f aca="false">'Raw Data'!I516</f>
        <v>24</v>
      </c>
      <c r="J516" s="20" t="str">
        <f aca="false">'Raw Data'!J516</f>
        <v>car</v>
      </c>
      <c r="K516" s="21" t="n">
        <f aca="false">H516/I516</f>
        <v>93.9583333333333</v>
      </c>
      <c r="L516" s="21" t="n">
        <f aca="false">100-MIN(K516/Assumptions!$B$14,1)*100</f>
        <v>76.5104166666667</v>
      </c>
      <c r="M516" s="21" t="n">
        <f aca="false">VLOOKUP(F516,Assumptions!$A$19:$B$23,2,0)</f>
        <v>40</v>
      </c>
      <c r="N516" s="21" t="n">
        <f aca="false">VLOOKUP(G516,Assumptions!$A$27:$B$30,2,0)</f>
        <v>50</v>
      </c>
      <c r="O516" s="21" t="n">
        <f aca="false">VLOOKUP(D516,Assumptions!$A$34:$B$37,2,0)</f>
        <v>66</v>
      </c>
      <c r="P516" s="21" t="n">
        <f aca="false">VLOOKUP(E516,Assumptions!$A$41:$B$43,2,0)</f>
        <v>100</v>
      </c>
      <c r="Q516" s="22" t="n">
        <f aca="false">L516*Assumptions!$B$7+M516*Assumptions!$B$8+N516*Assumptions!$B$9+O516*Assumptions!$B$10+P516*Assumptions!$B$11</f>
        <v>62.853125</v>
      </c>
      <c r="R516" s="11" t="str">
        <f aca="false">IF(Q516&lt;=33,"High Risk",IF(Q516&lt;=66,"Medium Risk","Low Risk"))</f>
        <v>Medium Risk</v>
      </c>
    </row>
    <row r="517" customFormat="false" ht="15" hidden="false" customHeight="true" outlineLevel="0" collapsed="false">
      <c r="A517" s="20" t="n">
        <f aca="false">'Raw Data'!A517</f>
        <v>516</v>
      </c>
      <c r="B517" s="20" t="n">
        <f aca="false">'Raw Data'!B517</f>
        <v>37</v>
      </c>
      <c r="C517" s="20" t="str">
        <f aca="false">'Raw Data'!C517</f>
        <v>female</v>
      </c>
      <c r="D517" s="20" t="n">
        <f aca="false">'Raw Data'!D517</f>
        <v>2</v>
      </c>
      <c r="E517" s="20" t="str">
        <f aca="false">'Raw Data'!E517</f>
        <v>own</v>
      </c>
      <c r="F517" s="20" t="str">
        <f aca="false">'Raw Data'!F517</f>
        <v>little</v>
      </c>
      <c r="G517" s="20" t="str">
        <f aca="false">'Raw Data'!G517</f>
        <v>little</v>
      </c>
      <c r="H517" s="20" t="n">
        <f aca="false">'Raw Data'!H517</f>
        <v>609</v>
      </c>
      <c r="I517" s="20" t="n">
        <f aca="false">'Raw Data'!I517</f>
        <v>6</v>
      </c>
      <c r="J517" s="20" t="str">
        <f aca="false">'Raw Data'!J517</f>
        <v>car</v>
      </c>
      <c r="K517" s="21" t="n">
        <f aca="false">H517/I517</f>
        <v>101.5</v>
      </c>
      <c r="L517" s="21" t="n">
        <f aca="false">100-MIN(K517/Assumptions!$B$14,1)*100</f>
        <v>74.625</v>
      </c>
      <c r="M517" s="21" t="n">
        <f aca="false">VLOOKUP(F517,Assumptions!$A$19:$B$23,2,0)</f>
        <v>25</v>
      </c>
      <c r="N517" s="21" t="n">
        <f aca="false">VLOOKUP(G517,Assumptions!$A$27:$B$30,2,0)</f>
        <v>25</v>
      </c>
      <c r="O517" s="21" t="n">
        <f aca="false">VLOOKUP(D517,Assumptions!$A$34:$B$37,2,0)</f>
        <v>66</v>
      </c>
      <c r="P517" s="21" t="n">
        <f aca="false">VLOOKUP(E517,Assumptions!$A$41:$B$43,2,0)</f>
        <v>100</v>
      </c>
      <c r="Q517" s="22" t="n">
        <f aca="false">L517*Assumptions!$B$7+M517*Assumptions!$B$8+N517*Assumptions!$B$9+O517*Assumptions!$B$10+P517*Assumptions!$B$11</f>
        <v>53.5375</v>
      </c>
      <c r="R517" s="11" t="str">
        <f aca="false">IF(Q517&lt;=33,"High Risk",IF(Q517&lt;=66,"Medium Risk","Low Risk"))</f>
        <v>Medium Risk</v>
      </c>
    </row>
    <row r="518" customFormat="false" ht="15" hidden="false" customHeight="true" outlineLevel="0" collapsed="false">
      <c r="A518" s="20" t="n">
        <f aca="false">'Raw Data'!A518</f>
        <v>517</v>
      </c>
      <c r="B518" s="20" t="n">
        <f aca="false">'Raw Data'!B518</f>
        <v>40</v>
      </c>
      <c r="C518" s="20" t="str">
        <f aca="false">'Raw Data'!C518</f>
        <v>male</v>
      </c>
      <c r="D518" s="20" t="n">
        <f aca="false">'Raw Data'!D518</f>
        <v>1</v>
      </c>
      <c r="E518" s="20" t="str">
        <f aca="false">'Raw Data'!E518</f>
        <v>own</v>
      </c>
      <c r="F518" s="20" t="str">
        <f aca="false">'Raw Data'!F518</f>
        <v>little</v>
      </c>
      <c r="G518" s="20" t="str">
        <f aca="false">'Raw Data'!G518</f>
        <v>little</v>
      </c>
      <c r="H518" s="20" t="n">
        <f aca="false">'Raw Data'!H518</f>
        <v>1361</v>
      </c>
      <c r="I518" s="20" t="n">
        <f aca="false">'Raw Data'!I518</f>
        <v>6</v>
      </c>
      <c r="J518" s="20" t="str">
        <f aca="false">'Raw Data'!J518</f>
        <v>car</v>
      </c>
      <c r="K518" s="21" t="n">
        <f aca="false">H518/I518</f>
        <v>226.833333333333</v>
      </c>
      <c r="L518" s="21" t="n">
        <f aca="false">100-MIN(K518/Assumptions!$B$14,1)*100</f>
        <v>43.2916666666667</v>
      </c>
      <c r="M518" s="21" t="n">
        <f aca="false">VLOOKUP(F518,Assumptions!$A$19:$B$23,2,0)</f>
        <v>25</v>
      </c>
      <c r="N518" s="21" t="n">
        <f aca="false">VLOOKUP(G518,Assumptions!$A$27:$B$30,2,0)</f>
        <v>25</v>
      </c>
      <c r="O518" s="21" t="n">
        <f aca="false">VLOOKUP(D518,Assumptions!$A$34:$B$37,2,0)</f>
        <v>33</v>
      </c>
      <c r="P518" s="21" t="n">
        <f aca="false">VLOOKUP(E518,Assumptions!$A$41:$B$43,2,0)</f>
        <v>100</v>
      </c>
      <c r="Q518" s="22" t="n">
        <f aca="false">L518*Assumptions!$B$7+M518*Assumptions!$B$8+N518*Assumptions!$B$9+O518*Assumptions!$B$10+P518*Assumptions!$B$11</f>
        <v>39.1875</v>
      </c>
      <c r="R518" s="11" t="str">
        <f aca="false">IF(Q518&lt;=33,"High Risk",IF(Q518&lt;=66,"Medium Risk","Low Risk"))</f>
        <v>Medium Risk</v>
      </c>
    </row>
    <row r="519" customFormat="false" ht="15" hidden="false" customHeight="true" outlineLevel="0" collapsed="false">
      <c r="A519" s="20" t="n">
        <f aca="false">'Raw Data'!A519</f>
        <v>518</v>
      </c>
      <c r="B519" s="20" t="n">
        <f aca="false">'Raw Data'!B519</f>
        <v>23</v>
      </c>
      <c r="C519" s="20" t="str">
        <f aca="false">'Raw Data'!C519</f>
        <v>female</v>
      </c>
      <c r="D519" s="20" t="n">
        <f aca="false">'Raw Data'!D519</f>
        <v>2</v>
      </c>
      <c r="E519" s="20" t="str">
        <f aca="false">'Raw Data'!E519</f>
        <v>rent</v>
      </c>
      <c r="F519" s="20" t="str">
        <f aca="false">'Raw Data'!F519</f>
        <v>little</v>
      </c>
      <c r="G519" s="20" t="str">
        <f aca="false">'Raw Data'!G519</f>
        <v>none</v>
      </c>
      <c r="H519" s="20" t="n">
        <f aca="false">'Raw Data'!H519</f>
        <v>7127</v>
      </c>
      <c r="I519" s="20" t="n">
        <f aca="false">'Raw Data'!I519</f>
        <v>36</v>
      </c>
      <c r="J519" s="20" t="str">
        <f aca="false">'Raw Data'!J519</f>
        <v>furniture/equipment</v>
      </c>
      <c r="K519" s="21" t="n">
        <f aca="false">H519/I519</f>
        <v>197.972222222222</v>
      </c>
      <c r="L519" s="21" t="n">
        <f aca="false">100-MIN(K519/Assumptions!$B$14,1)*100</f>
        <v>50.5069444444444</v>
      </c>
      <c r="M519" s="21" t="n">
        <f aca="false">VLOOKUP(F519,Assumptions!$A$19:$B$23,2,0)</f>
        <v>25</v>
      </c>
      <c r="N519" s="21" t="n">
        <f aca="false">VLOOKUP(G519,Assumptions!$A$27:$B$30,2,0)</f>
        <v>50</v>
      </c>
      <c r="O519" s="21" t="n">
        <f aca="false">VLOOKUP(D519,Assumptions!$A$34:$B$37,2,0)</f>
        <v>66</v>
      </c>
      <c r="P519" s="21" t="n">
        <f aca="false">VLOOKUP(E519,Assumptions!$A$41:$B$43,2,0)</f>
        <v>30</v>
      </c>
      <c r="Q519" s="22" t="n">
        <f aca="false">L519*Assumptions!$B$7+M519*Assumptions!$B$8+N519*Assumptions!$B$9+O519*Assumptions!$B$10+P519*Assumptions!$B$11</f>
        <v>44.3020833333333</v>
      </c>
      <c r="R519" s="11" t="str">
        <f aca="false">IF(Q519&lt;=33,"High Risk",IF(Q519&lt;=66,"Medium Risk","Low Risk"))</f>
        <v>Medium Risk</v>
      </c>
    </row>
    <row r="520" customFormat="false" ht="15" hidden="false" customHeight="true" outlineLevel="0" collapsed="false">
      <c r="A520" s="20" t="n">
        <f aca="false">'Raw Data'!A520</f>
        <v>519</v>
      </c>
      <c r="B520" s="20" t="n">
        <f aca="false">'Raw Data'!B520</f>
        <v>43</v>
      </c>
      <c r="C520" s="20" t="str">
        <f aca="false">'Raw Data'!C520</f>
        <v>male</v>
      </c>
      <c r="D520" s="20" t="n">
        <f aca="false">'Raw Data'!D520</f>
        <v>2</v>
      </c>
      <c r="E520" s="20" t="str">
        <f aca="false">'Raw Data'!E520</f>
        <v>own</v>
      </c>
      <c r="F520" s="20" t="str">
        <f aca="false">'Raw Data'!F520</f>
        <v>moderate</v>
      </c>
      <c r="G520" s="20" t="str">
        <f aca="false">'Raw Data'!G520</f>
        <v>little</v>
      </c>
      <c r="H520" s="20" t="n">
        <f aca="false">'Raw Data'!H520</f>
        <v>1203</v>
      </c>
      <c r="I520" s="20" t="n">
        <f aca="false">'Raw Data'!I520</f>
        <v>6</v>
      </c>
      <c r="J520" s="20" t="str">
        <f aca="false">'Raw Data'!J520</f>
        <v>car</v>
      </c>
      <c r="K520" s="21" t="n">
        <f aca="false">H520/I520</f>
        <v>200.5</v>
      </c>
      <c r="L520" s="21" t="n">
        <f aca="false">100-MIN(K520/Assumptions!$B$14,1)*100</f>
        <v>49.875</v>
      </c>
      <c r="M520" s="21" t="n">
        <f aca="false">VLOOKUP(F520,Assumptions!$A$19:$B$23,2,0)</f>
        <v>50</v>
      </c>
      <c r="N520" s="21" t="n">
        <f aca="false">VLOOKUP(G520,Assumptions!$A$27:$B$30,2,0)</f>
        <v>25</v>
      </c>
      <c r="O520" s="21" t="n">
        <f aca="false">VLOOKUP(D520,Assumptions!$A$34:$B$37,2,0)</f>
        <v>66</v>
      </c>
      <c r="P520" s="21" t="n">
        <f aca="false">VLOOKUP(E520,Assumptions!$A$41:$B$43,2,0)</f>
        <v>100</v>
      </c>
      <c r="Q520" s="22" t="n">
        <f aca="false">L520*Assumptions!$B$7+M520*Assumptions!$B$8+N520*Assumptions!$B$9+O520*Assumptions!$B$10+P520*Assumptions!$B$11</f>
        <v>52.3625</v>
      </c>
      <c r="R520" s="11" t="str">
        <f aca="false">IF(Q520&lt;=33,"High Risk",IF(Q520&lt;=66,"Medium Risk","Low Risk"))</f>
        <v>Medium Risk</v>
      </c>
    </row>
    <row r="521" customFormat="false" ht="15" hidden="false" customHeight="true" outlineLevel="0" collapsed="false">
      <c r="A521" s="20" t="n">
        <f aca="false">'Raw Data'!A521</f>
        <v>520</v>
      </c>
      <c r="B521" s="20" t="n">
        <f aca="false">'Raw Data'!B521</f>
        <v>36</v>
      </c>
      <c r="C521" s="20" t="str">
        <f aca="false">'Raw Data'!C521</f>
        <v>male</v>
      </c>
      <c r="D521" s="20" t="n">
        <f aca="false">'Raw Data'!D521</f>
        <v>2</v>
      </c>
      <c r="E521" s="20" t="str">
        <f aca="false">'Raw Data'!E521</f>
        <v>free</v>
      </c>
      <c r="F521" s="20" t="str">
        <f aca="false">'Raw Data'!F521</f>
        <v>none</v>
      </c>
      <c r="G521" s="20" t="str">
        <f aca="false">'Raw Data'!G521</f>
        <v>none</v>
      </c>
      <c r="H521" s="20" t="n">
        <f aca="false">'Raw Data'!H521</f>
        <v>700</v>
      </c>
      <c r="I521" s="20" t="n">
        <f aca="false">'Raw Data'!I521</f>
        <v>6</v>
      </c>
      <c r="J521" s="20" t="str">
        <f aca="false">'Raw Data'!J521</f>
        <v>radio/TV</v>
      </c>
      <c r="K521" s="21" t="n">
        <f aca="false">H521/I521</f>
        <v>116.666666666667</v>
      </c>
      <c r="L521" s="21" t="n">
        <f aca="false">100-MIN(K521/Assumptions!$B$14,1)*100</f>
        <v>70.8333333333333</v>
      </c>
      <c r="M521" s="21" t="n">
        <f aca="false">VLOOKUP(F521,Assumptions!$A$19:$B$23,2,0)</f>
        <v>40</v>
      </c>
      <c r="N521" s="21" t="n">
        <f aca="false">VLOOKUP(G521,Assumptions!$A$27:$B$30,2,0)</f>
        <v>50</v>
      </c>
      <c r="O521" s="21" t="n">
        <f aca="false">VLOOKUP(D521,Assumptions!$A$34:$B$37,2,0)</f>
        <v>66</v>
      </c>
      <c r="P521" s="21" t="n">
        <f aca="false">VLOOKUP(E521,Assumptions!$A$41:$B$43,2,0)</f>
        <v>60</v>
      </c>
      <c r="Q521" s="22" t="n">
        <f aca="false">L521*Assumptions!$B$7+M521*Assumptions!$B$8+N521*Assumptions!$B$9+O521*Assumptions!$B$10+P521*Assumptions!$B$11</f>
        <v>57.15</v>
      </c>
      <c r="R521" s="11" t="str">
        <f aca="false">IF(Q521&lt;=33,"High Risk",IF(Q521&lt;=66,"Medium Risk","Low Risk"))</f>
        <v>Medium Risk</v>
      </c>
    </row>
    <row r="522" customFormat="false" ht="15" hidden="false" customHeight="true" outlineLevel="0" collapsed="false">
      <c r="A522" s="20" t="n">
        <f aca="false">'Raw Data'!A522</f>
        <v>521</v>
      </c>
      <c r="B522" s="20" t="n">
        <f aca="false">'Raw Data'!B522</f>
        <v>44</v>
      </c>
      <c r="C522" s="20" t="str">
        <f aca="false">'Raw Data'!C522</f>
        <v>male</v>
      </c>
      <c r="D522" s="20" t="n">
        <f aca="false">'Raw Data'!D522</f>
        <v>2</v>
      </c>
      <c r="E522" s="20" t="str">
        <f aca="false">'Raw Data'!E522</f>
        <v>free</v>
      </c>
      <c r="F522" s="20" t="str">
        <f aca="false">'Raw Data'!F522</f>
        <v>little</v>
      </c>
      <c r="G522" s="20" t="str">
        <f aca="false">'Raw Data'!G522</f>
        <v>none</v>
      </c>
      <c r="H522" s="20" t="n">
        <f aca="false">'Raw Data'!H522</f>
        <v>5507</v>
      </c>
      <c r="I522" s="20" t="n">
        <f aca="false">'Raw Data'!I522</f>
        <v>24</v>
      </c>
      <c r="J522" s="20" t="str">
        <f aca="false">'Raw Data'!J522</f>
        <v>repairs</v>
      </c>
      <c r="K522" s="21" t="n">
        <f aca="false">H522/I522</f>
        <v>229.458333333333</v>
      </c>
      <c r="L522" s="21" t="n">
        <f aca="false">100-MIN(K522/Assumptions!$B$14,1)*100</f>
        <v>42.6354166666667</v>
      </c>
      <c r="M522" s="21" t="n">
        <f aca="false">VLOOKUP(F522,Assumptions!$A$19:$B$23,2,0)</f>
        <v>25</v>
      </c>
      <c r="N522" s="21" t="n">
        <f aca="false">VLOOKUP(G522,Assumptions!$A$27:$B$30,2,0)</f>
        <v>50</v>
      </c>
      <c r="O522" s="21" t="n">
        <f aca="false">VLOOKUP(D522,Assumptions!$A$34:$B$37,2,0)</f>
        <v>66</v>
      </c>
      <c r="P522" s="21" t="n">
        <f aca="false">VLOOKUP(E522,Assumptions!$A$41:$B$43,2,0)</f>
        <v>60</v>
      </c>
      <c r="Q522" s="22" t="n">
        <f aca="false">L522*Assumptions!$B$7+M522*Assumptions!$B$8+N522*Assumptions!$B$9+O522*Assumptions!$B$10+P522*Assumptions!$B$11</f>
        <v>44.940625</v>
      </c>
      <c r="R522" s="11" t="str">
        <f aca="false">IF(Q522&lt;=33,"High Risk",IF(Q522&lt;=66,"Medium Risk","Low Risk"))</f>
        <v>Medium Risk</v>
      </c>
    </row>
    <row r="523" customFormat="false" ht="15" hidden="false" customHeight="true" outlineLevel="0" collapsed="false">
      <c r="A523" s="20" t="n">
        <f aca="false">'Raw Data'!A523</f>
        <v>522</v>
      </c>
      <c r="B523" s="20" t="n">
        <f aca="false">'Raw Data'!B523</f>
        <v>24</v>
      </c>
      <c r="C523" s="20" t="str">
        <f aca="false">'Raw Data'!C523</f>
        <v>female</v>
      </c>
      <c r="D523" s="20" t="n">
        <f aca="false">'Raw Data'!D523</f>
        <v>2</v>
      </c>
      <c r="E523" s="20" t="str">
        <f aca="false">'Raw Data'!E523</f>
        <v>own</v>
      </c>
      <c r="F523" s="20" t="str">
        <f aca="false">'Raw Data'!F523</f>
        <v>little</v>
      </c>
      <c r="G523" s="20" t="str">
        <f aca="false">'Raw Data'!G523</f>
        <v>little</v>
      </c>
      <c r="H523" s="20" t="n">
        <f aca="false">'Raw Data'!H523</f>
        <v>3190</v>
      </c>
      <c r="I523" s="20" t="n">
        <f aca="false">'Raw Data'!I523</f>
        <v>18</v>
      </c>
      <c r="J523" s="20" t="str">
        <f aca="false">'Raw Data'!J523</f>
        <v>radio/TV</v>
      </c>
      <c r="K523" s="21" t="n">
        <f aca="false">H523/I523</f>
        <v>177.222222222222</v>
      </c>
      <c r="L523" s="21" t="n">
        <f aca="false">100-MIN(K523/Assumptions!$B$14,1)*100</f>
        <v>55.6944444444444</v>
      </c>
      <c r="M523" s="21" t="n">
        <f aca="false">VLOOKUP(F523,Assumptions!$A$19:$B$23,2,0)</f>
        <v>25</v>
      </c>
      <c r="N523" s="21" t="n">
        <f aca="false">VLOOKUP(G523,Assumptions!$A$27:$B$30,2,0)</f>
        <v>25</v>
      </c>
      <c r="O523" s="21" t="n">
        <f aca="false">VLOOKUP(D523,Assumptions!$A$34:$B$37,2,0)</f>
        <v>66</v>
      </c>
      <c r="P523" s="21" t="n">
        <f aca="false">VLOOKUP(E523,Assumptions!$A$41:$B$43,2,0)</f>
        <v>100</v>
      </c>
      <c r="Q523" s="22" t="n">
        <f aca="false">L523*Assumptions!$B$7+M523*Assumptions!$B$8+N523*Assumptions!$B$9+O523*Assumptions!$B$10+P523*Assumptions!$B$11</f>
        <v>47.8583333333333</v>
      </c>
      <c r="R523" s="11" t="str">
        <f aca="false">IF(Q523&lt;=33,"High Risk",IF(Q523&lt;=66,"Medium Risk","Low Risk"))</f>
        <v>Medium Risk</v>
      </c>
    </row>
    <row r="524" customFormat="false" ht="15" hidden="false" customHeight="true" outlineLevel="0" collapsed="false">
      <c r="A524" s="20" t="n">
        <f aca="false">'Raw Data'!A524</f>
        <v>523</v>
      </c>
      <c r="B524" s="20" t="n">
        <f aca="false">'Raw Data'!B524</f>
        <v>53</v>
      </c>
      <c r="C524" s="20" t="str">
        <f aca="false">'Raw Data'!C524</f>
        <v>male</v>
      </c>
      <c r="D524" s="20" t="n">
        <f aca="false">'Raw Data'!D524</f>
        <v>2</v>
      </c>
      <c r="E524" s="20" t="str">
        <f aca="false">'Raw Data'!E524</f>
        <v>free</v>
      </c>
      <c r="F524" s="20" t="str">
        <f aca="false">'Raw Data'!F524</f>
        <v>little</v>
      </c>
      <c r="G524" s="20" t="str">
        <f aca="false">'Raw Data'!G524</f>
        <v>little</v>
      </c>
      <c r="H524" s="20" t="n">
        <f aca="false">'Raw Data'!H524</f>
        <v>7119</v>
      </c>
      <c r="I524" s="20" t="n">
        <f aca="false">'Raw Data'!I524</f>
        <v>48</v>
      </c>
      <c r="J524" s="20" t="str">
        <f aca="false">'Raw Data'!J524</f>
        <v>furniture/equipment</v>
      </c>
      <c r="K524" s="21" t="n">
        <f aca="false">H524/I524</f>
        <v>148.3125</v>
      </c>
      <c r="L524" s="21" t="n">
        <f aca="false">100-MIN(K524/Assumptions!$B$14,1)*100</f>
        <v>62.921875</v>
      </c>
      <c r="M524" s="21" t="n">
        <f aca="false">VLOOKUP(F524,Assumptions!$A$19:$B$23,2,0)</f>
        <v>25</v>
      </c>
      <c r="N524" s="21" t="n">
        <f aca="false">VLOOKUP(G524,Assumptions!$A$27:$B$30,2,0)</f>
        <v>25</v>
      </c>
      <c r="O524" s="21" t="n">
        <f aca="false">VLOOKUP(D524,Assumptions!$A$34:$B$37,2,0)</f>
        <v>66</v>
      </c>
      <c r="P524" s="21" t="n">
        <f aca="false">VLOOKUP(E524,Assumptions!$A$41:$B$43,2,0)</f>
        <v>60</v>
      </c>
      <c r="Q524" s="22" t="n">
        <f aca="false">L524*Assumptions!$B$7+M524*Assumptions!$B$8+N524*Assumptions!$B$9+O524*Assumptions!$B$10+P524*Assumptions!$B$11</f>
        <v>46.0265625</v>
      </c>
      <c r="R524" s="11" t="str">
        <f aca="false">IF(Q524&lt;=33,"High Risk",IF(Q524&lt;=66,"Medium Risk","Low Risk"))</f>
        <v>Medium Risk</v>
      </c>
    </row>
    <row r="525" customFormat="false" ht="15" hidden="false" customHeight="true" outlineLevel="0" collapsed="false">
      <c r="A525" s="20" t="n">
        <f aca="false">'Raw Data'!A525</f>
        <v>524</v>
      </c>
      <c r="B525" s="20" t="n">
        <f aca="false">'Raw Data'!B525</f>
        <v>23</v>
      </c>
      <c r="C525" s="20" t="str">
        <f aca="false">'Raw Data'!C525</f>
        <v>female</v>
      </c>
      <c r="D525" s="20" t="n">
        <f aca="false">'Raw Data'!D525</f>
        <v>2</v>
      </c>
      <c r="E525" s="20" t="str">
        <f aca="false">'Raw Data'!E525</f>
        <v>own</v>
      </c>
      <c r="F525" s="20" t="str">
        <f aca="false">'Raw Data'!F525</f>
        <v>moderate</v>
      </c>
      <c r="G525" s="20" t="str">
        <f aca="false">'Raw Data'!G525</f>
        <v>none</v>
      </c>
      <c r="H525" s="20" t="n">
        <f aca="false">'Raw Data'!H525</f>
        <v>3488</v>
      </c>
      <c r="I525" s="20" t="n">
        <f aca="false">'Raw Data'!I525</f>
        <v>24</v>
      </c>
      <c r="J525" s="20" t="str">
        <f aca="false">'Raw Data'!J525</f>
        <v>car</v>
      </c>
      <c r="K525" s="21" t="n">
        <f aca="false">H525/I525</f>
        <v>145.333333333333</v>
      </c>
      <c r="L525" s="21" t="n">
        <f aca="false">100-MIN(K525/Assumptions!$B$14,1)*100</f>
        <v>63.6666666666667</v>
      </c>
      <c r="M525" s="21" t="n">
        <f aca="false">VLOOKUP(F525,Assumptions!$A$19:$B$23,2,0)</f>
        <v>50</v>
      </c>
      <c r="N525" s="21" t="n">
        <f aca="false">VLOOKUP(G525,Assumptions!$A$27:$B$30,2,0)</f>
        <v>50</v>
      </c>
      <c r="O525" s="21" t="n">
        <f aca="false">VLOOKUP(D525,Assumptions!$A$34:$B$37,2,0)</f>
        <v>66</v>
      </c>
      <c r="P525" s="21" t="n">
        <f aca="false">VLOOKUP(E525,Assumptions!$A$41:$B$43,2,0)</f>
        <v>100</v>
      </c>
      <c r="Q525" s="22" t="n">
        <f aca="false">L525*Assumptions!$B$7+M525*Assumptions!$B$8+N525*Assumptions!$B$9+O525*Assumptions!$B$10+P525*Assumptions!$B$11</f>
        <v>61.5</v>
      </c>
      <c r="R525" s="11" t="str">
        <f aca="false">IF(Q525&lt;=33,"High Risk",IF(Q525&lt;=66,"Medium Risk","Low Risk"))</f>
        <v>Medium Risk</v>
      </c>
    </row>
    <row r="526" customFormat="false" ht="15" hidden="false" customHeight="true" outlineLevel="0" collapsed="false">
      <c r="A526" s="20" t="n">
        <f aca="false">'Raw Data'!A526</f>
        <v>525</v>
      </c>
      <c r="B526" s="20" t="n">
        <f aca="false">'Raw Data'!B526</f>
        <v>26</v>
      </c>
      <c r="C526" s="20" t="str">
        <f aca="false">'Raw Data'!C526</f>
        <v>female</v>
      </c>
      <c r="D526" s="20" t="n">
        <f aca="false">'Raw Data'!D526</f>
        <v>1</v>
      </c>
      <c r="E526" s="20" t="str">
        <f aca="false">'Raw Data'!E526</f>
        <v>own</v>
      </c>
      <c r="F526" s="20" t="str">
        <f aca="false">'Raw Data'!F526</f>
        <v>little</v>
      </c>
      <c r="G526" s="20" t="str">
        <f aca="false">'Raw Data'!G526</f>
        <v>moderate</v>
      </c>
      <c r="H526" s="20" t="n">
        <f aca="false">'Raw Data'!H526</f>
        <v>1113</v>
      </c>
      <c r="I526" s="20" t="n">
        <f aca="false">'Raw Data'!I526</f>
        <v>18</v>
      </c>
      <c r="J526" s="20" t="str">
        <f aca="false">'Raw Data'!J526</f>
        <v>radio/TV</v>
      </c>
      <c r="K526" s="21" t="n">
        <f aca="false">H526/I526</f>
        <v>61.8333333333333</v>
      </c>
      <c r="L526" s="21" t="n">
        <f aca="false">100-MIN(K526/Assumptions!$B$14,1)*100</f>
        <v>84.5416666666667</v>
      </c>
      <c r="M526" s="21" t="n">
        <f aca="false">VLOOKUP(F526,Assumptions!$A$19:$B$23,2,0)</f>
        <v>25</v>
      </c>
      <c r="N526" s="21" t="n">
        <f aca="false">VLOOKUP(G526,Assumptions!$A$27:$B$30,2,0)</f>
        <v>60</v>
      </c>
      <c r="O526" s="21" t="n">
        <f aca="false">VLOOKUP(D526,Assumptions!$A$34:$B$37,2,0)</f>
        <v>33</v>
      </c>
      <c r="P526" s="21" t="n">
        <f aca="false">VLOOKUP(E526,Assumptions!$A$41:$B$43,2,0)</f>
        <v>100</v>
      </c>
      <c r="Q526" s="22" t="n">
        <f aca="false">L526*Assumptions!$B$7+M526*Assumptions!$B$8+N526*Assumptions!$B$9+O526*Assumptions!$B$10+P526*Assumptions!$B$11</f>
        <v>58.5625</v>
      </c>
      <c r="R526" s="11" t="str">
        <f aca="false">IF(Q526&lt;=33,"High Risk",IF(Q526&lt;=66,"Medium Risk","Low Risk"))</f>
        <v>Medium Risk</v>
      </c>
    </row>
    <row r="527" customFormat="false" ht="15" hidden="false" customHeight="true" outlineLevel="0" collapsed="false">
      <c r="A527" s="20" t="n">
        <f aca="false">'Raw Data'!A527</f>
        <v>526</v>
      </c>
      <c r="B527" s="20" t="n">
        <f aca="false">'Raw Data'!B527</f>
        <v>30</v>
      </c>
      <c r="C527" s="20" t="str">
        <f aca="false">'Raw Data'!C527</f>
        <v>male</v>
      </c>
      <c r="D527" s="20" t="n">
        <f aca="false">'Raw Data'!D527</f>
        <v>2</v>
      </c>
      <c r="E527" s="20" t="str">
        <f aca="false">'Raw Data'!E527</f>
        <v>own</v>
      </c>
      <c r="F527" s="20" t="str">
        <f aca="false">'Raw Data'!F527</f>
        <v>little</v>
      </c>
      <c r="G527" s="20" t="str">
        <f aca="false">'Raw Data'!G527</f>
        <v>moderate</v>
      </c>
      <c r="H527" s="20" t="n">
        <f aca="false">'Raw Data'!H527</f>
        <v>7966</v>
      </c>
      <c r="I527" s="20" t="n">
        <f aca="false">'Raw Data'!I527</f>
        <v>26</v>
      </c>
      <c r="J527" s="20" t="str">
        <f aca="false">'Raw Data'!J527</f>
        <v>car</v>
      </c>
      <c r="K527" s="21" t="n">
        <f aca="false">H527/I527</f>
        <v>306.384615384615</v>
      </c>
      <c r="L527" s="21" t="n">
        <f aca="false">100-MIN(K527/Assumptions!$B$14,1)*100</f>
        <v>23.4038461538462</v>
      </c>
      <c r="M527" s="21" t="n">
        <f aca="false">VLOOKUP(F527,Assumptions!$A$19:$B$23,2,0)</f>
        <v>25</v>
      </c>
      <c r="N527" s="21" t="n">
        <f aca="false">VLOOKUP(G527,Assumptions!$A$27:$B$30,2,0)</f>
        <v>60</v>
      </c>
      <c r="O527" s="21" t="n">
        <f aca="false">VLOOKUP(D527,Assumptions!$A$34:$B$37,2,0)</f>
        <v>66</v>
      </c>
      <c r="P527" s="21" t="n">
        <f aca="false">VLOOKUP(E527,Assumptions!$A$41:$B$43,2,0)</f>
        <v>100</v>
      </c>
      <c r="Q527" s="22" t="n">
        <f aca="false">L527*Assumptions!$B$7+M527*Assumptions!$B$8+N527*Assumptions!$B$9+O527*Assumptions!$B$10+P527*Assumptions!$B$11</f>
        <v>45.1711538461539</v>
      </c>
      <c r="R527" s="11" t="str">
        <f aca="false">IF(Q527&lt;=33,"High Risk",IF(Q527&lt;=66,"Medium Risk","Low Risk"))</f>
        <v>Medium Risk</v>
      </c>
    </row>
    <row r="528" customFormat="false" ht="15" hidden="false" customHeight="true" outlineLevel="0" collapsed="false">
      <c r="A528" s="20" t="n">
        <f aca="false">'Raw Data'!A528</f>
        <v>527</v>
      </c>
      <c r="B528" s="20" t="n">
        <f aca="false">'Raw Data'!B528</f>
        <v>31</v>
      </c>
      <c r="C528" s="20" t="str">
        <f aca="false">'Raw Data'!C528</f>
        <v>female</v>
      </c>
      <c r="D528" s="20" t="n">
        <f aca="false">'Raw Data'!D528</f>
        <v>2</v>
      </c>
      <c r="E528" s="20" t="str">
        <f aca="false">'Raw Data'!E528</f>
        <v>own</v>
      </c>
      <c r="F528" s="20" t="str">
        <f aca="false">'Raw Data'!F528</f>
        <v>moderate</v>
      </c>
      <c r="G528" s="20" t="str">
        <f aca="false">'Raw Data'!G528</f>
        <v>none</v>
      </c>
      <c r="H528" s="20" t="n">
        <f aca="false">'Raw Data'!H528</f>
        <v>1532</v>
      </c>
      <c r="I528" s="20" t="n">
        <f aca="false">'Raw Data'!I528</f>
        <v>15</v>
      </c>
      <c r="J528" s="20" t="str">
        <f aca="false">'Raw Data'!J528</f>
        <v>education</v>
      </c>
      <c r="K528" s="21" t="n">
        <f aca="false">H528/I528</f>
        <v>102.133333333333</v>
      </c>
      <c r="L528" s="21" t="n">
        <f aca="false">100-MIN(K528/Assumptions!$B$14,1)*100</f>
        <v>74.4666666666667</v>
      </c>
      <c r="M528" s="21" t="n">
        <f aca="false">VLOOKUP(F528,Assumptions!$A$19:$B$23,2,0)</f>
        <v>50</v>
      </c>
      <c r="N528" s="21" t="n">
        <f aca="false">VLOOKUP(G528,Assumptions!$A$27:$B$30,2,0)</f>
        <v>50</v>
      </c>
      <c r="O528" s="21" t="n">
        <f aca="false">VLOOKUP(D528,Assumptions!$A$34:$B$37,2,0)</f>
        <v>66</v>
      </c>
      <c r="P528" s="21" t="n">
        <f aca="false">VLOOKUP(E528,Assumptions!$A$41:$B$43,2,0)</f>
        <v>100</v>
      </c>
      <c r="Q528" s="22" t="n">
        <f aca="false">L528*Assumptions!$B$7+M528*Assumptions!$B$8+N528*Assumptions!$B$9+O528*Assumptions!$B$10+P528*Assumptions!$B$11</f>
        <v>64.74</v>
      </c>
      <c r="R528" s="11" t="str">
        <f aca="false">IF(Q528&lt;=33,"High Risk",IF(Q528&lt;=66,"Medium Risk","Low Risk"))</f>
        <v>Medium Risk</v>
      </c>
    </row>
    <row r="529" customFormat="false" ht="15" hidden="false" customHeight="true" outlineLevel="0" collapsed="false">
      <c r="A529" s="20" t="n">
        <f aca="false">'Raw Data'!A529</f>
        <v>528</v>
      </c>
      <c r="B529" s="20" t="n">
        <f aca="false">'Raw Data'!B529</f>
        <v>42</v>
      </c>
      <c r="C529" s="20" t="str">
        <f aca="false">'Raw Data'!C529</f>
        <v>male</v>
      </c>
      <c r="D529" s="20" t="n">
        <f aca="false">'Raw Data'!D529</f>
        <v>1</v>
      </c>
      <c r="E529" s="20" t="str">
        <f aca="false">'Raw Data'!E529</f>
        <v>own</v>
      </c>
      <c r="F529" s="20" t="str">
        <f aca="false">'Raw Data'!F529</f>
        <v>little</v>
      </c>
      <c r="G529" s="20" t="str">
        <f aca="false">'Raw Data'!G529</f>
        <v>none</v>
      </c>
      <c r="H529" s="20" t="n">
        <f aca="false">'Raw Data'!H529</f>
        <v>1503</v>
      </c>
      <c r="I529" s="20" t="n">
        <f aca="false">'Raw Data'!I529</f>
        <v>4</v>
      </c>
      <c r="J529" s="20" t="str">
        <f aca="false">'Raw Data'!J529</f>
        <v>radio/TV</v>
      </c>
      <c r="K529" s="21" t="n">
        <f aca="false">H529/I529</f>
        <v>375.75</v>
      </c>
      <c r="L529" s="21" t="n">
        <f aca="false">100-MIN(K529/Assumptions!$B$14,1)*100</f>
        <v>6.0625</v>
      </c>
      <c r="M529" s="21" t="n">
        <f aca="false">VLOOKUP(F529,Assumptions!$A$19:$B$23,2,0)</f>
        <v>25</v>
      </c>
      <c r="N529" s="21" t="n">
        <f aca="false">VLOOKUP(G529,Assumptions!$A$27:$B$30,2,0)</f>
        <v>50</v>
      </c>
      <c r="O529" s="21" t="n">
        <f aca="false">VLOOKUP(D529,Assumptions!$A$34:$B$37,2,0)</f>
        <v>33</v>
      </c>
      <c r="P529" s="21" t="n">
        <f aca="false">VLOOKUP(E529,Assumptions!$A$41:$B$43,2,0)</f>
        <v>100</v>
      </c>
      <c r="Q529" s="22" t="n">
        <f aca="false">L529*Assumptions!$B$7+M529*Assumptions!$B$8+N529*Assumptions!$B$9+O529*Assumptions!$B$10+P529*Assumptions!$B$11</f>
        <v>33.01875</v>
      </c>
      <c r="R529" s="11" t="str">
        <f aca="false">IF(Q529&lt;=33,"High Risk",IF(Q529&lt;=66,"Medium Risk","Low Risk"))</f>
        <v>Medium Risk</v>
      </c>
    </row>
    <row r="530" customFormat="false" ht="15" hidden="false" customHeight="true" outlineLevel="0" collapsed="false">
      <c r="A530" s="20" t="n">
        <f aca="false">'Raw Data'!A530</f>
        <v>529</v>
      </c>
      <c r="B530" s="20" t="n">
        <f aca="false">'Raw Data'!B530</f>
        <v>31</v>
      </c>
      <c r="C530" s="20" t="str">
        <f aca="false">'Raw Data'!C530</f>
        <v>male</v>
      </c>
      <c r="D530" s="20" t="n">
        <f aca="false">'Raw Data'!D530</f>
        <v>2</v>
      </c>
      <c r="E530" s="20" t="str">
        <f aca="false">'Raw Data'!E530</f>
        <v>rent</v>
      </c>
      <c r="F530" s="20" t="str">
        <f aca="false">'Raw Data'!F530</f>
        <v>little</v>
      </c>
      <c r="G530" s="20" t="str">
        <f aca="false">'Raw Data'!G530</f>
        <v>little</v>
      </c>
      <c r="H530" s="20" t="n">
        <f aca="false">'Raw Data'!H530</f>
        <v>2302</v>
      </c>
      <c r="I530" s="20" t="n">
        <f aca="false">'Raw Data'!I530</f>
        <v>36</v>
      </c>
      <c r="J530" s="20" t="str">
        <f aca="false">'Raw Data'!J530</f>
        <v>radio/TV</v>
      </c>
      <c r="K530" s="21" t="n">
        <f aca="false">H530/I530</f>
        <v>63.9444444444444</v>
      </c>
      <c r="L530" s="21" t="n">
        <f aca="false">100-MIN(K530/Assumptions!$B$14,1)*100</f>
        <v>84.0138888888889</v>
      </c>
      <c r="M530" s="21" t="n">
        <f aca="false">VLOOKUP(F530,Assumptions!$A$19:$B$23,2,0)</f>
        <v>25</v>
      </c>
      <c r="N530" s="21" t="n">
        <f aca="false">VLOOKUP(G530,Assumptions!$A$27:$B$30,2,0)</f>
        <v>25</v>
      </c>
      <c r="O530" s="21" t="n">
        <f aca="false">VLOOKUP(D530,Assumptions!$A$34:$B$37,2,0)</f>
        <v>66</v>
      </c>
      <c r="P530" s="21" t="n">
        <f aca="false">VLOOKUP(E530,Assumptions!$A$41:$B$43,2,0)</f>
        <v>30</v>
      </c>
      <c r="Q530" s="22" t="n">
        <f aca="false">L530*Assumptions!$B$7+M530*Assumptions!$B$8+N530*Assumptions!$B$9+O530*Assumptions!$B$10+P530*Assumptions!$B$11</f>
        <v>49.3541666666667</v>
      </c>
      <c r="R530" s="11" t="str">
        <f aca="false">IF(Q530&lt;=33,"High Risk",IF(Q530&lt;=66,"Medium Risk","Low Risk"))</f>
        <v>Medium Risk</v>
      </c>
    </row>
    <row r="531" customFormat="false" ht="15" hidden="false" customHeight="true" outlineLevel="0" collapsed="false">
      <c r="A531" s="20" t="n">
        <f aca="false">'Raw Data'!A531</f>
        <v>530</v>
      </c>
      <c r="B531" s="20" t="n">
        <f aca="false">'Raw Data'!B531</f>
        <v>41</v>
      </c>
      <c r="C531" s="20" t="str">
        <f aca="false">'Raw Data'!C531</f>
        <v>male</v>
      </c>
      <c r="D531" s="20" t="n">
        <f aca="false">'Raw Data'!D531</f>
        <v>1</v>
      </c>
      <c r="E531" s="20" t="str">
        <f aca="false">'Raw Data'!E531</f>
        <v>own</v>
      </c>
      <c r="F531" s="20" t="str">
        <f aca="false">'Raw Data'!F531</f>
        <v>little</v>
      </c>
      <c r="G531" s="20" t="str">
        <f aca="false">'Raw Data'!G531</f>
        <v>little</v>
      </c>
      <c r="H531" s="20" t="n">
        <f aca="false">'Raw Data'!H531</f>
        <v>662</v>
      </c>
      <c r="I531" s="20" t="n">
        <f aca="false">'Raw Data'!I531</f>
        <v>6</v>
      </c>
      <c r="J531" s="20" t="str">
        <f aca="false">'Raw Data'!J531</f>
        <v>car</v>
      </c>
      <c r="K531" s="21" t="n">
        <f aca="false">H531/I531</f>
        <v>110.333333333333</v>
      </c>
      <c r="L531" s="21" t="n">
        <f aca="false">100-MIN(K531/Assumptions!$B$14,1)*100</f>
        <v>72.4166666666667</v>
      </c>
      <c r="M531" s="21" t="n">
        <f aca="false">VLOOKUP(F531,Assumptions!$A$19:$B$23,2,0)</f>
        <v>25</v>
      </c>
      <c r="N531" s="21" t="n">
        <f aca="false">VLOOKUP(G531,Assumptions!$A$27:$B$30,2,0)</f>
        <v>25</v>
      </c>
      <c r="O531" s="21" t="n">
        <f aca="false">VLOOKUP(D531,Assumptions!$A$34:$B$37,2,0)</f>
        <v>33</v>
      </c>
      <c r="P531" s="21" t="n">
        <f aca="false">VLOOKUP(E531,Assumptions!$A$41:$B$43,2,0)</f>
        <v>100</v>
      </c>
      <c r="Q531" s="22" t="n">
        <f aca="false">L531*Assumptions!$B$7+M531*Assumptions!$B$8+N531*Assumptions!$B$9+O531*Assumptions!$B$10+P531*Assumptions!$B$11</f>
        <v>47.925</v>
      </c>
      <c r="R531" s="11" t="str">
        <f aca="false">IF(Q531&lt;=33,"High Risk",IF(Q531&lt;=66,"Medium Risk","Low Risk"))</f>
        <v>Medium Risk</v>
      </c>
    </row>
    <row r="532" customFormat="false" ht="15" hidden="false" customHeight="true" outlineLevel="0" collapsed="false">
      <c r="A532" s="20" t="n">
        <f aca="false">'Raw Data'!A532</f>
        <v>531</v>
      </c>
      <c r="B532" s="20" t="n">
        <f aca="false">'Raw Data'!B532</f>
        <v>32</v>
      </c>
      <c r="C532" s="20" t="str">
        <f aca="false">'Raw Data'!C532</f>
        <v>male</v>
      </c>
      <c r="D532" s="20" t="n">
        <f aca="false">'Raw Data'!D532</f>
        <v>2</v>
      </c>
      <c r="E532" s="20" t="str">
        <f aca="false">'Raw Data'!E532</f>
        <v>own</v>
      </c>
      <c r="F532" s="20" t="str">
        <f aca="false">'Raw Data'!F532</f>
        <v>little</v>
      </c>
      <c r="G532" s="20" t="str">
        <f aca="false">'Raw Data'!G532</f>
        <v>moderate</v>
      </c>
      <c r="H532" s="20" t="n">
        <f aca="false">'Raw Data'!H532</f>
        <v>2273</v>
      </c>
      <c r="I532" s="20" t="n">
        <f aca="false">'Raw Data'!I532</f>
        <v>36</v>
      </c>
      <c r="J532" s="20" t="str">
        <f aca="false">'Raw Data'!J532</f>
        <v>education</v>
      </c>
      <c r="K532" s="21" t="n">
        <f aca="false">H532/I532</f>
        <v>63.1388888888889</v>
      </c>
      <c r="L532" s="21" t="n">
        <f aca="false">100-MIN(K532/Assumptions!$B$14,1)*100</f>
        <v>84.2152777777778</v>
      </c>
      <c r="M532" s="21" t="n">
        <f aca="false">VLOOKUP(F532,Assumptions!$A$19:$B$23,2,0)</f>
        <v>25</v>
      </c>
      <c r="N532" s="21" t="n">
        <f aca="false">VLOOKUP(G532,Assumptions!$A$27:$B$30,2,0)</f>
        <v>60</v>
      </c>
      <c r="O532" s="21" t="n">
        <f aca="false">VLOOKUP(D532,Assumptions!$A$34:$B$37,2,0)</f>
        <v>66</v>
      </c>
      <c r="P532" s="21" t="n">
        <f aca="false">VLOOKUP(E532,Assumptions!$A$41:$B$43,2,0)</f>
        <v>100</v>
      </c>
      <c r="Q532" s="22" t="n">
        <f aca="false">L532*Assumptions!$B$7+M532*Assumptions!$B$8+N532*Assumptions!$B$9+O532*Assumptions!$B$10+P532*Assumptions!$B$11</f>
        <v>63.4145833333333</v>
      </c>
      <c r="R532" s="11" t="str">
        <f aca="false">IF(Q532&lt;=33,"High Risk",IF(Q532&lt;=66,"Medium Risk","Low Risk"))</f>
        <v>Medium Risk</v>
      </c>
    </row>
    <row r="533" customFormat="false" ht="15" hidden="false" customHeight="true" outlineLevel="0" collapsed="false">
      <c r="A533" s="20" t="n">
        <f aca="false">'Raw Data'!A533</f>
        <v>532</v>
      </c>
      <c r="B533" s="20" t="n">
        <f aca="false">'Raw Data'!B533</f>
        <v>28</v>
      </c>
      <c r="C533" s="20" t="str">
        <f aca="false">'Raw Data'!C533</f>
        <v>female</v>
      </c>
      <c r="D533" s="20" t="n">
        <f aca="false">'Raw Data'!D533</f>
        <v>2</v>
      </c>
      <c r="E533" s="20" t="str">
        <f aca="false">'Raw Data'!E533</f>
        <v>rent</v>
      </c>
      <c r="F533" s="20" t="str">
        <f aca="false">'Raw Data'!F533</f>
        <v>moderate</v>
      </c>
      <c r="G533" s="20" t="str">
        <f aca="false">'Raw Data'!G533</f>
        <v>moderate</v>
      </c>
      <c r="H533" s="20" t="n">
        <f aca="false">'Raw Data'!H533</f>
        <v>2631</v>
      </c>
      <c r="I533" s="20" t="n">
        <f aca="false">'Raw Data'!I533</f>
        <v>15</v>
      </c>
      <c r="J533" s="20" t="str">
        <f aca="false">'Raw Data'!J533</f>
        <v>car</v>
      </c>
      <c r="K533" s="21" t="n">
        <f aca="false">H533/I533</f>
        <v>175.4</v>
      </c>
      <c r="L533" s="21" t="n">
        <f aca="false">100-MIN(K533/Assumptions!$B$14,1)*100</f>
        <v>56.15</v>
      </c>
      <c r="M533" s="21" t="n">
        <f aca="false">VLOOKUP(F533,Assumptions!$A$19:$B$23,2,0)</f>
        <v>50</v>
      </c>
      <c r="N533" s="21" t="n">
        <f aca="false">VLOOKUP(G533,Assumptions!$A$27:$B$30,2,0)</f>
        <v>60</v>
      </c>
      <c r="O533" s="21" t="n">
        <f aca="false">VLOOKUP(D533,Assumptions!$A$34:$B$37,2,0)</f>
        <v>66</v>
      </c>
      <c r="P533" s="21" t="n">
        <f aca="false">VLOOKUP(E533,Assumptions!$A$41:$B$43,2,0)</f>
        <v>30</v>
      </c>
      <c r="Q533" s="22" t="n">
        <f aca="false">L533*Assumptions!$B$7+M533*Assumptions!$B$8+N533*Assumptions!$B$9+O533*Assumptions!$B$10+P533*Assumptions!$B$11</f>
        <v>54.245</v>
      </c>
      <c r="R533" s="11" t="str">
        <f aca="false">IF(Q533&lt;=33,"High Risk",IF(Q533&lt;=66,"Medium Risk","Low Risk"))</f>
        <v>Medium Risk</v>
      </c>
    </row>
    <row r="534" customFormat="false" ht="15" hidden="false" customHeight="true" outlineLevel="0" collapsed="false">
      <c r="A534" s="20" t="n">
        <f aca="false">'Raw Data'!A534</f>
        <v>533</v>
      </c>
      <c r="B534" s="20" t="n">
        <f aca="false">'Raw Data'!B534</f>
        <v>41</v>
      </c>
      <c r="C534" s="20" t="str">
        <f aca="false">'Raw Data'!C534</f>
        <v>male</v>
      </c>
      <c r="D534" s="20" t="n">
        <f aca="false">'Raw Data'!D534</f>
        <v>2</v>
      </c>
      <c r="E534" s="20" t="str">
        <f aca="false">'Raw Data'!E534</f>
        <v>rent</v>
      </c>
      <c r="F534" s="20" t="str">
        <f aca="false">'Raw Data'!F534</f>
        <v>little</v>
      </c>
      <c r="G534" s="20" t="str">
        <f aca="false">'Raw Data'!G534</f>
        <v>none</v>
      </c>
      <c r="H534" s="20" t="n">
        <f aca="false">'Raw Data'!H534</f>
        <v>1503</v>
      </c>
      <c r="I534" s="20" t="n">
        <f aca="false">'Raw Data'!I534</f>
        <v>12</v>
      </c>
      <c r="J534" s="20" t="str">
        <f aca="false">'Raw Data'!J534</f>
        <v>car</v>
      </c>
      <c r="K534" s="21" t="n">
        <f aca="false">H534/I534</f>
        <v>125.25</v>
      </c>
      <c r="L534" s="21" t="n">
        <f aca="false">100-MIN(K534/Assumptions!$B$14,1)*100</f>
        <v>68.6875</v>
      </c>
      <c r="M534" s="21" t="n">
        <f aca="false">VLOOKUP(F534,Assumptions!$A$19:$B$23,2,0)</f>
        <v>25</v>
      </c>
      <c r="N534" s="21" t="n">
        <f aca="false">VLOOKUP(G534,Assumptions!$A$27:$B$30,2,0)</f>
        <v>50</v>
      </c>
      <c r="O534" s="21" t="n">
        <f aca="false">VLOOKUP(D534,Assumptions!$A$34:$B$37,2,0)</f>
        <v>66</v>
      </c>
      <c r="P534" s="21" t="n">
        <f aca="false">VLOOKUP(E534,Assumptions!$A$41:$B$43,2,0)</f>
        <v>30</v>
      </c>
      <c r="Q534" s="22" t="n">
        <f aca="false">L534*Assumptions!$B$7+M534*Assumptions!$B$8+N534*Assumptions!$B$9+O534*Assumptions!$B$10+P534*Assumptions!$B$11</f>
        <v>49.75625</v>
      </c>
      <c r="R534" s="11" t="str">
        <f aca="false">IF(Q534&lt;=33,"High Risk",IF(Q534&lt;=66,"Medium Risk","Low Risk"))</f>
        <v>Medium Risk</v>
      </c>
    </row>
    <row r="535" customFormat="false" ht="15" hidden="false" customHeight="true" outlineLevel="0" collapsed="false">
      <c r="A535" s="20" t="n">
        <f aca="false">'Raw Data'!A535</f>
        <v>534</v>
      </c>
      <c r="B535" s="20" t="n">
        <f aca="false">'Raw Data'!B535</f>
        <v>26</v>
      </c>
      <c r="C535" s="20" t="str">
        <f aca="false">'Raw Data'!C535</f>
        <v>male</v>
      </c>
      <c r="D535" s="20" t="n">
        <f aca="false">'Raw Data'!D535</f>
        <v>2</v>
      </c>
      <c r="E535" s="20" t="str">
        <f aca="false">'Raw Data'!E535</f>
        <v>own</v>
      </c>
      <c r="F535" s="20" t="str">
        <f aca="false">'Raw Data'!F535</f>
        <v>moderate</v>
      </c>
      <c r="G535" s="20" t="str">
        <f aca="false">'Raw Data'!G535</f>
        <v>none</v>
      </c>
      <c r="H535" s="20" t="n">
        <f aca="false">'Raw Data'!H535</f>
        <v>1311</v>
      </c>
      <c r="I535" s="20" t="n">
        <f aca="false">'Raw Data'!I535</f>
        <v>24</v>
      </c>
      <c r="J535" s="20" t="str">
        <f aca="false">'Raw Data'!J535</f>
        <v>radio/TV</v>
      </c>
      <c r="K535" s="21" t="n">
        <f aca="false">H535/I535</f>
        <v>54.625</v>
      </c>
      <c r="L535" s="21" t="n">
        <f aca="false">100-MIN(K535/Assumptions!$B$14,1)*100</f>
        <v>86.34375</v>
      </c>
      <c r="M535" s="21" t="n">
        <f aca="false">VLOOKUP(F535,Assumptions!$A$19:$B$23,2,0)</f>
        <v>50</v>
      </c>
      <c r="N535" s="21" t="n">
        <f aca="false">VLOOKUP(G535,Assumptions!$A$27:$B$30,2,0)</f>
        <v>50</v>
      </c>
      <c r="O535" s="21" t="n">
        <f aca="false">VLOOKUP(D535,Assumptions!$A$34:$B$37,2,0)</f>
        <v>66</v>
      </c>
      <c r="P535" s="21" t="n">
        <f aca="false">VLOOKUP(E535,Assumptions!$A$41:$B$43,2,0)</f>
        <v>100</v>
      </c>
      <c r="Q535" s="22" t="n">
        <f aca="false">L535*Assumptions!$B$7+M535*Assumptions!$B$8+N535*Assumptions!$B$9+O535*Assumptions!$B$10+P535*Assumptions!$B$11</f>
        <v>68.303125</v>
      </c>
      <c r="R535" s="11" t="str">
        <f aca="false">IF(Q535&lt;=33,"High Risk",IF(Q535&lt;=66,"Medium Risk","Low Risk"))</f>
        <v>Low Risk</v>
      </c>
    </row>
    <row r="536" customFormat="false" ht="15" hidden="false" customHeight="true" outlineLevel="0" collapsed="false">
      <c r="A536" s="20" t="n">
        <f aca="false">'Raw Data'!A536</f>
        <v>535</v>
      </c>
      <c r="B536" s="20" t="n">
        <f aca="false">'Raw Data'!B536</f>
        <v>25</v>
      </c>
      <c r="C536" s="20" t="str">
        <f aca="false">'Raw Data'!C536</f>
        <v>male</v>
      </c>
      <c r="D536" s="20" t="n">
        <f aca="false">'Raw Data'!D536</f>
        <v>2</v>
      </c>
      <c r="E536" s="20" t="str">
        <f aca="false">'Raw Data'!E536</f>
        <v>own</v>
      </c>
      <c r="F536" s="20" t="str">
        <f aca="false">'Raw Data'!F536</f>
        <v>none</v>
      </c>
      <c r="G536" s="20" t="str">
        <f aca="false">'Raw Data'!G536</f>
        <v>none</v>
      </c>
      <c r="H536" s="20" t="n">
        <f aca="false">'Raw Data'!H536</f>
        <v>3105</v>
      </c>
      <c r="I536" s="20" t="n">
        <f aca="false">'Raw Data'!I536</f>
        <v>24</v>
      </c>
      <c r="J536" s="20" t="str">
        <f aca="false">'Raw Data'!J536</f>
        <v>radio/TV</v>
      </c>
      <c r="K536" s="21" t="n">
        <f aca="false">H536/I536</f>
        <v>129.375</v>
      </c>
      <c r="L536" s="21" t="n">
        <f aca="false">100-MIN(K536/Assumptions!$B$14,1)*100</f>
        <v>67.65625</v>
      </c>
      <c r="M536" s="21" t="n">
        <f aca="false">VLOOKUP(F536,Assumptions!$A$19:$B$23,2,0)</f>
        <v>40</v>
      </c>
      <c r="N536" s="21" t="n">
        <f aca="false">VLOOKUP(G536,Assumptions!$A$27:$B$30,2,0)</f>
        <v>50</v>
      </c>
      <c r="O536" s="21" t="n">
        <f aca="false">VLOOKUP(D536,Assumptions!$A$34:$B$37,2,0)</f>
        <v>66</v>
      </c>
      <c r="P536" s="21" t="n">
        <f aca="false">VLOOKUP(E536,Assumptions!$A$41:$B$43,2,0)</f>
        <v>100</v>
      </c>
      <c r="Q536" s="22" t="n">
        <f aca="false">L536*Assumptions!$B$7+M536*Assumptions!$B$8+N536*Assumptions!$B$9+O536*Assumptions!$B$10+P536*Assumptions!$B$11</f>
        <v>60.196875</v>
      </c>
      <c r="R536" s="11" t="str">
        <f aca="false">IF(Q536&lt;=33,"High Risk",IF(Q536&lt;=66,"Medium Risk","Low Risk"))</f>
        <v>Medium Risk</v>
      </c>
    </row>
    <row r="537" customFormat="false" ht="15" hidden="false" customHeight="true" outlineLevel="0" collapsed="false">
      <c r="A537" s="20" t="n">
        <f aca="false">'Raw Data'!A537</f>
        <v>536</v>
      </c>
      <c r="B537" s="20" t="n">
        <f aca="false">'Raw Data'!B537</f>
        <v>33</v>
      </c>
      <c r="C537" s="20" t="str">
        <f aca="false">'Raw Data'!C537</f>
        <v>male</v>
      </c>
      <c r="D537" s="20" t="n">
        <f aca="false">'Raw Data'!D537</f>
        <v>2</v>
      </c>
      <c r="E537" s="20" t="str">
        <f aca="false">'Raw Data'!E537</f>
        <v>rent</v>
      </c>
      <c r="F537" s="20" t="str">
        <f aca="false">'Raw Data'!F537</f>
        <v>little</v>
      </c>
      <c r="G537" s="20" t="str">
        <f aca="false">'Raw Data'!G537</f>
        <v>rich</v>
      </c>
      <c r="H537" s="20" t="n">
        <f aca="false">'Raw Data'!H537</f>
        <v>2319</v>
      </c>
      <c r="I537" s="20" t="n">
        <f aca="false">'Raw Data'!I537</f>
        <v>21</v>
      </c>
      <c r="J537" s="20" t="str">
        <f aca="false">'Raw Data'!J537</f>
        <v>education</v>
      </c>
      <c r="K537" s="21" t="n">
        <f aca="false">H537/I537</f>
        <v>110.428571428571</v>
      </c>
      <c r="L537" s="21" t="n">
        <f aca="false">100-MIN(K537/Assumptions!$B$14,1)*100</f>
        <v>72.3928571428571</v>
      </c>
      <c r="M537" s="21" t="n">
        <f aca="false">VLOOKUP(F537,Assumptions!$A$19:$B$23,2,0)</f>
        <v>25</v>
      </c>
      <c r="N537" s="21" t="n">
        <f aca="false">VLOOKUP(G537,Assumptions!$A$27:$B$30,2,0)</f>
        <v>100</v>
      </c>
      <c r="O537" s="21" t="n">
        <f aca="false">VLOOKUP(D537,Assumptions!$A$34:$B$37,2,0)</f>
        <v>66</v>
      </c>
      <c r="P537" s="21" t="n">
        <f aca="false">VLOOKUP(E537,Assumptions!$A$41:$B$43,2,0)</f>
        <v>30</v>
      </c>
      <c r="Q537" s="22" t="n">
        <f aca="false">L537*Assumptions!$B$7+M537*Assumptions!$B$8+N537*Assumptions!$B$9+O537*Assumptions!$B$10+P537*Assumptions!$B$11</f>
        <v>60.8678571428571</v>
      </c>
      <c r="R537" s="11" t="str">
        <f aca="false">IF(Q537&lt;=33,"High Risk",IF(Q537&lt;=66,"Medium Risk","Low Risk"))</f>
        <v>Medium Risk</v>
      </c>
    </row>
    <row r="538" customFormat="false" ht="15" hidden="false" customHeight="true" outlineLevel="0" collapsed="false">
      <c r="A538" s="20" t="n">
        <f aca="false">'Raw Data'!A538</f>
        <v>537</v>
      </c>
      <c r="B538" s="20" t="n">
        <f aca="false">'Raw Data'!B538</f>
        <v>75</v>
      </c>
      <c r="C538" s="20" t="str">
        <f aca="false">'Raw Data'!C538</f>
        <v>female</v>
      </c>
      <c r="D538" s="20" t="n">
        <f aca="false">'Raw Data'!D538</f>
        <v>3</v>
      </c>
      <c r="E538" s="20" t="str">
        <f aca="false">'Raw Data'!E538</f>
        <v>own</v>
      </c>
      <c r="F538" s="20" t="str">
        <f aca="false">'Raw Data'!F538</f>
        <v>none</v>
      </c>
      <c r="G538" s="20" t="str">
        <f aca="false">'Raw Data'!G538</f>
        <v>little</v>
      </c>
      <c r="H538" s="20" t="n">
        <f aca="false">'Raw Data'!H538</f>
        <v>1374</v>
      </c>
      <c r="I538" s="20" t="n">
        <f aca="false">'Raw Data'!I538</f>
        <v>6</v>
      </c>
      <c r="J538" s="20" t="str">
        <f aca="false">'Raw Data'!J538</f>
        <v>car</v>
      </c>
      <c r="K538" s="21" t="n">
        <f aca="false">H538/I538</f>
        <v>229</v>
      </c>
      <c r="L538" s="21" t="n">
        <f aca="false">100-MIN(K538/Assumptions!$B$14,1)*100</f>
        <v>42.75</v>
      </c>
      <c r="M538" s="21" t="n">
        <f aca="false">VLOOKUP(F538,Assumptions!$A$19:$B$23,2,0)</f>
        <v>40</v>
      </c>
      <c r="N538" s="21" t="n">
        <f aca="false">VLOOKUP(G538,Assumptions!$A$27:$B$30,2,0)</f>
        <v>25</v>
      </c>
      <c r="O538" s="21" t="n">
        <f aca="false">VLOOKUP(D538,Assumptions!$A$34:$B$37,2,0)</f>
        <v>100</v>
      </c>
      <c r="P538" s="21" t="n">
        <f aca="false">VLOOKUP(E538,Assumptions!$A$41:$B$43,2,0)</f>
        <v>100</v>
      </c>
      <c r="Q538" s="22" t="n">
        <f aca="false">L538*Assumptions!$B$7+M538*Assumptions!$B$8+N538*Assumptions!$B$9+O538*Assumptions!$B$10+P538*Assumptions!$B$11</f>
        <v>52.825</v>
      </c>
      <c r="R538" s="11" t="str">
        <f aca="false">IF(Q538&lt;=33,"High Risk",IF(Q538&lt;=66,"Medium Risk","Low Risk"))</f>
        <v>Medium Risk</v>
      </c>
    </row>
    <row r="539" customFormat="false" ht="15" hidden="false" customHeight="true" outlineLevel="0" collapsed="false">
      <c r="A539" s="20" t="n">
        <f aca="false">'Raw Data'!A539</f>
        <v>538</v>
      </c>
      <c r="B539" s="20" t="n">
        <f aca="false">'Raw Data'!B539</f>
        <v>37</v>
      </c>
      <c r="C539" s="20" t="str">
        <f aca="false">'Raw Data'!C539</f>
        <v>female</v>
      </c>
      <c r="D539" s="20" t="n">
        <f aca="false">'Raw Data'!D539</f>
        <v>2</v>
      </c>
      <c r="E539" s="20" t="str">
        <f aca="false">'Raw Data'!E539</f>
        <v>own</v>
      </c>
      <c r="F539" s="20" t="str">
        <f aca="false">'Raw Data'!F539</f>
        <v>little</v>
      </c>
      <c r="G539" s="20" t="str">
        <f aca="false">'Raw Data'!G539</f>
        <v>moderate</v>
      </c>
      <c r="H539" s="20" t="n">
        <f aca="false">'Raw Data'!H539</f>
        <v>3612</v>
      </c>
      <c r="I539" s="20" t="n">
        <f aca="false">'Raw Data'!I539</f>
        <v>18</v>
      </c>
      <c r="J539" s="20" t="str">
        <f aca="false">'Raw Data'!J539</f>
        <v>furniture/equipment</v>
      </c>
      <c r="K539" s="21" t="n">
        <f aca="false">H539/I539</f>
        <v>200.666666666667</v>
      </c>
      <c r="L539" s="21" t="n">
        <f aca="false">100-MIN(K539/Assumptions!$B$14,1)*100</f>
        <v>49.8333333333333</v>
      </c>
      <c r="M539" s="21" t="n">
        <f aca="false">VLOOKUP(F539,Assumptions!$A$19:$B$23,2,0)</f>
        <v>25</v>
      </c>
      <c r="N539" s="21" t="n">
        <f aca="false">VLOOKUP(G539,Assumptions!$A$27:$B$30,2,0)</f>
        <v>60</v>
      </c>
      <c r="O539" s="21" t="n">
        <f aca="false">VLOOKUP(D539,Assumptions!$A$34:$B$37,2,0)</f>
        <v>66</v>
      </c>
      <c r="P539" s="21" t="n">
        <f aca="false">VLOOKUP(E539,Assumptions!$A$41:$B$43,2,0)</f>
        <v>100</v>
      </c>
      <c r="Q539" s="22" t="n">
        <f aca="false">L539*Assumptions!$B$7+M539*Assumptions!$B$8+N539*Assumptions!$B$9+O539*Assumptions!$B$10+P539*Assumptions!$B$11</f>
        <v>53.1</v>
      </c>
      <c r="R539" s="11" t="str">
        <f aca="false">IF(Q539&lt;=33,"High Risk",IF(Q539&lt;=66,"Medium Risk","Low Risk"))</f>
        <v>Medium Risk</v>
      </c>
    </row>
    <row r="540" customFormat="false" ht="15" hidden="false" customHeight="true" outlineLevel="0" collapsed="false">
      <c r="A540" s="20" t="n">
        <f aca="false">'Raw Data'!A540</f>
        <v>539</v>
      </c>
      <c r="B540" s="20" t="n">
        <f aca="false">'Raw Data'!B540</f>
        <v>42</v>
      </c>
      <c r="C540" s="20" t="str">
        <f aca="false">'Raw Data'!C540</f>
        <v>male</v>
      </c>
      <c r="D540" s="20" t="n">
        <f aca="false">'Raw Data'!D540</f>
        <v>3</v>
      </c>
      <c r="E540" s="20" t="str">
        <f aca="false">'Raw Data'!E540</f>
        <v>free</v>
      </c>
      <c r="F540" s="20" t="str">
        <f aca="false">'Raw Data'!F540</f>
        <v>little</v>
      </c>
      <c r="G540" s="20" t="str">
        <f aca="false">'Raw Data'!G540</f>
        <v>little</v>
      </c>
      <c r="H540" s="20" t="n">
        <f aca="false">'Raw Data'!H540</f>
        <v>7763</v>
      </c>
      <c r="I540" s="20" t="n">
        <f aca="false">'Raw Data'!I540</f>
        <v>48</v>
      </c>
      <c r="J540" s="20" t="str">
        <f aca="false">'Raw Data'!J540</f>
        <v>car</v>
      </c>
      <c r="K540" s="21" t="n">
        <f aca="false">H540/I540</f>
        <v>161.729166666667</v>
      </c>
      <c r="L540" s="21" t="n">
        <f aca="false">100-MIN(K540/Assumptions!$B$14,1)*100</f>
        <v>59.5677083333333</v>
      </c>
      <c r="M540" s="21" t="n">
        <f aca="false">VLOOKUP(F540,Assumptions!$A$19:$B$23,2,0)</f>
        <v>25</v>
      </c>
      <c r="N540" s="21" t="n">
        <f aca="false">VLOOKUP(G540,Assumptions!$A$27:$B$30,2,0)</f>
        <v>25</v>
      </c>
      <c r="O540" s="21" t="n">
        <f aca="false">VLOOKUP(D540,Assumptions!$A$34:$B$37,2,0)</f>
        <v>100</v>
      </c>
      <c r="P540" s="21" t="n">
        <f aca="false">VLOOKUP(E540,Assumptions!$A$41:$B$43,2,0)</f>
        <v>60</v>
      </c>
      <c r="Q540" s="22" t="n">
        <f aca="false">L540*Assumptions!$B$7+M540*Assumptions!$B$8+N540*Assumptions!$B$9+O540*Assumptions!$B$10+P540*Assumptions!$B$11</f>
        <v>50.1203125</v>
      </c>
      <c r="R540" s="11" t="str">
        <f aca="false">IF(Q540&lt;=33,"High Risk",IF(Q540&lt;=66,"Medium Risk","Low Risk"))</f>
        <v>Medium Risk</v>
      </c>
    </row>
    <row r="541" customFormat="false" ht="15" hidden="false" customHeight="true" outlineLevel="0" collapsed="false">
      <c r="A541" s="20" t="n">
        <f aca="false">'Raw Data'!A541</f>
        <v>540</v>
      </c>
      <c r="B541" s="20" t="n">
        <f aca="false">'Raw Data'!B541</f>
        <v>45</v>
      </c>
      <c r="C541" s="20" t="str">
        <f aca="false">'Raw Data'!C541</f>
        <v>female</v>
      </c>
      <c r="D541" s="20" t="n">
        <f aca="false">'Raw Data'!D541</f>
        <v>1</v>
      </c>
      <c r="E541" s="20" t="str">
        <f aca="false">'Raw Data'!E541</f>
        <v>own</v>
      </c>
      <c r="F541" s="20" t="str">
        <f aca="false">'Raw Data'!F541</f>
        <v>little</v>
      </c>
      <c r="G541" s="20" t="str">
        <f aca="false">'Raw Data'!G541</f>
        <v>rich</v>
      </c>
      <c r="H541" s="20" t="n">
        <f aca="false">'Raw Data'!H541</f>
        <v>3049</v>
      </c>
      <c r="I541" s="20" t="n">
        <f aca="false">'Raw Data'!I541</f>
        <v>18</v>
      </c>
      <c r="J541" s="20" t="str">
        <f aca="false">'Raw Data'!J541</f>
        <v>furniture/equipment</v>
      </c>
      <c r="K541" s="21" t="n">
        <f aca="false">H541/I541</f>
        <v>169.388888888889</v>
      </c>
      <c r="L541" s="21" t="n">
        <f aca="false">100-MIN(K541/Assumptions!$B$14,1)*100</f>
        <v>57.6527777777778</v>
      </c>
      <c r="M541" s="21" t="n">
        <f aca="false">VLOOKUP(F541,Assumptions!$A$19:$B$23,2,0)</f>
        <v>25</v>
      </c>
      <c r="N541" s="21" t="n">
        <f aca="false">VLOOKUP(G541,Assumptions!$A$27:$B$30,2,0)</f>
        <v>100</v>
      </c>
      <c r="O541" s="21" t="n">
        <f aca="false">VLOOKUP(D541,Assumptions!$A$34:$B$37,2,0)</f>
        <v>33</v>
      </c>
      <c r="P541" s="21" t="n">
        <f aca="false">VLOOKUP(E541,Assumptions!$A$41:$B$43,2,0)</f>
        <v>100</v>
      </c>
      <c r="Q541" s="22" t="n">
        <f aca="false">L541*Assumptions!$B$7+M541*Assumptions!$B$8+N541*Assumptions!$B$9+O541*Assumptions!$B$10+P541*Assumptions!$B$11</f>
        <v>58.4958333333333</v>
      </c>
      <c r="R541" s="11" t="str">
        <f aca="false">IF(Q541&lt;=33,"High Risk",IF(Q541&lt;=66,"Medium Risk","Low Risk"))</f>
        <v>Medium Risk</v>
      </c>
    </row>
    <row r="542" customFormat="false" ht="15" hidden="false" customHeight="true" outlineLevel="0" collapsed="false">
      <c r="A542" s="20" t="n">
        <f aca="false">'Raw Data'!A542</f>
        <v>541</v>
      </c>
      <c r="B542" s="20" t="n">
        <f aca="false">'Raw Data'!B542</f>
        <v>23</v>
      </c>
      <c r="C542" s="20" t="str">
        <f aca="false">'Raw Data'!C542</f>
        <v>male</v>
      </c>
      <c r="D542" s="20" t="n">
        <f aca="false">'Raw Data'!D542</f>
        <v>2</v>
      </c>
      <c r="E542" s="20" t="str">
        <f aca="false">'Raw Data'!E542</f>
        <v>rent</v>
      </c>
      <c r="F542" s="20" t="str">
        <f aca="false">'Raw Data'!F542</f>
        <v>little</v>
      </c>
      <c r="G542" s="20" t="str">
        <f aca="false">'Raw Data'!G542</f>
        <v>moderate</v>
      </c>
      <c r="H542" s="20" t="n">
        <f aca="false">'Raw Data'!H542</f>
        <v>1534</v>
      </c>
      <c r="I542" s="20" t="n">
        <f aca="false">'Raw Data'!I542</f>
        <v>12</v>
      </c>
      <c r="J542" s="20" t="str">
        <f aca="false">'Raw Data'!J542</f>
        <v>radio/TV</v>
      </c>
      <c r="K542" s="21" t="n">
        <f aca="false">H542/I542</f>
        <v>127.833333333333</v>
      </c>
      <c r="L542" s="21" t="n">
        <f aca="false">100-MIN(K542/Assumptions!$B$14,1)*100</f>
        <v>68.0416666666667</v>
      </c>
      <c r="M542" s="21" t="n">
        <f aca="false">VLOOKUP(F542,Assumptions!$A$19:$B$23,2,0)</f>
        <v>25</v>
      </c>
      <c r="N542" s="21" t="n">
        <f aca="false">VLOOKUP(G542,Assumptions!$A$27:$B$30,2,0)</f>
        <v>60</v>
      </c>
      <c r="O542" s="21" t="n">
        <f aca="false">VLOOKUP(D542,Assumptions!$A$34:$B$37,2,0)</f>
        <v>66</v>
      </c>
      <c r="P542" s="21" t="n">
        <f aca="false">VLOOKUP(E542,Assumptions!$A$41:$B$43,2,0)</f>
        <v>30</v>
      </c>
      <c r="Q542" s="22" t="n">
        <f aca="false">L542*Assumptions!$B$7+M542*Assumptions!$B$8+N542*Assumptions!$B$9+O542*Assumptions!$B$10+P542*Assumptions!$B$11</f>
        <v>51.5625</v>
      </c>
      <c r="R542" s="11" t="str">
        <f aca="false">IF(Q542&lt;=33,"High Risk",IF(Q542&lt;=66,"Medium Risk","Low Risk"))</f>
        <v>Medium Risk</v>
      </c>
    </row>
    <row r="543" customFormat="false" ht="15" hidden="false" customHeight="true" outlineLevel="0" collapsed="false">
      <c r="A543" s="20" t="n">
        <f aca="false">'Raw Data'!A543</f>
        <v>542</v>
      </c>
      <c r="B543" s="20" t="n">
        <f aca="false">'Raw Data'!B543</f>
        <v>60</v>
      </c>
      <c r="C543" s="20" t="str">
        <f aca="false">'Raw Data'!C543</f>
        <v>male</v>
      </c>
      <c r="D543" s="20" t="n">
        <f aca="false">'Raw Data'!D543</f>
        <v>2</v>
      </c>
      <c r="E543" s="20" t="str">
        <f aca="false">'Raw Data'!E543</f>
        <v>free</v>
      </c>
      <c r="F543" s="20" t="str">
        <f aca="false">'Raw Data'!F543</f>
        <v>little</v>
      </c>
      <c r="G543" s="20" t="str">
        <f aca="false">'Raw Data'!G543</f>
        <v>none</v>
      </c>
      <c r="H543" s="20" t="n">
        <f aca="false">'Raw Data'!H543</f>
        <v>2032</v>
      </c>
      <c r="I543" s="20" t="n">
        <f aca="false">'Raw Data'!I543</f>
        <v>24</v>
      </c>
      <c r="J543" s="20" t="str">
        <f aca="false">'Raw Data'!J543</f>
        <v>car</v>
      </c>
      <c r="K543" s="21" t="n">
        <f aca="false">H543/I543</f>
        <v>84.6666666666667</v>
      </c>
      <c r="L543" s="21" t="n">
        <f aca="false">100-MIN(K543/Assumptions!$B$14,1)*100</f>
        <v>78.8333333333333</v>
      </c>
      <c r="M543" s="21" t="n">
        <f aca="false">VLOOKUP(F543,Assumptions!$A$19:$B$23,2,0)</f>
        <v>25</v>
      </c>
      <c r="N543" s="21" t="n">
        <f aca="false">VLOOKUP(G543,Assumptions!$A$27:$B$30,2,0)</f>
        <v>50</v>
      </c>
      <c r="O543" s="21" t="n">
        <f aca="false">VLOOKUP(D543,Assumptions!$A$34:$B$37,2,0)</f>
        <v>66</v>
      </c>
      <c r="P543" s="21" t="n">
        <f aca="false">VLOOKUP(E543,Assumptions!$A$41:$B$43,2,0)</f>
        <v>60</v>
      </c>
      <c r="Q543" s="22" t="n">
        <f aca="false">L543*Assumptions!$B$7+M543*Assumptions!$B$8+N543*Assumptions!$B$9+O543*Assumptions!$B$10+P543*Assumptions!$B$11</f>
        <v>55.8</v>
      </c>
      <c r="R543" s="11" t="str">
        <f aca="false">IF(Q543&lt;=33,"High Risk",IF(Q543&lt;=66,"Medium Risk","Low Risk"))</f>
        <v>Medium Risk</v>
      </c>
    </row>
    <row r="544" customFormat="false" ht="15" hidden="false" customHeight="true" outlineLevel="0" collapsed="false">
      <c r="A544" s="20" t="n">
        <f aca="false">'Raw Data'!A544</f>
        <v>543</v>
      </c>
      <c r="B544" s="20" t="n">
        <f aca="false">'Raw Data'!B544</f>
        <v>31</v>
      </c>
      <c r="C544" s="20" t="str">
        <f aca="false">'Raw Data'!C544</f>
        <v>male</v>
      </c>
      <c r="D544" s="20" t="n">
        <f aca="false">'Raw Data'!D544</f>
        <v>2</v>
      </c>
      <c r="E544" s="20" t="str">
        <f aca="false">'Raw Data'!E544</f>
        <v>own</v>
      </c>
      <c r="F544" s="20" t="str">
        <f aca="false">'Raw Data'!F544</f>
        <v>none</v>
      </c>
      <c r="G544" s="20" t="str">
        <f aca="false">'Raw Data'!G544</f>
        <v>little</v>
      </c>
      <c r="H544" s="20" t="n">
        <f aca="false">'Raw Data'!H544</f>
        <v>6350</v>
      </c>
      <c r="I544" s="20" t="n">
        <f aca="false">'Raw Data'!I544</f>
        <v>30</v>
      </c>
      <c r="J544" s="20" t="str">
        <f aca="false">'Raw Data'!J544</f>
        <v>furniture/equipment</v>
      </c>
      <c r="K544" s="21" t="n">
        <f aca="false">H544/I544</f>
        <v>211.666666666667</v>
      </c>
      <c r="L544" s="21" t="n">
        <f aca="false">100-MIN(K544/Assumptions!$B$14,1)*100</f>
        <v>47.0833333333333</v>
      </c>
      <c r="M544" s="21" t="n">
        <f aca="false">VLOOKUP(F544,Assumptions!$A$19:$B$23,2,0)</f>
        <v>40</v>
      </c>
      <c r="N544" s="21" t="n">
        <f aca="false">VLOOKUP(G544,Assumptions!$A$27:$B$30,2,0)</f>
        <v>25</v>
      </c>
      <c r="O544" s="21" t="n">
        <f aca="false">VLOOKUP(D544,Assumptions!$A$34:$B$37,2,0)</f>
        <v>66</v>
      </c>
      <c r="P544" s="21" t="n">
        <f aca="false">VLOOKUP(E544,Assumptions!$A$41:$B$43,2,0)</f>
        <v>100</v>
      </c>
      <c r="Q544" s="22" t="n">
        <f aca="false">L544*Assumptions!$B$7+M544*Assumptions!$B$8+N544*Assumptions!$B$9+O544*Assumptions!$B$10+P544*Assumptions!$B$11</f>
        <v>49.025</v>
      </c>
      <c r="R544" s="11" t="str">
        <f aca="false">IF(Q544&lt;=33,"High Risk",IF(Q544&lt;=66,"Medium Risk","Low Risk"))</f>
        <v>Medium Risk</v>
      </c>
    </row>
    <row r="545" customFormat="false" ht="15" hidden="false" customHeight="true" outlineLevel="0" collapsed="false">
      <c r="A545" s="20" t="n">
        <f aca="false">'Raw Data'!A545</f>
        <v>544</v>
      </c>
      <c r="B545" s="20" t="n">
        <f aca="false">'Raw Data'!B545</f>
        <v>34</v>
      </c>
      <c r="C545" s="20" t="str">
        <f aca="false">'Raw Data'!C545</f>
        <v>male</v>
      </c>
      <c r="D545" s="20" t="n">
        <f aca="false">'Raw Data'!D545</f>
        <v>1</v>
      </c>
      <c r="E545" s="20" t="str">
        <f aca="false">'Raw Data'!E545</f>
        <v>own</v>
      </c>
      <c r="F545" s="20" t="str">
        <f aca="false">'Raw Data'!F545</f>
        <v>little</v>
      </c>
      <c r="G545" s="20" t="str">
        <f aca="false">'Raw Data'!G545</f>
        <v>rich</v>
      </c>
      <c r="H545" s="20" t="n">
        <f aca="false">'Raw Data'!H545</f>
        <v>2864</v>
      </c>
      <c r="I545" s="20" t="n">
        <f aca="false">'Raw Data'!I545</f>
        <v>18</v>
      </c>
      <c r="J545" s="20" t="str">
        <f aca="false">'Raw Data'!J545</f>
        <v>furniture/equipment</v>
      </c>
      <c r="K545" s="21" t="n">
        <f aca="false">H545/I545</f>
        <v>159.111111111111</v>
      </c>
      <c r="L545" s="21" t="n">
        <f aca="false">100-MIN(K545/Assumptions!$B$14,1)*100</f>
        <v>60.2222222222222</v>
      </c>
      <c r="M545" s="21" t="n">
        <f aca="false">VLOOKUP(F545,Assumptions!$A$19:$B$23,2,0)</f>
        <v>25</v>
      </c>
      <c r="N545" s="21" t="n">
        <f aca="false">VLOOKUP(G545,Assumptions!$A$27:$B$30,2,0)</f>
        <v>100</v>
      </c>
      <c r="O545" s="21" t="n">
        <f aca="false">VLOOKUP(D545,Assumptions!$A$34:$B$37,2,0)</f>
        <v>33</v>
      </c>
      <c r="P545" s="21" t="n">
        <f aca="false">VLOOKUP(E545,Assumptions!$A$41:$B$43,2,0)</f>
        <v>100</v>
      </c>
      <c r="Q545" s="22" t="n">
        <f aca="false">L545*Assumptions!$B$7+M545*Assumptions!$B$8+N545*Assumptions!$B$9+O545*Assumptions!$B$10+P545*Assumptions!$B$11</f>
        <v>59.2666666666667</v>
      </c>
      <c r="R545" s="11" t="str">
        <f aca="false">IF(Q545&lt;=33,"High Risk",IF(Q545&lt;=66,"Medium Risk","Low Risk"))</f>
        <v>Medium Risk</v>
      </c>
    </row>
    <row r="546" customFormat="false" ht="15" hidden="false" customHeight="true" outlineLevel="0" collapsed="false">
      <c r="A546" s="20" t="n">
        <f aca="false">'Raw Data'!A546</f>
        <v>545</v>
      </c>
      <c r="B546" s="20" t="n">
        <f aca="false">'Raw Data'!B546</f>
        <v>61</v>
      </c>
      <c r="C546" s="20" t="str">
        <f aca="false">'Raw Data'!C546</f>
        <v>male</v>
      </c>
      <c r="D546" s="20" t="n">
        <f aca="false">'Raw Data'!D546</f>
        <v>1</v>
      </c>
      <c r="E546" s="20" t="str">
        <f aca="false">'Raw Data'!E546</f>
        <v>own</v>
      </c>
      <c r="F546" s="20" t="str">
        <f aca="false">'Raw Data'!F546</f>
        <v>little</v>
      </c>
      <c r="G546" s="20" t="str">
        <f aca="false">'Raw Data'!G546</f>
        <v>none</v>
      </c>
      <c r="H546" s="20" t="n">
        <f aca="false">'Raw Data'!H546</f>
        <v>1255</v>
      </c>
      <c r="I546" s="20" t="n">
        <f aca="false">'Raw Data'!I546</f>
        <v>12</v>
      </c>
      <c r="J546" s="20" t="str">
        <f aca="false">'Raw Data'!J546</f>
        <v>car</v>
      </c>
      <c r="K546" s="21" t="n">
        <f aca="false">H546/I546</f>
        <v>104.583333333333</v>
      </c>
      <c r="L546" s="21" t="n">
        <f aca="false">100-MIN(K546/Assumptions!$B$14,1)*100</f>
        <v>73.8541666666667</v>
      </c>
      <c r="M546" s="21" t="n">
        <f aca="false">VLOOKUP(F546,Assumptions!$A$19:$B$23,2,0)</f>
        <v>25</v>
      </c>
      <c r="N546" s="21" t="n">
        <f aca="false">VLOOKUP(G546,Assumptions!$A$27:$B$30,2,0)</f>
        <v>50</v>
      </c>
      <c r="O546" s="21" t="n">
        <f aca="false">VLOOKUP(D546,Assumptions!$A$34:$B$37,2,0)</f>
        <v>33</v>
      </c>
      <c r="P546" s="21" t="n">
        <f aca="false">VLOOKUP(E546,Assumptions!$A$41:$B$43,2,0)</f>
        <v>100</v>
      </c>
      <c r="Q546" s="22" t="n">
        <f aca="false">L546*Assumptions!$B$7+M546*Assumptions!$B$8+N546*Assumptions!$B$9+O546*Assumptions!$B$10+P546*Assumptions!$B$11</f>
        <v>53.35625</v>
      </c>
      <c r="R546" s="11" t="str">
        <f aca="false">IF(Q546&lt;=33,"High Risk",IF(Q546&lt;=66,"Medium Risk","Low Risk"))</f>
        <v>Medium Risk</v>
      </c>
    </row>
    <row r="547" customFormat="false" ht="15" hidden="false" customHeight="true" outlineLevel="0" collapsed="false">
      <c r="A547" s="20" t="n">
        <f aca="false">'Raw Data'!A547</f>
        <v>546</v>
      </c>
      <c r="B547" s="20" t="n">
        <f aca="false">'Raw Data'!B547</f>
        <v>43</v>
      </c>
      <c r="C547" s="20" t="str">
        <f aca="false">'Raw Data'!C547</f>
        <v>male</v>
      </c>
      <c r="D547" s="20" t="n">
        <f aca="false">'Raw Data'!D547</f>
        <v>2</v>
      </c>
      <c r="E547" s="20" t="str">
        <f aca="false">'Raw Data'!E547</f>
        <v>free</v>
      </c>
      <c r="F547" s="20" t="str">
        <f aca="false">'Raw Data'!F547</f>
        <v>little</v>
      </c>
      <c r="G547" s="20" t="str">
        <f aca="false">'Raw Data'!G547</f>
        <v>little</v>
      </c>
      <c r="H547" s="20" t="n">
        <f aca="false">'Raw Data'!H547</f>
        <v>1333</v>
      </c>
      <c r="I547" s="20" t="n">
        <f aca="false">'Raw Data'!I547</f>
        <v>24</v>
      </c>
      <c r="J547" s="20" t="str">
        <f aca="false">'Raw Data'!J547</f>
        <v>car</v>
      </c>
      <c r="K547" s="21" t="n">
        <f aca="false">H547/I547</f>
        <v>55.5416666666667</v>
      </c>
      <c r="L547" s="21" t="n">
        <f aca="false">100-MIN(K547/Assumptions!$B$14,1)*100</f>
        <v>86.1145833333333</v>
      </c>
      <c r="M547" s="21" t="n">
        <f aca="false">VLOOKUP(F547,Assumptions!$A$19:$B$23,2,0)</f>
        <v>25</v>
      </c>
      <c r="N547" s="21" t="n">
        <f aca="false">VLOOKUP(G547,Assumptions!$A$27:$B$30,2,0)</f>
        <v>25</v>
      </c>
      <c r="O547" s="21" t="n">
        <f aca="false">VLOOKUP(D547,Assumptions!$A$34:$B$37,2,0)</f>
        <v>66</v>
      </c>
      <c r="P547" s="21" t="n">
        <f aca="false">VLOOKUP(E547,Assumptions!$A$41:$B$43,2,0)</f>
        <v>60</v>
      </c>
      <c r="Q547" s="22" t="n">
        <f aca="false">L547*Assumptions!$B$7+M547*Assumptions!$B$8+N547*Assumptions!$B$9+O547*Assumptions!$B$10+P547*Assumptions!$B$11</f>
        <v>52.984375</v>
      </c>
      <c r="R547" s="11" t="str">
        <f aca="false">IF(Q547&lt;=33,"High Risk",IF(Q547&lt;=66,"Medium Risk","Low Risk"))</f>
        <v>Medium Risk</v>
      </c>
    </row>
    <row r="548" customFormat="false" ht="15" hidden="false" customHeight="true" outlineLevel="0" collapsed="false">
      <c r="A548" s="20" t="n">
        <f aca="false">'Raw Data'!A548</f>
        <v>547</v>
      </c>
      <c r="B548" s="20" t="n">
        <f aca="false">'Raw Data'!B548</f>
        <v>37</v>
      </c>
      <c r="C548" s="20" t="str">
        <f aca="false">'Raw Data'!C548</f>
        <v>female</v>
      </c>
      <c r="D548" s="20" t="n">
        <f aca="false">'Raw Data'!D548</f>
        <v>2</v>
      </c>
      <c r="E548" s="20" t="str">
        <f aca="false">'Raw Data'!E548</f>
        <v>own</v>
      </c>
      <c r="F548" s="20" t="str">
        <f aca="false">'Raw Data'!F548</f>
        <v>little</v>
      </c>
      <c r="G548" s="20" t="str">
        <f aca="false">'Raw Data'!G548</f>
        <v>none</v>
      </c>
      <c r="H548" s="20" t="n">
        <f aca="false">'Raw Data'!H548</f>
        <v>2022</v>
      </c>
      <c r="I548" s="20" t="n">
        <f aca="false">'Raw Data'!I548</f>
        <v>24</v>
      </c>
      <c r="J548" s="20" t="str">
        <f aca="false">'Raw Data'!J548</f>
        <v>car</v>
      </c>
      <c r="K548" s="21" t="n">
        <f aca="false">H548/I548</f>
        <v>84.25</v>
      </c>
      <c r="L548" s="21" t="n">
        <f aca="false">100-MIN(K548/Assumptions!$B$14,1)*100</f>
        <v>78.9375</v>
      </c>
      <c r="M548" s="21" t="n">
        <f aca="false">VLOOKUP(F548,Assumptions!$A$19:$B$23,2,0)</f>
        <v>25</v>
      </c>
      <c r="N548" s="21" t="n">
        <f aca="false">VLOOKUP(G548,Assumptions!$A$27:$B$30,2,0)</f>
        <v>50</v>
      </c>
      <c r="O548" s="21" t="n">
        <f aca="false">VLOOKUP(D548,Assumptions!$A$34:$B$37,2,0)</f>
        <v>66</v>
      </c>
      <c r="P548" s="21" t="n">
        <f aca="false">VLOOKUP(E548,Assumptions!$A$41:$B$43,2,0)</f>
        <v>100</v>
      </c>
      <c r="Q548" s="22" t="n">
        <f aca="false">L548*Assumptions!$B$7+M548*Assumptions!$B$8+N548*Assumptions!$B$9+O548*Assumptions!$B$10+P548*Assumptions!$B$11</f>
        <v>59.83125</v>
      </c>
      <c r="R548" s="11" t="str">
        <f aca="false">IF(Q548&lt;=33,"High Risk",IF(Q548&lt;=66,"Medium Risk","Low Risk"))</f>
        <v>Medium Risk</v>
      </c>
    </row>
    <row r="549" customFormat="false" ht="15" hidden="false" customHeight="true" outlineLevel="0" collapsed="false">
      <c r="A549" s="20" t="n">
        <f aca="false">'Raw Data'!A549</f>
        <v>548</v>
      </c>
      <c r="B549" s="20" t="n">
        <f aca="false">'Raw Data'!B549</f>
        <v>32</v>
      </c>
      <c r="C549" s="20" t="str">
        <f aca="false">'Raw Data'!C549</f>
        <v>male</v>
      </c>
      <c r="D549" s="20" t="n">
        <f aca="false">'Raw Data'!D549</f>
        <v>2</v>
      </c>
      <c r="E549" s="20" t="str">
        <f aca="false">'Raw Data'!E549</f>
        <v>own</v>
      </c>
      <c r="F549" s="20" t="str">
        <f aca="false">'Raw Data'!F549</f>
        <v>little</v>
      </c>
      <c r="G549" s="20" t="str">
        <f aca="false">'Raw Data'!G549</f>
        <v>none</v>
      </c>
      <c r="H549" s="20" t="n">
        <f aca="false">'Raw Data'!H549</f>
        <v>1552</v>
      </c>
      <c r="I549" s="20" t="n">
        <f aca="false">'Raw Data'!I549</f>
        <v>24</v>
      </c>
      <c r="J549" s="20" t="str">
        <f aca="false">'Raw Data'!J549</f>
        <v>radio/TV</v>
      </c>
      <c r="K549" s="21" t="n">
        <f aca="false">H549/I549</f>
        <v>64.6666666666667</v>
      </c>
      <c r="L549" s="21" t="n">
        <f aca="false">100-MIN(K549/Assumptions!$B$14,1)*100</f>
        <v>83.8333333333333</v>
      </c>
      <c r="M549" s="21" t="n">
        <f aca="false">VLOOKUP(F549,Assumptions!$A$19:$B$23,2,0)</f>
        <v>25</v>
      </c>
      <c r="N549" s="21" t="n">
        <f aca="false">VLOOKUP(G549,Assumptions!$A$27:$B$30,2,0)</f>
        <v>50</v>
      </c>
      <c r="O549" s="21" t="n">
        <f aca="false">VLOOKUP(D549,Assumptions!$A$34:$B$37,2,0)</f>
        <v>66</v>
      </c>
      <c r="P549" s="21" t="n">
        <f aca="false">VLOOKUP(E549,Assumptions!$A$41:$B$43,2,0)</f>
        <v>100</v>
      </c>
      <c r="Q549" s="22" t="n">
        <f aca="false">L549*Assumptions!$B$7+M549*Assumptions!$B$8+N549*Assumptions!$B$9+O549*Assumptions!$B$10+P549*Assumptions!$B$11</f>
        <v>61.3</v>
      </c>
      <c r="R549" s="11" t="str">
        <f aca="false">IF(Q549&lt;=33,"High Risk",IF(Q549&lt;=66,"Medium Risk","Low Risk"))</f>
        <v>Medium Risk</v>
      </c>
    </row>
    <row r="550" customFormat="false" ht="15" hidden="false" customHeight="true" outlineLevel="0" collapsed="false">
      <c r="A550" s="20" t="n">
        <f aca="false">'Raw Data'!A550</f>
        <v>549</v>
      </c>
      <c r="B550" s="20" t="n">
        <f aca="false">'Raw Data'!B550</f>
        <v>24</v>
      </c>
      <c r="C550" s="20" t="str">
        <f aca="false">'Raw Data'!C550</f>
        <v>female</v>
      </c>
      <c r="D550" s="20" t="n">
        <f aca="false">'Raw Data'!D550</f>
        <v>1</v>
      </c>
      <c r="E550" s="20" t="str">
        <f aca="false">'Raw Data'!E550</f>
        <v>own</v>
      </c>
      <c r="F550" s="20" t="str">
        <f aca="false">'Raw Data'!F550</f>
        <v>little</v>
      </c>
      <c r="G550" s="20" t="str">
        <f aca="false">'Raw Data'!G550</f>
        <v>little</v>
      </c>
      <c r="H550" s="20" t="n">
        <f aca="false">'Raw Data'!H550</f>
        <v>626</v>
      </c>
      <c r="I550" s="20" t="n">
        <f aca="false">'Raw Data'!I550</f>
        <v>12</v>
      </c>
      <c r="J550" s="20" t="str">
        <f aca="false">'Raw Data'!J550</f>
        <v>radio/TV</v>
      </c>
      <c r="K550" s="21" t="n">
        <f aca="false">H550/I550</f>
        <v>52.1666666666667</v>
      </c>
      <c r="L550" s="21" t="n">
        <f aca="false">100-MIN(K550/Assumptions!$B$14,1)*100</f>
        <v>86.9583333333333</v>
      </c>
      <c r="M550" s="21" t="n">
        <f aca="false">VLOOKUP(F550,Assumptions!$A$19:$B$23,2,0)</f>
        <v>25</v>
      </c>
      <c r="N550" s="21" t="n">
        <f aca="false">VLOOKUP(G550,Assumptions!$A$27:$B$30,2,0)</f>
        <v>25</v>
      </c>
      <c r="O550" s="21" t="n">
        <f aca="false">VLOOKUP(D550,Assumptions!$A$34:$B$37,2,0)</f>
        <v>33</v>
      </c>
      <c r="P550" s="21" t="n">
        <f aca="false">VLOOKUP(E550,Assumptions!$A$41:$B$43,2,0)</f>
        <v>100</v>
      </c>
      <c r="Q550" s="22" t="n">
        <f aca="false">L550*Assumptions!$B$7+M550*Assumptions!$B$8+N550*Assumptions!$B$9+O550*Assumptions!$B$10+P550*Assumptions!$B$11</f>
        <v>52.2875</v>
      </c>
      <c r="R550" s="11" t="str">
        <f aca="false">IF(Q550&lt;=33,"High Risk",IF(Q550&lt;=66,"Medium Risk","Low Risk"))</f>
        <v>Medium Risk</v>
      </c>
    </row>
    <row r="551" customFormat="false" ht="15" hidden="false" customHeight="true" outlineLevel="0" collapsed="false">
      <c r="A551" s="20" t="n">
        <f aca="false">'Raw Data'!A551</f>
        <v>550</v>
      </c>
      <c r="B551" s="20" t="n">
        <f aca="false">'Raw Data'!B551</f>
        <v>35</v>
      </c>
      <c r="C551" s="20" t="str">
        <f aca="false">'Raw Data'!C551</f>
        <v>male</v>
      </c>
      <c r="D551" s="20" t="n">
        <f aca="false">'Raw Data'!D551</f>
        <v>2</v>
      </c>
      <c r="E551" s="20" t="str">
        <f aca="false">'Raw Data'!E551</f>
        <v>free</v>
      </c>
      <c r="F551" s="20" t="str">
        <f aca="false">'Raw Data'!F551</f>
        <v>none</v>
      </c>
      <c r="G551" s="20" t="str">
        <f aca="false">'Raw Data'!G551</f>
        <v>none</v>
      </c>
      <c r="H551" s="20" t="n">
        <f aca="false">'Raw Data'!H551</f>
        <v>8858</v>
      </c>
      <c r="I551" s="20" t="n">
        <f aca="false">'Raw Data'!I551</f>
        <v>48</v>
      </c>
      <c r="J551" s="20" t="str">
        <f aca="false">'Raw Data'!J551</f>
        <v>car</v>
      </c>
      <c r="K551" s="21" t="n">
        <f aca="false">H551/I551</f>
        <v>184.541666666667</v>
      </c>
      <c r="L551" s="21" t="n">
        <f aca="false">100-MIN(K551/Assumptions!$B$14,1)*100</f>
        <v>53.8645833333333</v>
      </c>
      <c r="M551" s="21" t="n">
        <f aca="false">VLOOKUP(F551,Assumptions!$A$19:$B$23,2,0)</f>
        <v>40</v>
      </c>
      <c r="N551" s="21" t="n">
        <f aca="false">VLOOKUP(G551,Assumptions!$A$27:$B$30,2,0)</f>
        <v>50</v>
      </c>
      <c r="O551" s="21" t="n">
        <f aca="false">VLOOKUP(D551,Assumptions!$A$34:$B$37,2,0)</f>
        <v>66</v>
      </c>
      <c r="P551" s="21" t="n">
        <f aca="false">VLOOKUP(E551,Assumptions!$A$41:$B$43,2,0)</f>
        <v>60</v>
      </c>
      <c r="Q551" s="22" t="n">
        <f aca="false">L551*Assumptions!$B$7+M551*Assumptions!$B$8+N551*Assumptions!$B$9+O551*Assumptions!$B$10+P551*Assumptions!$B$11</f>
        <v>52.059375</v>
      </c>
      <c r="R551" s="11" t="str">
        <f aca="false">IF(Q551&lt;=33,"High Risk",IF(Q551&lt;=66,"Medium Risk","Low Risk"))</f>
        <v>Medium Risk</v>
      </c>
    </row>
    <row r="552" customFormat="false" ht="15" hidden="false" customHeight="true" outlineLevel="0" collapsed="false">
      <c r="A552" s="20" t="n">
        <f aca="false">'Raw Data'!A552</f>
        <v>551</v>
      </c>
      <c r="B552" s="20" t="n">
        <f aca="false">'Raw Data'!B552</f>
        <v>23</v>
      </c>
      <c r="C552" s="20" t="str">
        <f aca="false">'Raw Data'!C552</f>
        <v>female</v>
      </c>
      <c r="D552" s="20" t="n">
        <f aca="false">'Raw Data'!D552</f>
        <v>2</v>
      </c>
      <c r="E552" s="20" t="str">
        <f aca="false">'Raw Data'!E552</f>
        <v>own</v>
      </c>
      <c r="F552" s="20" t="str">
        <f aca="false">'Raw Data'!F552</f>
        <v>none</v>
      </c>
      <c r="G552" s="20" t="str">
        <f aca="false">'Raw Data'!G552</f>
        <v>none</v>
      </c>
      <c r="H552" s="20" t="n">
        <f aca="false">'Raw Data'!H552</f>
        <v>996</v>
      </c>
      <c r="I552" s="20" t="n">
        <f aca="false">'Raw Data'!I552</f>
        <v>12</v>
      </c>
      <c r="J552" s="20" t="str">
        <f aca="false">'Raw Data'!J552</f>
        <v>repairs</v>
      </c>
      <c r="K552" s="21" t="n">
        <f aca="false">H552/I552</f>
        <v>83</v>
      </c>
      <c r="L552" s="21" t="n">
        <f aca="false">100-MIN(K552/Assumptions!$B$14,1)*100</f>
        <v>79.25</v>
      </c>
      <c r="M552" s="21" t="n">
        <f aca="false">VLOOKUP(F552,Assumptions!$A$19:$B$23,2,0)</f>
        <v>40</v>
      </c>
      <c r="N552" s="21" t="n">
        <f aca="false">VLOOKUP(G552,Assumptions!$A$27:$B$30,2,0)</f>
        <v>50</v>
      </c>
      <c r="O552" s="21" t="n">
        <f aca="false">VLOOKUP(D552,Assumptions!$A$34:$B$37,2,0)</f>
        <v>66</v>
      </c>
      <c r="P552" s="21" t="n">
        <f aca="false">VLOOKUP(E552,Assumptions!$A$41:$B$43,2,0)</f>
        <v>100</v>
      </c>
      <c r="Q552" s="22" t="n">
        <f aca="false">L552*Assumptions!$B$7+M552*Assumptions!$B$8+N552*Assumptions!$B$9+O552*Assumptions!$B$10+P552*Assumptions!$B$11</f>
        <v>63.675</v>
      </c>
      <c r="R552" s="11" t="str">
        <f aca="false">IF(Q552&lt;=33,"High Risk",IF(Q552&lt;=66,"Medium Risk","Low Risk"))</f>
        <v>Medium Risk</v>
      </c>
    </row>
    <row r="553" customFormat="false" ht="15" hidden="false" customHeight="true" outlineLevel="0" collapsed="false">
      <c r="A553" s="20" t="n">
        <f aca="false">'Raw Data'!A553</f>
        <v>552</v>
      </c>
      <c r="B553" s="20" t="n">
        <f aca="false">'Raw Data'!B553</f>
        <v>45</v>
      </c>
      <c r="C553" s="20" t="str">
        <f aca="false">'Raw Data'!C553</f>
        <v>male</v>
      </c>
      <c r="D553" s="20" t="n">
        <f aca="false">'Raw Data'!D553</f>
        <v>1</v>
      </c>
      <c r="E553" s="20" t="str">
        <f aca="false">'Raw Data'!E553</f>
        <v>own</v>
      </c>
      <c r="F553" s="20" t="str">
        <f aca="false">'Raw Data'!F553</f>
        <v>quite rich</v>
      </c>
      <c r="G553" s="20" t="str">
        <f aca="false">'Raw Data'!G553</f>
        <v>none</v>
      </c>
      <c r="H553" s="20" t="n">
        <f aca="false">'Raw Data'!H553</f>
        <v>1750</v>
      </c>
      <c r="I553" s="20" t="n">
        <f aca="false">'Raw Data'!I553</f>
        <v>6</v>
      </c>
      <c r="J553" s="20" t="str">
        <f aca="false">'Raw Data'!J553</f>
        <v>radio/TV</v>
      </c>
      <c r="K553" s="21" t="n">
        <f aca="false">H553/I553</f>
        <v>291.666666666667</v>
      </c>
      <c r="L553" s="21" t="n">
        <f aca="false">100-MIN(K553/Assumptions!$B$14,1)*100</f>
        <v>27.0833333333333</v>
      </c>
      <c r="M553" s="21" t="n">
        <f aca="false">VLOOKUP(F553,Assumptions!$A$19:$B$23,2,0)</f>
        <v>75</v>
      </c>
      <c r="N553" s="21" t="n">
        <f aca="false">VLOOKUP(G553,Assumptions!$A$27:$B$30,2,0)</f>
        <v>50</v>
      </c>
      <c r="O553" s="21" t="n">
        <f aca="false">VLOOKUP(D553,Assumptions!$A$34:$B$37,2,0)</f>
        <v>33</v>
      </c>
      <c r="P553" s="21" t="n">
        <f aca="false">VLOOKUP(E553,Assumptions!$A$41:$B$43,2,0)</f>
        <v>100</v>
      </c>
      <c r="Q553" s="22" t="n">
        <f aca="false">L553*Assumptions!$B$7+M553*Assumptions!$B$8+N553*Assumptions!$B$9+O553*Assumptions!$B$10+P553*Assumptions!$B$11</f>
        <v>51.825</v>
      </c>
      <c r="R553" s="11" t="str">
        <f aca="false">IF(Q553&lt;=33,"High Risk",IF(Q553&lt;=66,"Medium Risk","Low Risk"))</f>
        <v>Medium Risk</v>
      </c>
    </row>
    <row r="554" customFormat="false" ht="15" hidden="false" customHeight="true" outlineLevel="0" collapsed="false">
      <c r="A554" s="20" t="n">
        <f aca="false">'Raw Data'!A554</f>
        <v>553</v>
      </c>
      <c r="B554" s="20" t="n">
        <f aca="false">'Raw Data'!B554</f>
        <v>34</v>
      </c>
      <c r="C554" s="20" t="str">
        <f aca="false">'Raw Data'!C554</f>
        <v>male</v>
      </c>
      <c r="D554" s="20" t="n">
        <f aca="false">'Raw Data'!D554</f>
        <v>2</v>
      </c>
      <c r="E554" s="20" t="str">
        <f aca="false">'Raw Data'!E554</f>
        <v>own</v>
      </c>
      <c r="F554" s="20" t="str">
        <f aca="false">'Raw Data'!F554</f>
        <v>little</v>
      </c>
      <c r="G554" s="20" t="str">
        <f aca="false">'Raw Data'!G554</f>
        <v>little</v>
      </c>
      <c r="H554" s="20" t="n">
        <f aca="false">'Raw Data'!H554</f>
        <v>6999</v>
      </c>
      <c r="I554" s="20" t="n">
        <f aca="false">'Raw Data'!I554</f>
        <v>48</v>
      </c>
      <c r="J554" s="20" t="str">
        <f aca="false">'Raw Data'!J554</f>
        <v>radio/TV</v>
      </c>
      <c r="K554" s="21" t="n">
        <f aca="false">H554/I554</f>
        <v>145.8125</v>
      </c>
      <c r="L554" s="21" t="n">
        <f aca="false">100-MIN(K554/Assumptions!$B$14,1)*100</f>
        <v>63.546875</v>
      </c>
      <c r="M554" s="21" t="n">
        <f aca="false">VLOOKUP(F554,Assumptions!$A$19:$B$23,2,0)</f>
        <v>25</v>
      </c>
      <c r="N554" s="21" t="n">
        <f aca="false">VLOOKUP(G554,Assumptions!$A$27:$B$30,2,0)</f>
        <v>25</v>
      </c>
      <c r="O554" s="21" t="n">
        <f aca="false">VLOOKUP(D554,Assumptions!$A$34:$B$37,2,0)</f>
        <v>66</v>
      </c>
      <c r="P554" s="21" t="n">
        <f aca="false">VLOOKUP(E554,Assumptions!$A$41:$B$43,2,0)</f>
        <v>100</v>
      </c>
      <c r="Q554" s="22" t="n">
        <f aca="false">L554*Assumptions!$B$7+M554*Assumptions!$B$8+N554*Assumptions!$B$9+O554*Assumptions!$B$10+P554*Assumptions!$B$11</f>
        <v>50.2140625</v>
      </c>
      <c r="R554" s="11" t="str">
        <f aca="false">IF(Q554&lt;=33,"High Risk",IF(Q554&lt;=66,"Medium Risk","Low Risk"))</f>
        <v>Medium Risk</v>
      </c>
    </row>
    <row r="555" customFormat="false" ht="15" hidden="false" customHeight="true" outlineLevel="0" collapsed="false">
      <c r="A555" s="20" t="n">
        <f aca="false">'Raw Data'!A555</f>
        <v>554</v>
      </c>
      <c r="B555" s="20" t="n">
        <f aca="false">'Raw Data'!B555</f>
        <v>27</v>
      </c>
      <c r="C555" s="20" t="str">
        <f aca="false">'Raw Data'!C555</f>
        <v>male</v>
      </c>
      <c r="D555" s="20" t="n">
        <f aca="false">'Raw Data'!D555</f>
        <v>2</v>
      </c>
      <c r="E555" s="20" t="str">
        <f aca="false">'Raw Data'!E555</f>
        <v>own</v>
      </c>
      <c r="F555" s="20" t="str">
        <f aca="false">'Raw Data'!F555</f>
        <v>moderate</v>
      </c>
      <c r="G555" s="20" t="str">
        <f aca="false">'Raw Data'!G555</f>
        <v>moderate</v>
      </c>
      <c r="H555" s="20" t="n">
        <f aca="false">'Raw Data'!H555</f>
        <v>1995</v>
      </c>
      <c r="I555" s="20" t="n">
        <f aca="false">'Raw Data'!I555</f>
        <v>12</v>
      </c>
      <c r="J555" s="20" t="str">
        <f aca="false">'Raw Data'!J555</f>
        <v>car</v>
      </c>
      <c r="K555" s="21" t="n">
        <f aca="false">H555/I555</f>
        <v>166.25</v>
      </c>
      <c r="L555" s="21" t="n">
        <f aca="false">100-MIN(K555/Assumptions!$B$14,1)*100</f>
        <v>58.4375</v>
      </c>
      <c r="M555" s="21" t="n">
        <f aca="false">VLOOKUP(F555,Assumptions!$A$19:$B$23,2,0)</f>
        <v>50</v>
      </c>
      <c r="N555" s="21" t="n">
        <f aca="false">VLOOKUP(G555,Assumptions!$A$27:$B$30,2,0)</f>
        <v>60</v>
      </c>
      <c r="O555" s="21" t="n">
        <f aca="false">VLOOKUP(D555,Assumptions!$A$34:$B$37,2,0)</f>
        <v>66</v>
      </c>
      <c r="P555" s="21" t="n">
        <f aca="false">VLOOKUP(E555,Assumptions!$A$41:$B$43,2,0)</f>
        <v>100</v>
      </c>
      <c r="Q555" s="22" t="n">
        <f aca="false">L555*Assumptions!$B$7+M555*Assumptions!$B$8+N555*Assumptions!$B$9+O555*Assumptions!$B$10+P555*Assumptions!$B$11</f>
        <v>61.93125</v>
      </c>
      <c r="R555" s="11" t="str">
        <f aca="false">IF(Q555&lt;=33,"High Risk",IF(Q555&lt;=66,"Medium Risk","Low Risk"))</f>
        <v>Medium Risk</v>
      </c>
    </row>
    <row r="556" customFormat="false" ht="15" hidden="false" customHeight="true" outlineLevel="0" collapsed="false">
      <c r="A556" s="20" t="n">
        <f aca="false">'Raw Data'!A556</f>
        <v>555</v>
      </c>
      <c r="B556" s="20" t="n">
        <f aca="false">'Raw Data'!B556</f>
        <v>67</v>
      </c>
      <c r="C556" s="20" t="str">
        <f aca="false">'Raw Data'!C556</f>
        <v>female</v>
      </c>
      <c r="D556" s="20" t="n">
        <f aca="false">'Raw Data'!D556</f>
        <v>3</v>
      </c>
      <c r="E556" s="20" t="str">
        <f aca="false">'Raw Data'!E556</f>
        <v>own</v>
      </c>
      <c r="F556" s="20" t="str">
        <f aca="false">'Raw Data'!F556</f>
        <v>little</v>
      </c>
      <c r="G556" s="20" t="str">
        <f aca="false">'Raw Data'!G556</f>
        <v>moderate</v>
      </c>
      <c r="H556" s="20" t="n">
        <f aca="false">'Raw Data'!H556</f>
        <v>1199</v>
      </c>
      <c r="I556" s="20" t="n">
        <f aca="false">'Raw Data'!I556</f>
        <v>9</v>
      </c>
      <c r="J556" s="20" t="str">
        <f aca="false">'Raw Data'!J556</f>
        <v>education</v>
      </c>
      <c r="K556" s="21" t="n">
        <f aca="false">H556/I556</f>
        <v>133.222222222222</v>
      </c>
      <c r="L556" s="21" t="n">
        <f aca="false">100-MIN(K556/Assumptions!$B$14,1)*100</f>
        <v>66.6944444444444</v>
      </c>
      <c r="M556" s="21" t="n">
        <f aca="false">VLOOKUP(F556,Assumptions!$A$19:$B$23,2,0)</f>
        <v>25</v>
      </c>
      <c r="N556" s="21" t="n">
        <f aca="false">VLOOKUP(G556,Assumptions!$A$27:$B$30,2,0)</f>
        <v>60</v>
      </c>
      <c r="O556" s="21" t="n">
        <f aca="false">VLOOKUP(D556,Assumptions!$A$34:$B$37,2,0)</f>
        <v>100</v>
      </c>
      <c r="P556" s="21" t="n">
        <f aca="false">VLOOKUP(E556,Assumptions!$A$41:$B$43,2,0)</f>
        <v>100</v>
      </c>
      <c r="Q556" s="22" t="n">
        <f aca="false">L556*Assumptions!$B$7+M556*Assumptions!$B$8+N556*Assumptions!$B$9+O556*Assumptions!$B$10+P556*Assumptions!$B$11</f>
        <v>63.2583333333333</v>
      </c>
      <c r="R556" s="11" t="str">
        <f aca="false">IF(Q556&lt;=33,"High Risk",IF(Q556&lt;=66,"Medium Risk","Low Risk"))</f>
        <v>Medium Risk</v>
      </c>
    </row>
    <row r="557" customFormat="false" ht="15" hidden="false" customHeight="true" outlineLevel="0" collapsed="false">
      <c r="A557" s="20" t="n">
        <f aca="false">'Raw Data'!A557</f>
        <v>556</v>
      </c>
      <c r="B557" s="20" t="n">
        <f aca="false">'Raw Data'!B557</f>
        <v>22</v>
      </c>
      <c r="C557" s="20" t="str">
        <f aca="false">'Raw Data'!C557</f>
        <v>male</v>
      </c>
      <c r="D557" s="20" t="n">
        <f aca="false">'Raw Data'!D557</f>
        <v>2</v>
      </c>
      <c r="E557" s="20" t="str">
        <f aca="false">'Raw Data'!E557</f>
        <v>own</v>
      </c>
      <c r="F557" s="20" t="str">
        <f aca="false">'Raw Data'!F557</f>
        <v>little</v>
      </c>
      <c r="G557" s="20" t="str">
        <f aca="false">'Raw Data'!G557</f>
        <v>moderate</v>
      </c>
      <c r="H557" s="20" t="n">
        <f aca="false">'Raw Data'!H557</f>
        <v>1331</v>
      </c>
      <c r="I557" s="20" t="n">
        <f aca="false">'Raw Data'!I557</f>
        <v>12</v>
      </c>
      <c r="J557" s="20" t="str">
        <f aca="false">'Raw Data'!J557</f>
        <v>radio/TV</v>
      </c>
      <c r="K557" s="21" t="n">
        <f aca="false">H557/I557</f>
        <v>110.916666666667</v>
      </c>
      <c r="L557" s="21" t="n">
        <f aca="false">100-MIN(K557/Assumptions!$B$14,1)*100</f>
        <v>72.2708333333333</v>
      </c>
      <c r="M557" s="21" t="n">
        <f aca="false">VLOOKUP(F557,Assumptions!$A$19:$B$23,2,0)</f>
        <v>25</v>
      </c>
      <c r="N557" s="21" t="n">
        <f aca="false">VLOOKUP(G557,Assumptions!$A$27:$B$30,2,0)</f>
        <v>60</v>
      </c>
      <c r="O557" s="21" t="n">
        <f aca="false">VLOOKUP(D557,Assumptions!$A$34:$B$37,2,0)</f>
        <v>66</v>
      </c>
      <c r="P557" s="21" t="n">
        <f aca="false">VLOOKUP(E557,Assumptions!$A$41:$B$43,2,0)</f>
        <v>100</v>
      </c>
      <c r="Q557" s="22" t="n">
        <f aca="false">L557*Assumptions!$B$7+M557*Assumptions!$B$8+N557*Assumptions!$B$9+O557*Assumptions!$B$10+P557*Assumptions!$B$11</f>
        <v>59.83125</v>
      </c>
      <c r="R557" s="11" t="str">
        <f aca="false">IF(Q557&lt;=33,"High Risk",IF(Q557&lt;=66,"Medium Risk","Low Risk"))</f>
        <v>Medium Risk</v>
      </c>
    </row>
    <row r="558" customFormat="false" ht="15" hidden="false" customHeight="true" outlineLevel="0" collapsed="false">
      <c r="A558" s="20" t="n">
        <f aca="false">'Raw Data'!A558</f>
        <v>557</v>
      </c>
      <c r="B558" s="20" t="n">
        <f aca="false">'Raw Data'!B558</f>
        <v>28</v>
      </c>
      <c r="C558" s="20" t="str">
        <f aca="false">'Raw Data'!C558</f>
        <v>female</v>
      </c>
      <c r="D558" s="20" t="n">
        <f aca="false">'Raw Data'!D558</f>
        <v>2</v>
      </c>
      <c r="E558" s="20" t="str">
        <f aca="false">'Raw Data'!E558</f>
        <v>own</v>
      </c>
      <c r="F558" s="20" t="str">
        <f aca="false">'Raw Data'!F558</f>
        <v>moderate</v>
      </c>
      <c r="G558" s="20" t="str">
        <f aca="false">'Raw Data'!G558</f>
        <v>moderate</v>
      </c>
      <c r="H558" s="20" t="n">
        <f aca="false">'Raw Data'!H558</f>
        <v>2278</v>
      </c>
      <c r="I558" s="20" t="n">
        <f aca="false">'Raw Data'!I558</f>
        <v>18</v>
      </c>
      <c r="J558" s="20" t="str">
        <f aca="false">'Raw Data'!J558</f>
        <v>car</v>
      </c>
      <c r="K558" s="21" t="n">
        <f aca="false">H558/I558</f>
        <v>126.555555555556</v>
      </c>
      <c r="L558" s="21" t="n">
        <f aca="false">100-MIN(K558/Assumptions!$B$14,1)*100</f>
        <v>68.3611111111111</v>
      </c>
      <c r="M558" s="21" t="n">
        <f aca="false">VLOOKUP(F558,Assumptions!$A$19:$B$23,2,0)</f>
        <v>50</v>
      </c>
      <c r="N558" s="21" t="n">
        <f aca="false">VLOOKUP(G558,Assumptions!$A$27:$B$30,2,0)</f>
        <v>60</v>
      </c>
      <c r="O558" s="21" t="n">
        <f aca="false">VLOOKUP(D558,Assumptions!$A$34:$B$37,2,0)</f>
        <v>66</v>
      </c>
      <c r="P558" s="21" t="n">
        <f aca="false">VLOOKUP(E558,Assumptions!$A$41:$B$43,2,0)</f>
        <v>100</v>
      </c>
      <c r="Q558" s="22" t="n">
        <f aca="false">L558*Assumptions!$B$7+M558*Assumptions!$B$8+N558*Assumptions!$B$9+O558*Assumptions!$B$10+P558*Assumptions!$B$11</f>
        <v>64.9083333333333</v>
      </c>
      <c r="R558" s="11" t="str">
        <f aca="false">IF(Q558&lt;=33,"High Risk",IF(Q558&lt;=66,"Medium Risk","Low Risk"))</f>
        <v>Medium Risk</v>
      </c>
    </row>
    <row r="559" customFormat="false" ht="15" hidden="false" customHeight="true" outlineLevel="0" collapsed="false">
      <c r="A559" s="20" t="n">
        <f aca="false">'Raw Data'!A559</f>
        <v>558</v>
      </c>
      <c r="B559" s="20" t="n">
        <f aca="false">'Raw Data'!B559</f>
        <v>29</v>
      </c>
      <c r="C559" s="20" t="str">
        <f aca="false">'Raw Data'!C559</f>
        <v>female</v>
      </c>
      <c r="D559" s="20" t="n">
        <f aca="false">'Raw Data'!D559</f>
        <v>2</v>
      </c>
      <c r="E559" s="20" t="str">
        <f aca="false">'Raw Data'!E559</f>
        <v>own</v>
      </c>
      <c r="F559" s="20" t="str">
        <f aca="false">'Raw Data'!F559</f>
        <v>none</v>
      </c>
      <c r="G559" s="20" t="str">
        <f aca="false">'Raw Data'!G559</f>
        <v>none</v>
      </c>
      <c r="H559" s="20" t="n">
        <f aca="false">'Raw Data'!H559</f>
        <v>5003</v>
      </c>
      <c r="I559" s="20" t="n">
        <f aca="false">'Raw Data'!I559</f>
        <v>21</v>
      </c>
      <c r="J559" s="20" t="str">
        <f aca="false">'Raw Data'!J559</f>
        <v>car</v>
      </c>
      <c r="K559" s="21" t="n">
        <f aca="false">H559/I559</f>
        <v>238.238095238095</v>
      </c>
      <c r="L559" s="21" t="n">
        <f aca="false">100-MIN(K559/Assumptions!$B$14,1)*100</f>
        <v>40.4404761904762</v>
      </c>
      <c r="M559" s="21" t="n">
        <f aca="false">VLOOKUP(F559,Assumptions!$A$19:$B$23,2,0)</f>
        <v>40</v>
      </c>
      <c r="N559" s="21" t="n">
        <f aca="false">VLOOKUP(G559,Assumptions!$A$27:$B$30,2,0)</f>
        <v>50</v>
      </c>
      <c r="O559" s="21" t="n">
        <f aca="false">VLOOKUP(D559,Assumptions!$A$34:$B$37,2,0)</f>
        <v>66</v>
      </c>
      <c r="P559" s="21" t="n">
        <f aca="false">VLOOKUP(E559,Assumptions!$A$41:$B$43,2,0)</f>
        <v>100</v>
      </c>
      <c r="Q559" s="22" t="n">
        <f aca="false">L559*Assumptions!$B$7+M559*Assumptions!$B$8+N559*Assumptions!$B$9+O559*Assumptions!$B$10+P559*Assumptions!$B$11</f>
        <v>52.0321428571429</v>
      </c>
      <c r="R559" s="11" t="str">
        <f aca="false">IF(Q559&lt;=33,"High Risk",IF(Q559&lt;=66,"Medium Risk","Low Risk"))</f>
        <v>Medium Risk</v>
      </c>
    </row>
    <row r="560" customFormat="false" ht="15" hidden="false" customHeight="true" outlineLevel="0" collapsed="false">
      <c r="A560" s="20" t="n">
        <f aca="false">'Raw Data'!A560</f>
        <v>559</v>
      </c>
      <c r="B560" s="20" t="n">
        <f aca="false">'Raw Data'!B560</f>
        <v>27</v>
      </c>
      <c r="C560" s="20" t="str">
        <f aca="false">'Raw Data'!C560</f>
        <v>male</v>
      </c>
      <c r="D560" s="20" t="n">
        <f aca="false">'Raw Data'!D560</f>
        <v>2</v>
      </c>
      <c r="E560" s="20" t="str">
        <f aca="false">'Raw Data'!E560</f>
        <v>own</v>
      </c>
      <c r="F560" s="20" t="str">
        <f aca="false">'Raw Data'!F560</f>
        <v>little</v>
      </c>
      <c r="G560" s="20" t="str">
        <f aca="false">'Raw Data'!G560</f>
        <v>little</v>
      </c>
      <c r="H560" s="20" t="n">
        <f aca="false">'Raw Data'!H560</f>
        <v>3552</v>
      </c>
      <c r="I560" s="20" t="n">
        <f aca="false">'Raw Data'!I560</f>
        <v>24</v>
      </c>
      <c r="J560" s="20" t="str">
        <f aca="false">'Raw Data'!J560</f>
        <v>furniture/equipment</v>
      </c>
      <c r="K560" s="21" t="n">
        <f aca="false">H560/I560</f>
        <v>148</v>
      </c>
      <c r="L560" s="21" t="n">
        <f aca="false">100-MIN(K560/Assumptions!$B$14,1)*100</f>
        <v>63</v>
      </c>
      <c r="M560" s="21" t="n">
        <f aca="false">VLOOKUP(F560,Assumptions!$A$19:$B$23,2,0)</f>
        <v>25</v>
      </c>
      <c r="N560" s="21" t="n">
        <f aca="false">VLOOKUP(G560,Assumptions!$A$27:$B$30,2,0)</f>
        <v>25</v>
      </c>
      <c r="O560" s="21" t="n">
        <f aca="false">VLOOKUP(D560,Assumptions!$A$34:$B$37,2,0)</f>
        <v>66</v>
      </c>
      <c r="P560" s="21" t="n">
        <f aca="false">VLOOKUP(E560,Assumptions!$A$41:$B$43,2,0)</f>
        <v>100</v>
      </c>
      <c r="Q560" s="22" t="n">
        <f aca="false">L560*Assumptions!$B$7+M560*Assumptions!$B$8+N560*Assumptions!$B$9+O560*Assumptions!$B$10+P560*Assumptions!$B$11</f>
        <v>50.05</v>
      </c>
      <c r="R560" s="11" t="str">
        <f aca="false">IF(Q560&lt;=33,"High Risk",IF(Q560&lt;=66,"Medium Risk","Low Risk"))</f>
        <v>Medium Risk</v>
      </c>
    </row>
    <row r="561" customFormat="false" ht="15" hidden="false" customHeight="true" outlineLevel="0" collapsed="false">
      <c r="A561" s="20" t="n">
        <f aca="false">'Raw Data'!A561</f>
        <v>560</v>
      </c>
      <c r="B561" s="20" t="n">
        <f aca="false">'Raw Data'!B561</f>
        <v>31</v>
      </c>
      <c r="C561" s="20" t="str">
        <f aca="false">'Raw Data'!C561</f>
        <v>male</v>
      </c>
      <c r="D561" s="20" t="n">
        <f aca="false">'Raw Data'!D561</f>
        <v>1</v>
      </c>
      <c r="E561" s="20" t="str">
        <f aca="false">'Raw Data'!E561</f>
        <v>own</v>
      </c>
      <c r="F561" s="20" t="str">
        <f aca="false">'Raw Data'!F561</f>
        <v>little</v>
      </c>
      <c r="G561" s="20" t="str">
        <f aca="false">'Raw Data'!G561</f>
        <v>moderate</v>
      </c>
      <c r="H561" s="20" t="n">
        <f aca="false">'Raw Data'!H561</f>
        <v>1928</v>
      </c>
      <c r="I561" s="20" t="n">
        <f aca="false">'Raw Data'!I561</f>
        <v>18</v>
      </c>
      <c r="J561" s="20" t="str">
        <f aca="false">'Raw Data'!J561</f>
        <v>furniture/equipment</v>
      </c>
      <c r="K561" s="21" t="n">
        <f aca="false">H561/I561</f>
        <v>107.111111111111</v>
      </c>
      <c r="L561" s="21" t="n">
        <f aca="false">100-MIN(K561/Assumptions!$B$14,1)*100</f>
        <v>73.2222222222222</v>
      </c>
      <c r="M561" s="21" t="n">
        <f aca="false">VLOOKUP(F561,Assumptions!$A$19:$B$23,2,0)</f>
        <v>25</v>
      </c>
      <c r="N561" s="21" t="n">
        <f aca="false">VLOOKUP(G561,Assumptions!$A$27:$B$30,2,0)</f>
        <v>60</v>
      </c>
      <c r="O561" s="21" t="n">
        <f aca="false">VLOOKUP(D561,Assumptions!$A$34:$B$37,2,0)</f>
        <v>33</v>
      </c>
      <c r="P561" s="21" t="n">
        <f aca="false">VLOOKUP(E561,Assumptions!$A$41:$B$43,2,0)</f>
        <v>100</v>
      </c>
      <c r="Q561" s="22" t="n">
        <f aca="false">L561*Assumptions!$B$7+M561*Assumptions!$B$8+N561*Assumptions!$B$9+O561*Assumptions!$B$10+P561*Assumptions!$B$11</f>
        <v>55.1666666666667</v>
      </c>
      <c r="R561" s="11" t="str">
        <f aca="false">IF(Q561&lt;=33,"High Risk",IF(Q561&lt;=66,"Medium Risk","Low Risk"))</f>
        <v>Medium Risk</v>
      </c>
    </row>
    <row r="562" customFormat="false" ht="15" hidden="false" customHeight="true" outlineLevel="0" collapsed="false">
      <c r="A562" s="20" t="n">
        <f aca="false">'Raw Data'!A562</f>
        <v>561</v>
      </c>
      <c r="B562" s="20" t="n">
        <f aca="false">'Raw Data'!B562</f>
        <v>49</v>
      </c>
      <c r="C562" s="20" t="str">
        <f aca="false">'Raw Data'!C562</f>
        <v>male</v>
      </c>
      <c r="D562" s="20" t="n">
        <f aca="false">'Raw Data'!D562</f>
        <v>2</v>
      </c>
      <c r="E562" s="20" t="str">
        <f aca="false">'Raw Data'!E562</f>
        <v>free</v>
      </c>
      <c r="F562" s="20" t="str">
        <f aca="false">'Raw Data'!F562</f>
        <v>none</v>
      </c>
      <c r="G562" s="20" t="str">
        <f aca="false">'Raw Data'!G562</f>
        <v>little</v>
      </c>
      <c r="H562" s="20" t="n">
        <f aca="false">'Raw Data'!H562</f>
        <v>2964</v>
      </c>
      <c r="I562" s="20" t="n">
        <f aca="false">'Raw Data'!I562</f>
        <v>24</v>
      </c>
      <c r="J562" s="20" t="str">
        <f aca="false">'Raw Data'!J562</f>
        <v>car</v>
      </c>
      <c r="K562" s="21" t="n">
        <f aca="false">H562/I562</f>
        <v>123.5</v>
      </c>
      <c r="L562" s="21" t="n">
        <f aca="false">100-MIN(K562/Assumptions!$B$14,1)*100</f>
        <v>69.125</v>
      </c>
      <c r="M562" s="21" t="n">
        <f aca="false">VLOOKUP(F562,Assumptions!$A$19:$B$23,2,0)</f>
        <v>40</v>
      </c>
      <c r="N562" s="21" t="n">
        <f aca="false">VLOOKUP(G562,Assumptions!$A$27:$B$30,2,0)</f>
        <v>25</v>
      </c>
      <c r="O562" s="21" t="n">
        <f aca="false">VLOOKUP(D562,Assumptions!$A$34:$B$37,2,0)</f>
        <v>66</v>
      </c>
      <c r="P562" s="21" t="n">
        <f aca="false">VLOOKUP(E562,Assumptions!$A$41:$B$43,2,0)</f>
        <v>60</v>
      </c>
      <c r="Q562" s="22" t="n">
        <f aca="false">L562*Assumptions!$B$7+M562*Assumptions!$B$8+N562*Assumptions!$B$9+O562*Assumptions!$B$10+P562*Assumptions!$B$11</f>
        <v>51.6375</v>
      </c>
      <c r="R562" s="11" t="str">
        <f aca="false">IF(Q562&lt;=33,"High Risk",IF(Q562&lt;=66,"Medium Risk","Low Risk"))</f>
        <v>Medium Risk</v>
      </c>
    </row>
    <row r="563" customFormat="false" ht="15" hidden="false" customHeight="true" outlineLevel="0" collapsed="false">
      <c r="A563" s="20" t="n">
        <f aca="false">'Raw Data'!A563</f>
        <v>562</v>
      </c>
      <c r="B563" s="20" t="n">
        <f aca="false">'Raw Data'!B563</f>
        <v>24</v>
      </c>
      <c r="C563" s="20" t="str">
        <f aca="false">'Raw Data'!C563</f>
        <v>male</v>
      </c>
      <c r="D563" s="20" t="n">
        <f aca="false">'Raw Data'!D563</f>
        <v>1</v>
      </c>
      <c r="E563" s="20" t="str">
        <f aca="false">'Raw Data'!E563</f>
        <v>rent</v>
      </c>
      <c r="F563" s="20" t="str">
        <f aca="false">'Raw Data'!F563</f>
        <v>little</v>
      </c>
      <c r="G563" s="20" t="str">
        <f aca="false">'Raw Data'!G563</f>
        <v>little</v>
      </c>
      <c r="H563" s="20" t="n">
        <f aca="false">'Raw Data'!H563</f>
        <v>1546</v>
      </c>
      <c r="I563" s="20" t="n">
        <f aca="false">'Raw Data'!I563</f>
        <v>24</v>
      </c>
      <c r="J563" s="20" t="str">
        <f aca="false">'Raw Data'!J563</f>
        <v>radio/TV</v>
      </c>
      <c r="K563" s="21" t="n">
        <f aca="false">H563/I563</f>
        <v>64.4166666666667</v>
      </c>
      <c r="L563" s="21" t="n">
        <f aca="false">100-MIN(K563/Assumptions!$B$14,1)*100</f>
        <v>83.8958333333333</v>
      </c>
      <c r="M563" s="21" t="n">
        <f aca="false">VLOOKUP(F563,Assumptions!$A$19:$B$23,2,0)</f>
        <v>25</v>
      </c>
      <c r="N563" s="21" t="n">
        <f aca="false">VLOOKUP(G563,Assumptions!$A$27:$B$30,2,0)</f>
        <v>25</v>
      </c>
      <c r="O563" s="21" t="n">
        <f aca="false">VLOOKUP(D563,Assumptions!$A$34:$B$37,2,0)</f>
        <v>33</v>
      </c>
      <c r="P563" s="21" t="n">
        <f aca="false">VLOOKUP(E563,Assumptions!$A$41:$B$43,2,0)</f>
        <v>30</v>
      </c>
      <c r="Q563" s="22" t="n">
        <f aca="false">L563*Assumptions!$B$7+M563*Assumptions!$B$8+N563*Assumptions!$B$9+O563*Assumptions!$B$10+P563*Assumptions!$B$11</f>
        <v>44.36875</v>
      </c>
      <c r="R563" s="11" t="str">
        <f aca="false">IF(Q563&lt;=33,"High Risk",IF(Q563&lt;=66,"Medium Risk","Low Risk"))</f>
        <v>Medium Risk</v>
      </c>
    </row>
    <row r="564" customFormat="false" ht="15" hidden="false" customHeight="true" outlineLevel="0" collapsed="false">
      <c r="A564" s="20" t="n">
        <f aca="false">'Raw Data'!A564</f>
        <v>563</v>
      </c>
      <c r="B564" s="20" t="n">
        <f aca="false">'Raw Data'!B564</f>
        <v>29</v>
      </c>
      <c r="C564" s="20" t="str">
        <f aca="false">'Raw Data'!C564</f>
        <v>female</v>
      </c>
      <c r="D564" s="20" t="n">
        <f aca="false">'Raw Data'!D564</f>
        <v>2</v>
      </c>
      <c r="E564" s="20" t="str">
        <f aca="false">'Raw Data'!E564</f>
        <v>own</v>
      </c>
      <c r="F564" s="20" t="str">
        <f aca="false">'Raw Data'!F564</f>
        <v>little</v>
      </c>
      <c r="G564" s="20" t="str">
        <f aca="false">'Raw Data'!G564</f>
        <v>rich</v>
      </c>
      <c r="H564" s="20" t="n">
        <f aca="false">'Raw Data'!H564</f>
        <v>683</v>
      </c>
      <c r="I564" s="20" t="n">
        <f aca="false">'Raw Data'!I564</f>
        <v>6</v>
      </c>
      <c r="J564" s="20" t="str">
        <f aca="false">'Raw Data'!J564</f>
        <v>radio/TV</v>
      </c>
      <c r="K564" s="21" t="n">
        <f aca="false">H564/I564</f>
        <v>113.833333333333</v>
      </c>
      <c r="L564" s="21" t="n">
        <f aca="false">100-MIN(K564/Assumptions!$B$14,1)*100</f>
        <v>71.5416666666667</v>
      </c>
      <c r="M564" s="21" t="n">
        <f aca="false">VLOOKUP(F564,Assumptions!$A$19:$B$23,2,0)</f>
        <v>25</v>
      </c>
      <c r="N564" s="21" t="n">
        <f aca="false">VLOOKUP(G564,Assumptions!$A$27:$B$30,2,0)</f>
        <v>100</v>
      </c>
      <c r="O564" s="21" t="n">
        <f aca="false">VLOOKUP(D564,Assumptions!$A$34:$B$37,2,0)</f>
        <v>66</v>
      </c>
      <c r="P564" s="21" t="n">
        <f aca="false">VLOOKUP(E564,Assumptions!$A$41:$B$43,2,0)</f>
        <v>100</v>
      </c>
      <c r="Q564" s="22" t="n">
        <f aca="false">L564*Assumptions!$B$7+M564*Assumptions!$B$8+N564*Assumptions!$B$9+O564*Assumptions!$B$10+P564*Assumptions!$B$11</f>
        <v>67.6125</v>
      </c>
      <c r="R564" s="11" t="str">
        <f aca="false">IF(Q564&lt;=33,"High Risk",IF(Q564&lt;=66,"Medium Risk","Low Risk"))</f>
        <v>Low Risk</v>
      </c>
    </row>
    <row r="565" customFormat="false" ht="15" hidden="false" customHeight="true" outlineLevel="0" collapsed="false">
      <c r="A565" s="20" t="n">
        <f aca="false">'Raw Data'!A565</f>
        <v>564</v>
      </c>
      <c r="B565" s="20" t="n">
        <f aca="false">'Raw Data'!B565</f>
        <v>37</v>
      </c>
      <c r="C565" s="20" t="str">
        <f aca="false">'Raw Data'!C565</f>
        <v>male</v>
      </c>
      <c r="D565" s="20" t="n">
        <f aca="false">'Raw Data'!D565</f>
        <v>2</v>
      </c>
      <c r="E565" s="20" t="str">
        <f aca="false">'Raw Data'!E565</f>
        <v>free</v>
      </c>
      <c r="F565" s="20" t="str">
        <f aca="false">'Raw Data'!F565</f>
        <v>none</v>
      </c>
      <c r="G565" s="20" t="str">
        <f aca="false">'Raw Data'!G565</f>
        <v>moderate</v>
      </c>
      <c r="H565" s="20" t="n">
        <f aca="false">'Raw Data'!H565</f>
        <v>12389</v>
      </c>
      <c r="I565" s="20" t="n">
        <f aca="false">'Raw Data'!I565</f>
        <v>36</v>
      </c>
      <c r="J565" s="20" t="str">
        <f aca="false">'Raw Data'!J565</f>
        <v>car</v>
      </c>
      <c r="K565" s="21" t="n">
        <f aca="false">H565/I565</f>
        <v>344.138888888889</v>
      </c>
      <c r="L565" s="21" t="n">
        <f aca="false">100-MIN(K565/Assumptions!$B$14,1)*100</f>
        <v>13.9652777777778</v>
      </c>
      <c r="M565" s="21" t="n">
        <f aca="false">VLOOKUP(F565,Assumptions!$A$19:$B$23,2,0)</f>
        <v>40</v>
      </c>
      <c r="N565" s="21" t="n">
        <f aca="false">VLOOKUP(G565,Assumptions!$A$27:$B$30,2,0)</f>
        <v>60</v>
      </c>
      <c r="O565" s="21" t="n">
        <f aca="false">VLOOKUP(D565,Assumptions!$A$34:$B$37,2,0)</f>
        <v>66</v>
      </c>
      <c r="P565" s="21" t="n">
        <f aca="false">VLOOKUP(E565,Assumptions!$A$41:$B$43,2,0)</f>
        <v>60</v>
      </c>
      <c r="Q565" s="22" t="n">
        <f aca="false">L565*Assumptions!$B$7+M565*Assumptions!$B$8+N565*Assumptions!$B$9+O565*Assumptions!$B$10+P565*Assumptions!$B$11</f>
        <v>42.0895833333333</v>
      </c>
      <c r="R565" s="11" t="str">
        <f aca="false">IF(Q565&lt;=33,"High Risk",IF(Q565&lt;=66,"Medium Risk","Low Risk"))</f>
        <v>Medium Risk</v>
      </c>
    </row>
    <row r="566" customFormat="false" ht="15" hidden="false" customHeight="true" outlineLevel="0" collapsed="false">
      <c r="A566" s="20" t="n">
        <f aca="false">'Raw Data'!A566</f>
        <v>565</v>
      </c>
      <c r="B566" s="20" t="n">
        <f aca="false">'Raw Data'!B566</f>
        <v>37</v>
      </c>
      <c r="C566" s="20" t="str">
        <f aca="false">'Raw Data'!C566</f>
        <v>male</v>
      </c>
      <c r="D566" s="20" t="n">
        <f aca="false">'Raw Data'!D566</f>
        <v>3</v>
      </c>
      <c r="E566" s="20" t="str">
        <f aca="false">'Raw Data'!E566</f>
        <v>own</v>
      </c>
      <c r="F566" s="20" t="str">
        <f aca="false">'Raw Data'!F566</f>
        <v>none</v>
      </c>
      <c r="G566" s="20" t="str">
        <f aca="false">'Raw Data'!G566</f>
        <v>moderate</v>
      </c>
      <c r="H566" s="20" t="n">
        <f aca="false">'Raw Data'!H566</f>
        <v>4712</v>
      </c>
      <c r="I566" s="20" t="n">
        <f aca="false">'Raw Data'!I566</f>
        <v>24</v>
      </c>
      <c r="J566" s="20" t="str">
        <f aca="false">'Raw Data'!J566</f>
        <v>business</v>
      </c>
      <c r="K566" s="21" t="n">
        <f aca="false">H566/I566</f>
        <v>196.333333333333</v>
      </c>
      <c r="L566" s="21" t="n">
        <f aca="false">100-MIN(K566/Assumptions!$B$14,1)*100</f>
        <v>50.9166666666667</v>
      </c>
      <c r="M566" s="21" t="n">
        <f aca="false">VLOOKUP(F566,Assumptions!$A$19:$B$23,2,0)</f>
        <v>40</v>
      </c>
      <c r="N566" s="21" t="n">
        <f aca="false">VLOOKUP(G566,Assumptions!$A$27:$B$30,2,0)</f>
        <v>60</v>
      </c>
      <c r="O566" s="21" t="n">
        <f aca="false">VLOOKUP(D566,Assumptions!$A$34:$B$37,2,0)</f>
        <v>100</v>
      </c>
      <c r="P566" s="21" t="n">
        <f aca="false">VLOOKUP(E566,Assumptions!$A$41:$B$43,2,0)</f>
        <v>100</v>
      </c>
      <c r="Q566" s="22" t="n">
        <f aca="false">L566*Assumptions!$B$7+M566*Assumptions!$B$8+N566*Assumptions!$B$9+O566*Assumptions!$B$10+P566*Assumptions!$B$11</f>
        <v>62.275</v>
      </c>
      <c r="R566" s="11" t="str">
        <f aca="false">IF(Q566&lt;=33,"High Risk",IF(Q566&lt;=66,"Medium Risk","Low Risk"))</f>
        <v>Medium Risk</v>
      </c>
    </row>
    <row r="567" customFormat="false" ht="15" hidden="false" customHeight="true" outlineLevel="0" collapsed="false">
      <c r="A567" s="20" t="n">
        <f aca="false">'Raw Data'!A567</f>
        <v>566</v>
      </c>
      <c r="B567" s="20" t="n">
        <f aca="false">'Raw Data'!B567</f>
        <v>23</v>
      </c>
      <c r="C567" s="20" t="str">
        <f aca="false">'Raw Data'!C567</f>
        <v>female</v>
      </c>
      <c r="D567" s="20" t="n">
        <f aca="false">'Raw Data'!D567</f>
        <v>2</v>
      </c>
      <c r="E567" s="20" t="str">
        <f aca="false">'Raw Data'!E567</f>
        <v>rent</v>
      </c>
      <c r="F567" s="20" t="str">
        <f aca="false">'Raw Data'!F567</f>
        <v>moderate</v>
      </c>
      <c r="G567" s="20" t="str">
        <f aca="false">'Raw Data'!G567</f>
        <v>moderate</v>
      </c>
      <c r="H567" s="20" t="n">
        <f aca="false">'Raw Data'!H567</f>
        <v>1553</v>
      </c>
      <c r="I567" s="20" t="n">
        <f aca="false">'Raw Data'!I567</f>
        <v>24</v>
      </c>
      <c r="J567" s="20" t="str">
        <f aca="false">'Raw Data'!J567</f>
        <v>radio/TV</v>
      </c>
      <c r="K567" s="21" t="n">
        <f aca="false">H567/I567</f>
        <v>64.7083333333333</v>
      </c>
      <c r="L567" s="21" t="n">
        <f aca="false">100-MIN(K567/Assumptions!$B$14,1)*100</f>
        <v>83.8229166666667</v>
      </c>
      <c r="M567" s="21" t="n">
        <f aca="false">VLOOKUP(F567,Assumptions!$A$19:$B$23,2,0)</f>
        <v>50</v>
      </c>
      <c r="N567" s="21" t="n">
        <f aca="false">VLOOKUP(G567,Assumptions!$A$27:$B$30,2,0)</f>
        <v>60</v>
      </c>
      <c r="O567" s="21" t="n">
        <f aca="false">VLOOKUP(D567,Assumptions!$A$34:$B$37,2,0)</f>
        <v>66</v>
      </c>
      <c r="P567" s="21" t="n">
        <f aca="false">VLOOKUP(E567,Assumptions!$A$41:$B$43,2,0)</f>
        <v>30</v>
      </c>
      <c r="Q567" s="22" t="n">
        <f aca="false">L567*Assumptions!$B$7+M567*Assumptions!$B$8+N567*Assumptions!$B$9+O567*Assumptions!$B$10+P567*Assumptions!$B$11</f>
        <v>62.546875</v>
      </c>
      <c r="R567" s="11" t="str">
        <f aca="false">IF(Q567&lt;=33,"High Risk",IF(Q567&lt;=66,"Medium Risk","Low Risk"))</f>
        <v>Medium Risk</v>
      </c>
    </row>
    <row r="568" customFormat="false" ht="15" hidden="false" customHeight="true" outlineLevel="0" collapsed="false">
      <c r="A568" s="20" t="n">
        <f aca="false">'Raw Data'!A568</f>
        <v>567</v>
      </c>
      <c r="B568" s="20" t="n">
        <f aca="false">'Raw Data'!B568</f>
        <v>36</v>
      </c>
      <c r="C568" s="20" t="str">
        <f aca="false">'Raw Data'!C568</f>
        <v>male</v>
      </c>
      <c r="D568" s="20" t="n">
        <f aca="false">'Raw Data'!D568</f>
        <v>2</v>
      </c>
      <c r="E568" s="20" t="str">
        <f aca="false">'Raw Data'!E568</f>
        <v>own</v>
      </c>
      <c r="F568" s="20" t="str">
        <f aca="false">'Raw Data'!F568</f>
        <v>little</v>
      </c>
      <c r="G568" s="20" t="str">
        <f aca="false">'Raw Data'!G568</f>
        <v>little</v>
      </c>
      <c r="H568" s="20" t="n">
        <f aca="false">'Raw Data'!H568</f>
        <v>1372</v>
      </c>
      <c r="I568" s="20" t="n">
        <f aca="false">'Raw Data'!I568</f>
        <v>12</v>
      </c>
      <c r="J568" s="20" t="str">
        <f aca="false">'Raw Data'!J568</f>
        <v>car</v>
      </c>
      <c r="K568" s="21" t="n">
        <f aca="false">H568/I568</f>
        <v>114.333333333333</v>
      </c>
      <c r="L568" s="21" t="n">
        <f aca="false">100-MIN(K568/Assumptions!$B$14,1)*100</f>
        <v>71.4166666666667</v>
      </c>
      <c r="M568" s="21" t="n">
        <f aca="false">VLOOKUP(F568,Assumptions!$A$19:$B$23,2,0)</f>
        <v>25</v>
      </c>
      <c r="N568" s="21" t="n">
        <f aca="false">VLOOKUP(G568,Assumptions!$A$27:$B$30,2,0)</f>
        <v>25</v>
      </c>
      <c r="O568" s="21" t="n">
        <f aca="false">VLOOKUP(D568,Assumptions!$A$34:$B$37,2,0)</f>
        <v>66</v>
      </c>
      <c r="P568" s="21" t="n">
        <f aca="false">VLOOKUP(E568,Assumptions!$A$41:$B$43,2,0)</f>
        <v>100</v>
      </c>
      <c r="Q568" s="22" t="n">
        <f aca="false">L568*Assumptions!$B$7+M568*Assumptions!$B$8+N568*Assumptions!$B$9+O568*Assumptions!$B$10+P568*Assumptions!$B$11</f>
        <v>52.575</v>
      </c>
      <c r="R568" s="11" t="str">
        <f aca="false">IF(Q568&lt;=33,"High Risk",IF(Q568&lt;=66,"Medium Risk","Low Risk"))</f>
        <v>Medium Risk</v>
      </c>
    </row>
    <row r="569" customFormat="false" ht="15" hidden="false" customHeight="true" outlineLevel="0" collapsed="false">
      <c r="A569" s="20" t="n">
        <f aca="false">'Raw Data'!A569</f>
        <v>568</v>
      </c>
      <c r="B569" s="20" t="n">
        <f aca="false">'Raw Data'!B569</f>
        <v>34</v>
      </c>
      <c r="C569" s="20" t="str">
        <f aca="false">'Raw Data'!C569</f>
        <v>male</v>
      </c>
      <c r="D569" s="20" t="n">
        <f aca="false">'Raw Data'!D569</f>
        <v>2</v>
      </c>
      <c r="E569" s="20" t="str">
        <f aca="false">'Raw Data'!E569</f>
        <v>own</v>
      </c>
      <c r="F569" s="20" t="str">
        <f aca="false">'Raw Data'!F569</f>
        <v>rich</v>
      </c>
      <c r="G569" s="20" t="str">
        <f aca="false">'Raw Data'!G569</f>
        <v>none</v>
      </c>
      <c r="H569" s="20" t="n">
        <f aca="false">'Raw Data'!H569</f>
        <v>2578</v>
      </c>
      <c r="I569" s="20" t="n">
        <f aca="false">'Raw Data'!I569</f>
        <v>24</v>
      </c>
      <c r="J569" s="20" t="str">
        <f aca="false">'Raw Data'!J569</f>
        <v>radio/TV</v>
      </c>
      <c r="K569" s="21" t="n">
        <f aca="false">H569/I569</f>
        <v>107.416666666667</v>
      </c>
      <c r="L569" s="21" t="n">
        <f aca="false">100-MIN(K569/Assumptions!$B$14,1)*100</f>
        <v>73.1458333333333</v>
      </c>
      <c r="M569" s="21" t="n">
        <f aca="false">VLOOKUP(F569,Assumptions!$A$19:$B$23,2,0)</f>
        <v>100</v>
      </c>
      <c r="N569" s="21" t="n">
        <f aca="false">VLOOKUP(G569,Assumptions!$A$27:$B$30,2,0)</f>
        <v>50</v>
      </c>
      <c r="O569" s="21" t="n">
        <f aca="false">VLOOKUP(D569,Assumptions!$A$34:$B$37,2,0)</f>
        <v>66</v>
      </c>
      <c r="P569" s="21" t="n">
        <f aca="false">VLOOKUP(E569,Assumptions!$A$41:$B$43,2,0)</f>
        <v>100</v>
      </c>
      <c r="Q569" s="22" t="n">
        <f aca="false">L569*Assumptions!$B$7+M569*Assumptions!$B$8+N569*Assumptions!$B$9+O569*Assumptions!$B$10+P569*Assumptions!$B$11</f>
        <v>76.84375</v>
      </c>
      <c r="R569" s="11" t="str">
        <f aca="false">IF(Q569&lt;=33,"High Risk",IF(Q569&lt;=66,"Medium Risk","Low Risk"))</f>
        <v>Low Risk</v>
      </c>
    </row>
    <row r="570" customFormat="false" ht="15" hidden="false" customHeight="true" outlineLevel="0" collapsed="false">
      <c r="A570" s="20" t="n">
        <f aca="false">'Raw Data'!A570</f>
        <v>569</v>
      </c>
      <c r="B570" s="20" t="n">
        <f aca="false">'Raw Data'!B570</f>
        <v>41</v>
      </c>
      <c r="C570" s="20" t="str">
        <f aca="false">'Raw Data'!C570</f>
        <v>male</v>
      </c>
      <c r="D570" s="20" t="n">
        <f aca="false">'Raw Data'!D570</f>
        <v>2</v>
      </c>
      <c r="E570" s="20" t="str">
        <f aca="false">'Raw Data'!E570</f>
        <v>own</v>
      </c>
      <c r="F570" s="20" t="str">
        <f aca="false">'Raw Data'!F570</f>
        <v>none</v>
      </c>
      <c r="G570" s="20" t="str">
        <f aca="false">'Raw Data'!G570</f>
        <v>moderate</v>
      </c>
      <c r="H570" s="20" t="n">
        <f aca="false">'Raw Data'!H570</f>
        <v>3979</v>
      </c>
      <c r="I570" s="20" t="n">
        <f aca="false">'Raw Data'!I570</f>
        <v>48</v>
      </c>
      <c r="J570" s="20" t="str">
        <f aca="false">'Raw Data'!J570</f>
        <v>radio/TV</v>
      </c>
      <c r="K570" s="21" t="n">
        <f aca="false">H570/I570</f>
        <v>82.8958333333333</v>
      </c>
      <c r="L570" s="21" t="n">
        <f aca="false">100-MIN(K570/Assumptions!$B$14,1)*100</f>
        <v>79.2760416666667</v>
      </c>
      <c r="M570" s="21" t="n">
        <f aca="false">VLOOKUP(F570,Assumptions!$A$19:$B$23,2,0)</f>
        <v>40</v>
      </c>
      <c r="N570" s="21" t="n">
        <f aca="false">VLOOKUP(G570,Assumptions!$A$27:$B$30,2,0)</f>
        <v>60</v>
      </c>
      <c r="O570" s="21" t="n">
        <f aca="false">VLOOKUP(D570,Assumptions!$A$34:$B$37,2,0)</f>
        <v>66</v>
      </c>
      <c r="P570" s="21" t="n">
        <f aca="false">VLOOKUP(E570,Assumptions!$A$41:$B$43,2,0)</f>
        <v>100</v>
      </c>
      <c r="Q570" s="22" t="n">
        <f aca="false">L570*Assumptions!$B$7+M570*Assumptions!$B$8+N570*Assumptions!$B$9+O570*Assumptions!$B$10+P570*Assumptions!$B$11</f>
        <v>65.6828125</v>
      </c>
      <c r="R570" s="11" t="str">
        <f aca="false">IF(Q570&lt;=33,"High Risk",IF(Q570&lt;=66,"Medium Risk","Low Risk"))</f>
        <v>Medium Risk</v>
      </c>
    </row>
    <row r="571" customFormat="false" ht="15" hidden="false" customHeight="true" outlineLevel="0" collapsed="false">
      <c r="A571" s="20" t="n">
        <f aca="false">'Raw Data'!A571</f>
        <v>570</v>
      </c>
      <c r="B571" s="20" t="n">
        <f aca="false">'Raw Data'!B571</f>
        <v>31</v>
      </c>
      <c r="C571" s="20" t="str">
        <f aca="false">'Raw Data'!C571</f>
        <v>female</v>
      </c>
      <c r="D571" s="20" t="n">
        <f aca="false">'Raw Data'!D571</f>
        <v>2</v>
      </c>
      <c r="E571" s="20" t="str">
        <f aca="false">'Raw Data'!E571</f>
        <v>own</v>
      </c>
      <c r="F571" s="20" t="str">
        <f aca="false">'Raw Data'!F571</f>
        <v>little</v>
      </c>
      <c r="G571" s="20" t="str">
        <f aca="false">'Raw Data'!G571</f>
        <v>little</v>
      </c>
      <c r="H571" s="20" t="n">
        <f aca="false">'Raw Data'!H571</f>
        <v>6758</v>
      </c>
      <c r="I571" s="20" t="n">
        <f aca="false">'Raw Data'!I571</f>
        <v>48</v>
      </c>
      <c r="J571" s="20" t="str">
        <f aca="false">'Raw Data'!J571</f>
        <v>radio/TV</v>
      </c>
      <c r="K571" s="21" t="n">
        <f aca="false">H571/I571</f>
        <v>140.791666666667</v>
      </c>
      <c r="L571" s="21" t="n">
        <f aca="false">100-MIN(K571/Assumptions!$B$14,1)*100</f>
        <v>64.8020833333333</v>
      </c>
      <c r="M571" s="21" t="n">
        <f aca="false">VLOOKUP(F571,Assumptions!$A$19:$B$23,2,0)</f>
        <v>25</v>
      </c>
      <c r="N571" s="21" t="n">
        <f aca="false">VLOOKUP(G571,Assumptions!$A$27:$B$30,2,0)</f>
        <v>25</v>
      </c>
      <c r="O571" s="21" t="n">
        <f aca="false">VLOOKUP(D571,Assumptions!$A$34:$B$37,2,0)</f>
        <v>66</v>
      </c>
      <c r="P571" s="21" t="n">
        <f aca="false">VLOOKUP(E571,Assumptions!$A$41:$B$43,2,0)</f>
        <v>100</v>
      </c>
      <c r="Q571" s="22" t="n">
        <f aca="false">L571*Assumptions!$B$7+M571*Assumptions!$B$8+N571*Assumptions!$B$9+O571*Assumptions!$B$10+P571*Assumptions!$B$11</f>
        <v>50.590625</v>
      </c>
      <c r="R571" s="11" t="str">
        <f aca="false">IF(Q571&lt;=33,"High Risk",IF(Q571&lt;=66,"Medium Risk","Low Risk"))</f>
        <v>Medium Risk</v>
      </c>
    </row>
    <row r="572" customFormat="false" ht="15" hidden="false" customHeight="true" outlineLevel="0" collapsed="false">
      <c r="A572" s="20" t="n">
        <f aca="false">'Raw Data'!A572</f>
        <v>571</v>
      </c>
      <c r="B572" s="20" t="n">
        <f aca="false">'Raw Data'!B572</f>
        <v>23</v>
      </c>
      <c r="C572" s="20" t="str">
        <f aca="false">'Raw Data'!C572</f>
        <v>female</v>
      </c>
      <c r="D572" s="20" t="n">
        <f aca="false">'Raw Data'!D572</f>
        <v>1</v>
      </c>
      <c r="E572" s="20" t="str">
        <f aca="false">'Raw Data'!E572</f>
        <v>rent</v>
      </c>
      <c r="F572" s="20" t="str">
        <f aca="false">'Raw Data'!F572</f>
        <v>little</v>
      </c>
      <c r="G572" s="20" t="str">
        <f aca="false">'Raw Data'!G572</f>
        <v>little</v>
      </c>
      <c r="H572" s="20" t="n">
        <f aca="false">'Raw Data'!H572</f>
        <v>3234</v>
      </c>
      <c r="I572" s="20" t="n">
        <f aca="false">'Raw Data'!I572</f>
        <v>24</v>
      </c>
      <c r="J572" s="20" t="str">
        <f aca="false">'Raw Data'!J572</f>
        <v>furniture/equipment</v>
      </c>
      <c r="K572" s="21" t="n">
        <f aca="false">H572/I572</f>
        <v>134.75</v>
      </c>
      <c r="L572" s="21" t="n">
        <f aca="false">100-MIN(K572/Assumptions!$B$14,1)*100</f>
        <v>66.3125</v>
      </c>
      <c r="M572" s="21" t="n">
        <f aca="false">VLOOKUP(F572,Assumptions!$A$19:$B$23,2,0)</f>
        <v>25</v>
      </c>
      <c r="N572" s="21" t="n">
        <f aca="false">VLOOKUP(G572,Assumptions!$A$27:$B$30,2,0)</f>
        <v>25</v>
      </c>
      <c r="O572" s="21" t="n">
        <f aca="false">VLOOKUP(D572,Assumptions!$A$34:$B$37,2,0)</f>
        <v>33</v>
      </c>
      <c r="P572" s="21" t="n">
        <f aca="false">VLOOKUP(E572,Assumptions!$A$41:$B$43,2,0)</f>
        <v>30</v>
      </c>
      <c r="Q572" s="22" t="n">
        <f aca="false">L572*Assumptions!$B$7+M572*Assumptions!$B$8+N572*Assumptions!$B$9+O572*Assumptions!$B$10+P572*Assumptions!$B$11</f>
        <v>39.09375</v>
      </c>
      <c r="R572" s="11" t="str">
        <f aca="false">IF(Q572&lt;=33,"High Risk",IF(Q572&lt;=66,"Medium Risk","Low Risk"))</f>
        <v>Medium Risk</v>
      </c>
    </row>
    <row r="573" customFormat="false" ht="15" hidden="false" customHeight="true" outlineLevel="0" collapsed="false">
      <c r="A573" s="20" t="n">
        <f aca="false">'Raw Data'!A573</f>
        <v>572</v>
      </c>
      <c r="B573" s="20" t="n">
        <f aca="false">'Raw Data'!B573</f>
        <v>38</v>
      </c>
      <c r="C573" s="20" t="str">
        <f aca="false">'Raw Data'!C573</f>
        <v>male</v>
      </c>
      <c r="D573" s="20" t="n">
        <f aca="false">'Raw Data'!D573</f>
        <v>2</v>
      </c>
      <c r="E573" s="20" t="str">
        <f aca="false">'Raw Data'!E573</f>
        <v>own</v>
      </c>
      <c r="F573" s="20" t="str">
        <f aca="false">'Raw Data'!F573</f>
        <v>little</v>
      </c>
      <c r="G573" s="20" t="str">
        <f aca="false">'Raw Data'!G573</f>
        <v>none</v>
      </c>
      <c r="H573" s="20" t="n">
        <f aca="false">'Raw Data'!H573</f>
        <v>5954</v>
      </c>
      <c r="I573" s="20" t="n">
        <f aca="false">'Raw Data'!I573</f>
        <v>30</v>
      </c>
      <c r="J573" s="20" t="str">
        <f aca="false">'Raw Data'!J573</f>
        <v>radio/TV</v>
      </c>
      <c r="K573" s="21" t="n">
        <f aca="false">H573/I573</f>
        <v>198.466666666667</v>
      </c>
      <c r="L573" s="21" t="n">
        <f aca="false">100-MIN(K573/Assumptions!$B$14,1)*100</f>
        <v>50.3833333333333</v>
      </c>
      <c r="M573" s="21" t="n">
        <f aca="false">VLOOKUP(F573,Assumptions!$A$19:$B$23,2,0)</f>
        <v>25</v>
      </c>
      <c r="N573" s="21" t="n">
        <f aca="false">VLOOKUP(G573,Assumptions!$A$27:$B$30,2,0)</f>
        <v>50</v>
      </c>
      <c r="O573" s="21" t="n">
        <f aca="false">VLOOKUP(D573,Assumptions!$A$34:$B$37,2,0)</f>
        <v>66</v>
      </c>
      <c r="P573" s="21" t="n">
        <f aca="false">VLOOKUP(E573,Assumptions!$A$41:$B$43,2,0)</f>
        <v>100</v>
      </c>
      <c r="Q573" s="22" t="n">
        <f aca="false">L573*Assumptions!$B$7+M573*Assumptions!$B$8+N573*Assumptions!$B$9+O573*Assumptions!$B$10+P573*Assumptions!$B$11</f>
        <v>51.265</v>
      </c>
      <c r="R573" s="11" t="str">
        <f aca="false">IF(Q573&lt;=33,"High Risk",IF(Q573&lt;=66,"Medium Risk","Low Risk"))</f>
        <v>Medium Risk</v>
      </c>
    </row>
    <row r="574" customFormat="false" ht="15" hidden="false" customHeight="true" outlineLevel="0" collapsed="false">
      <c r="A574" s="20" t="n">
        <f aca="false">'Raw Data'!A574</f>
        <v>573</v>
      </c>
      <c r="B574" s="20" t="n">
        <f aca="false">'Raw Data'!B574</f>
        <v>26</v>
      </c>
      <c r="C574" s="20" t="str">
        <f aca="false">'Raw Data'!C574</f>
        <v>female</v>
      </c>
      <c r="D574" s="20" t="n">
        <f aca="false">'Raw Data'!D574</f>
        <v>3</v>
      </c>
      <c r="E574" s="20" t="str">
        <f aca="false">'Raw Data'!E574</f>
        <v>rent</v>
      </c>
      <c r="F574" s="20" t="str">
        <f aca="false">'Raw Data'!F574</f>
        <v>none</v>
      </c>
      <c r="G574" s="20" t="str">
        <f aca="false">'Raw Data'!G574</f>
        <v>none</v>
      </c>
      <c r="H574" s="20" t="n">
        <f aca="false">'Raw Data'!H574</f>
        <v>5433</v>
      </c>
      <c r="I574" s="20" t="n">
        <f aca="false">'Raw Data'!I574</f>
        <v>24</v>
      </c>
      <c r="J574" s="20" t="str">
        <f aca="false">'Raw Data'!J574</f>
        <v>car</v>
      </c>
      <c r="K574" s="21" t="n">
        <f aca="false">H574/I574</f>
        <v>226.375</v>
      </c>
      <c r="L574" s="21" t="n">
        <f aca="false">100-MIN(K574/Assumptions!$B$14,1)*100</f>
        <v>43.40625</v>
      </c>
      <c r="M574" s="21" t="n">
        <f aca="false">VLOOKUP(F574,Assumptions!$A$19:$B$23,2,0)</f>
        <v>40</v>
      </c>
      <c r="N574" s="21" t="n">
        <f aca="false">VLOOKUP(G574,Assumptions!$A$27:$B$30,2,0)</f>
        <v>50</v>
      </c>
      <c r="O574" s="21" t="n">
        <f aca="false">VLOOKUP(D574,Assumptions!$A$34:$B$37,2,0)</f>
        <v>100</v>
      </c>
      <c r="P574" s="21" t="n">
        <f aca="false">VLOOKUP(E574,Assumptions!$A$41:$B$43,2,0)</f>
        <v>30</v>
      </c>
      <c r="Q574" s="22" t="n">
        <f aca="false">L574*Assumptions!$B$7+M574*Assumptions!$B$8+N574*Assumptions!$B$9+O574*Assumptions!$B$10+P574*Assumptions!$B$11</f>
        <v>51.021875</v>
      </c>
      <c r="R574" s="11" t="str">
        <f aca="false">IF(Q574&lt;=33,"High Risk",IF(Q574&lt;=66,"Medium Risk","Low Risk"))</f>
        <v>Medium Risk</v>
      </c>
    </row>
    <row r="575" customFormat="false" ht="15" hidden="false" customHeight="true" outlineLevel="0" collapsed="false">
      <c r="A575" s="20" t="n">
        <f aca="false">'Raw Data'!A575</f>
        <v>574</v>
      </c>
      <c r="B575" s="20" t="n">
        <f aca="false">'Raw Data'!B575</f>
        <v>22</v>
      </c>
      <c r="C575" s="20" t="str">
        <f aca="false">'Raw Data'!C575</f>
        <v>female</v>
      </c>
      <c r="D575" s="20" t="n">
        <f aca="false">'Raw Data'!D575</f>
        <v>1</v>
      </c>
      <c r="E575" s="20" t="str">
        <f aca="false">'Raw Data'!E575</f>
        <v>own</v>
      </c>
      <c r="F575" s="20" t="str">
        <f aca="false">'Raw Data'!F575</f>
        <v>little</v>
      </c>
      <c r="G575" s="20" t="str">
        <f aca="false">'Raw Data'!G575</f>
        <v>little</v>
      </c>
      <c r="H575" s="20" t="n">
        <f aca="false">'Raw Data'!H575</f>
        <v>806</v>
      </c>
      <c r="I575" s="20" t="n">
        <f aca="false">'Raw Data'!I575</f>
        <v>15</v>
      </c>
      <c r="J575" s="20" t="str">
        <f aca="false">'Raw Data'!J575</f>
        <v>business</v>
      </c>
      <c r="K575" s="21" t="n">
        <f aca="false">H575/I575</f>
        <v>53.7333333333333</v>
      </c>
      <c r="L575" s="21" t="n">
        <f aca="false">100-MIN(K575/Assumptions!$B$14,1)*100</f>
        <v>86.5666666666667</v>
      </c>
      <c r="M575" s="21" t="n">
        <f aca="false">VLOOKUP(F575,Assumptions!$A$19:$B$23,2,0)</f>
        <v>25</v>
      </c>
      <c r="N575" s="21" t="n">
        <f aca="false">VLOOKUP(G575,Assumptions!$A$27:$B$30,2,0)</f>
        <v>25</v>
      </c>
      <c r="O575" s="21" t="n">
        <f aca="false">VLOOKUP(D575,Assumptions!$A$34:$B$37,2,0)</f>
        <v>33</v>
      </c>
      <c r="P575" s="21" t="n">
        <f aca="false">VLOOKUP(E575,Assumptions!$A$41:$B$43,2,0)</f>
        <v>100</v>
      </c>
      <c r="Q575" s="22" t="n">
        <f aca="false">L575*Assumptions!$B$7+M575*Assumptions!$B$8+N575*Assumptions!$B$9+O575*Assumptions!$B$10+P575*Assumptions!$B$11</f>
        <v>52.17</v>
      </c>
      <c r="R575" s="11" t="str">
        <f aca="false">IF(Q575&lt;=33,"High Risk",IF(Q575&lt;=66,"Medium Risk","Low Risk"))</f>
        <v>Medium Risk</v>
      </c>
    </row>
    <row r="576" customFormat="false" ht="15" hidden="false" customHeight="true" outlineLevel="0" collapsed="false">
      <c r="A576" s="20" t="n">
        <f aca="false">'Raw Data'!A576</f>
        <v>575</v>
      </c>
      <c r="B576" s="20" t="n">
        <f aca="false">'Raw Data'!B576</f>
        <v>27</v>
      </c>
      <c r="C576" s="20" t="str">
        <f aca="false">'Raw Data'!C576</f>
        <v>male</v>
      </c>
      <c r="D576" s="20" t="n">
        <f aca="false">'Raw Data'!D576</f>
        <v>1</v>
      </c>
      <c r="E576" s="20" t="str">
        <f aca="false">'Raw Data'!E576</f>
        <v>own</v>
      </c>
      <c r="F576" s="20" t="str">
        <f aca="false">'Raw Data'!F576</f>
        <v>little</v>
      </c>
      <c r="G576" s="20" t="str">
        <f aca="false">'Raw Data'!G576</f>
        <v>moderate</v>
      </c>
      <c r="H576" s="20" t="n">
        <f aca="false">'Raw Data'!H576</f>
        <v>1082</v>
      </c>
      <c r="I576" s="20" t="n">
        <f aca="false">'Raw Data'!I576</f>
        <v>9</v>
      </c>
      <c r="J576" s="20" t="str">
        <f aca="false">'Raw Data'!J576</f>
        <v>radio/TV</v>
      </c>
      <c r="K576" s="21" t="n">
        <f aca="false">H576/I576</f>
        <v>120.222222222222</v>
      </c>
      <c r="L576" s="21" t="n">
        <f aca="false">100-MIN(K576/Assumptions!$B$14,1)*100</f>
        <v>69.9444444444444</v>
      </c>
      <c r="M576" s="21" t="n">
        <f aca="false">VLOOKUP(F576,Assumptions!$A$19:$B$23,2,0)</f>
        <v>25</v>
      </c>
      <c r="N576" s="21" t="n">
        <f aca="false">VLOOKUP(G576,Assumptions!$A$27:$B$30,2,0)</f>
        <v>60</v>
      </c>
      <c r="O576" s="21" t="n">
        <f aca="false">VLOOKUP(D576,Assumptions!$A$34:$B$37,2,0)</f>
        <v>33</v>
      </c>
      <c r="P576" s="21" t="n">
        <f aca="false">VLOOKUP(E576,Assumptions!$A$41:$B$43,2,0)</f>
        <v>100</v>
      </c>
      <c r="Q576" s="22" t="n">
        <f aca="false">L576*Assumptions!$B$7+M576*Assumptions!$B$8+N576*Assumptions!$B$9+O576*Assumptions!$B$10+P576*Assumptions!$B$11</f>
        <v>54.1833333333333</v>
      </c>
      <c r="R576" s="11" t="str">
        <f aca="false">IF(Q576&lt;=33,"High Risk",IF(Q576&lt;=66,"Medium Risk","Low Risk"))</f>
        <v>Medium Risk</v>
      </c>
    </row>
    <row r="577" customFormat="false" ht="15" hidden="false" customHeight="true" outlineLevel="0" collapsed="false">
      <c r="A577" s="20" t="n">
        <f aca="false">'Raw Data'!A577</f>
        <v>576</v>
      </c>
      <c r="B577" s="20" t="n">
        <f aca="false">'Raw Data'!B577</f>
        <v>24</v>
      </c>
      <c r="C577" s="20" t="str">
        <f aca="false">'Raw Data'!C577</f>
        <v>female</v>
      </c>
      <c r="D577" s="20" t="n">
        <f aca="false">'Raw Data'!D577</f>
        <v>2</v>
      </c>
      <c r="E577" s="20" t="str">
        <f aca="false">'Raw Data'!E577</f>
        <v>own</v>
      </c>
      <c r="F577" s="20" t="str">
        <f aca="false">'Raw Data'!F577</f>
        <v>little</v>
      </c>
      <c r="G577" s="20" t="str">
        <f aca="false">'Raw Data'!G577</f>
        <v>none</v>
      </c>
      <c r="H577" s="20" t="n">
        <f aca="false">'Raw Data'!H577</f>
        <v>2788</v>
      </c>
      <c r="I577" s="20" t="n">
        <f aca="false">'Raw Data'!I577</f>
        <v>15</v>
      </c>
      <c r="J577" s="20" t="str">
        <f aca="false">'Raw Data'!J577</f>
        <v>furniture/equipment</v>
      </c>
      <c r="K577" s="21" t="n">
        <f aca="false">H577/I577</f>
        <v>185.866666666667</v>
      </c>
      <c r="L577" s="21" t="n">
        <f aca="false">100-MIN(K577/Assumptions!$B$14,1)*100</f>
        <v>53.5333333333333</v>
      </c>
      <c r="M577" s="21" t="n">
        <f aca="false">VLOOKUP(F577,Assumptions!$A$19:$B$23,2,0)</f>
        <v>25</v>
      </c>
      <c r="N577" s="21" t="n">
        <f aca="false">VLOOKUP(G577,Assumptions!$A$27:$B$30,2,0)</f>
        <v>50</v>
      </c>
      <c r="O577" s="21" t="n">
        <f aca="false">VLOOKUP(D577,Assumptions!$A$34:$B$37,2,0)</f>
        <v>66</v>
      </c>
      <c r="P577" s="21" t="n">
        <f aca="false">VLOOKUP(E577,Assumptions!$A$41:$B$43,2,0)</f>
        <v>100</v>
      </c>
      <c r="Q577" s="22" t="n">
        <f aca="false">L577*Assumptions!$B$7+M577*Assumptions!$B$8+N577*Assumptions!$B$9+O577*Assumptions!$B$10+P577*Assumptions!$B$11</f>
        <v>52.21</v>
      </c>
      <c r="R577" s="11" t="str">
        <f aca="false">IF(Q577&lt;=33,"High Risk",IF(Q577&lt;=66,"Medium Risk","Low Risk"))</f>
        <v>Medium Risk</v>
      </c>
    </row>
    <row r="578" customFormat="false" ht="15" hidden="false" customHeight="true" outlineLevel="0" collapsed="false">
      <c r="A578" s="20" t="n">
        <f aca="false">'Raw Data'!A578</f>
        <v>577</v>
      </c>
      <c r="B578" s="20" t="n">
        <f aca="false">'Raw Data'!B578</f>
        <v>27</v>
      </c>
      <c r="C578" s="20" t="str">
        <f aca="false">'Raw Data'!C578</f>
        <v>female</v>
      </c>
      <c r="D578" s="20" t="n">
        <f aca="false">'Raw Data'!D578</f>
        <v>2</v>
      </c>
      <c r="E578" s="20" t="str">
        <f aca="false">'Raw Data'!E578</f>
        <v>own</v>
      </c>
      <c r="F578" s="20" t="str">
        <f aca="false">'Raw Data'!F578</f>
        <v>little</v>
      </c>
      <c r="G578" s="20" t="str">
        <f aca="false">'Raw Data'!G578</f>
        <v>moderate</v>
      </c>
      <c r="H578" s="20" t="n">
        <f aca="false">'Raw Data'!H578</f>
        <v>2930</v>
      </c>
      <c r="I578" s="20" t="n">
        <f aca="false">'Raw Data'!I578</f>
        <v>12</v>
      </c>
      <c r="J578" s="20" t="str">
        <f aca="false">'Raw Data'!J578</f>
        <v>radio/TV</v>
      </c>
      <c r="K578" s="21" t="n">
        <f aca="false">H578/I578</f>
        <v>244.166666666667</v>
      </c>
      <c r="L578" s="21" t="n">
        <f aca="false">100-MIN(K578/Assumptions!$B$14,1)*100</f>
        <v>38.9583333333333</v>
      </c>
      <c r="M578" s="21" t="n">
        <f aca="false">VLOOKUP(F578,Assumptions!$A$19:$B$23,2,0)</f>
        <v>25</v>
      </c>
      <c r="N578" s="21" t="n">
        <f aca="false">VLOOKUP(G578,Assumptions!$A$27:$B$30,2,0)</f>
        <v>60</v>
      </c>
      <c r="O578" s="21" t="n">
        <f aca="false">VLOOKUP(D578,Assumptions!$A$34:$B$37,2,0)</f>
        <v>66</v>
      </c>
      <c r="P578" s="21" t="n">
        <f aca="false">VLOOKUP(E578,Assumptions!$A$41:$B$43,2,0)</f>
        <v>100</v>
      </c>
      <c r="Q578" s="22" t="n">
        <f aca="false">L578*Assumptions!$B$7+M578*Assumptions!$B$8+N578*Assumptions!$B$9+O578*Assumptions!$B$10+P578*Assumptions!$B$11</f>
        <v>49.8375</v>
      </c>
      <c r="R578" s="11" t="str">
        <f aca="false">IF(Q578&lt;=33,"High Risk",IF(Q578&lt;=66,"Medium Risk","Low Risk"))</f>
        <v>Medium Risk</v>
      </c>
    </row>
    <row r="579" customFormat="false" ht="15" hidden="false" customHeight="true" outlineLevel="0" collapsed="false">
      <c r="A579" s="20" t="n">
        <f aca="false">'Raw Data'!A579</f>
        <v>578</v>
      </c>
      <c r="B579" s="20" t="n">
        <f aca="false">'Raw Data'!B579</f>
        <v>33</v>
      </c>
      <c r="C579" s="20" t="str">
        <f aca="false">'Raw Data'!C579</f>
        <v>female</v>
      </c>
      <c r="D579" s="20" t="n">
        <f aca="false">'Raw Data'!D579</f>
        <v>2</v>
      </c>
      <c r="E579" s="20" t="str">
        <f aca="false">'Raw Data'!E579</f>
        <v>own</v>
      </c>
      <c r="F579" s="20" t="str">
        <f aca="false">'Raw Data'!F579</f>
        <v>none</v>
      </c>
      <c r="G579" s="20" t="str">
        <f aca="false">'Raw Data'!G579</f>
        <v>none</v>
      </c>
      <c r="H579" s="20" t="n">
        <f aca="false">'Raw Data'!H579</f>
        <v>1927</v>
      </c>
      <c r="I579" s="20" t="n">
        <f aca="false">'Raw Data'!I579</f>
        <v>24</v>
      </c>
      <c r="J579" s="20" t="str">
        <f aca="false">'Raw Data'!J579</f>
        <v>education</v>
      </c>
      <c r="K579" s="21" t="n">
        <f aca="false">H579/I579</f>
        <v>80.2916666666667</v>
      </c>
      <c r="L579" s="21" t="n">
        <f aca="false">100-MIN(K579/Assumptions!$B$14,1)*100</f>
        <v>79.9270833333333</v>
      </c>
      <c r="M579" s="21" t="n">
        <f aca="false">VLOOKUP(F579,Assumptions!$A$19:$B$23,2,0)</f>
        <v>40</v>
      </c>
      <c r="N579" s="21" t="n">
        <f aca="false">VLOOKUP(G579,Assumptions!$A$27:$B$30,2,0)</f>
        <v>50</v>
      </c>
      <c r="O579" s="21" t="n">
        <f aca="false">VLOOKUP(D579,Assumptions!$A$34:$B$37,2,0)</f>
        <v>66</v>
      </c>
      <c r="P579" s="21" t="n">
        <f aca="false">VLOOKUP(E579,Assumptions!$A$41:$B$43,2,0)</f>
        <v>100</v>
      </c>
      <c r="Q579" s="22" t="n">
        <f aca="false">L579*Assumptions!$B$7+M579*Assumptions!$B$8+N579*Assumptions!$B$9+O579*Assumptions!$B$10+P579*Assumptions!$B$11</f>
        <v>63.878125</v>
      </c>
      <c r="R579" s="11" t="str">
        <f aca="false">IF(Q579&lt;=33,"High Risk",IF(Q579&lt;=66,"Medium Risk","Low Risk"))</f>
        <v>Medium Risk</v>
      </c>
    </row>
    <row r="580" customFormat="false" ht="15" hidden="false" customHeight="true" outlineLevel="0" collapsed="false">
      <c r="A580" s="20" t="n">
        <f aca="false">'Raw Data'!A580</f>
        <v>579</v>
      </c>
      <c r="B580" s="20" t="n">
        <f aca="false">'Raw Data'!B580</f>
        <v>27</v>
      </c>
      <c r="C580" s="20" t="str">
        <f aca="false">'Raw Data'!C580</f>
        <v>male</v>
      </c>
      <c r="D580" s="20" t="n">
        <f aca="false">'Raw Data'!D580</f>
        <v>2</v>
      </c>
      <c r="E580" s="20" t="str">
        <f aca="false">'Raw Data'!E580</f>
        <v>own</v>
      </c>
      <c r="F580" s="20" t="str">
        <f aca="false">'Raw Data'!F580</f>
        <v>little</v>
      </c>
      <c r="G580" s="20" t="str">
        <f aca="false">'Raw Data'!G580</f>
        <v>moderate</v>
      </c>
      <c r="H580" s="20" t="n">
        <f aca="false">'Raw Data'!H580</f>
        <v>2820</v>
      </c>
      <c r="I580" s="20" t="n">
        <f aca="false">'Raw Data'!I580</f>
        <v>36</v>
      </c>
      <c r="J580" s="20" t="str">
        <f aca="false">'Raw Data'!J580</f>
        <v>car</v>
      </c>
      <c r="K580" s="21" t="n">
        <f aca="false">H580/I580</f>
        <v>78.3333333333333</v>
      </c>
      <c r="L580" s="21" t="n">
        <f aca="false">100-MIN(K580/Assumptions!$B$14,1)*100</f>
        <v>80.4166666666667</v>
      </c>
      <c r="M580" s="21" t="n">
        <f aca="false">VLOOKUP(F580,Assumptions!$A$19:$B$23,2,0)</f>
        <v>25</v>
      </c>
      <c r="N580" s="21" t="n">
        <f aca="false">VLOOKUP(G580,Assumptions!$A$27:$B$30,2,0)</f>
        <v>60</v>
      </c>
      <c r="O580" s="21" t="n">
        <f aca="false">VLOOKUP(D580,Assumptions!$A$34:$B$37,2,0)</f>
        <v>66</v>
      </c>
      <c r="P580" s="21" t="n">
        <f aca="false">VLOOKUP(E580,Assumptions!$A$41:$B$43,2,0)</f>
        <v>100</v>
      </c>
      <c r="Q580" s="22" t="n">
        <f aca="false">L580*Assumptions!$B$7+M580*Assumptions!$B$8+N580*Assumptions!$B$9+O580*Assumptions!$B$10+P580*Assumptions!$B$11</f>
        <v>62.275</v>
      </c>
      <c r="R580" s="11" t="str">
        <f aca="false">IF(Q580&lt;=33,"High Risk",IF(Q580&lt;=66,"Medium Risk","Low Risk"))</f>
        <v>Medium Risk</v>
      </c>
    </row>
    <row r="581" customFormat="false" ht="15" hidden="false" customHeight="true" outlineLevel="0" collapsed="false">
      <c r="A581" s="20" t="n">
        <f aca="false">'Raw Data'!A581</f>
        <v>580</v>
      </c>
      <c r="B581" s="20" t="n">
        <f aca="false">'Raw Data'!B581</f>
        <v>27</v>
      </c>
      <c r="C581" s="20" t="str">
        <f aca="false">'Raw Data'!C581</f>
        <v>male</v>
      </c>
      <c r="D581" s="20" t="n">
        <f aca="false">'Raw Data'!D581</f>
        <v>1</v>
      </c>
      <c r="E581" s="20" t="str">
        <f aca="false">'Raw Data'!E581</f>
        <v>own</v>
      </c>
      <c r="F581" s="20" t="str">
        <f aca="false">'Raw Data'!F581</f>
        <v>little</v>
      </c>
      <c r="G581" s="20" t="str">
        <f aca="false">'Raw Data'!G581</f>
        <v>none</v>
      </c>
      <c r="H581" s="20" t="n">
        <f aca="false">'Raw Data'!H581</f>
        <v>937</v>
      </c>
      <c r="I581" s="20" t="n">
        <f aca="false">'Raw Data'!I581</f>
        <v>24</v>
      </c>
      <c r="J581" s="20" t="str">
        <f aca="false">'Raw Data'!J581</f>
        <v>education</v>
      </c>
      <c r="K581" s="21" t="n">
        <f aca="false">H581/I581</f>
        <v>39.0416666666667</v>
      </c>
      <c r="L581" s="21" t="n">
        <f aca="false">100-MIN(K581/Assumptions!$B$14,1)*100</f>
        <v>90.2395833333333</v>
      </c>
      <c r="M581" s="21" t="n">
        <f aca="false">VLOOKUP(F581,Assumptions!$A$19:$B$23,2,0)</f>
        <v>25</v>
      </c>
      <c r="N581" s="21" t="n">
        <f aca="false">VLOOKUP(G581,Assumptions!$A$27:$B$30,2,0)</f>
        <v>50</v>
      </c>
      <c r="O581" s="21" t="n">
        <f aca="false">VLOOKUP(D581,Assumptions!$A$34:$B$37,2,0)</f>
        <v>33</v>
      </c>
      <c r="P581" s="21" t="n">
        <f aca="false">VLOOKUP(E581,Assumptions!$A$41:$B$43,2,0)</f>
        <v>100</v>
      </c>
      <c r="Q581" s="22" t="n">
        <f aca="false">L581*Assumptions!$B$7+M581*Assumptions!$B$8+N581*Assumptions!$B$9+O581*Assumptions!$B$10+P581*Assumptions!$B$11</f>
        <v>58.271875</v>
      </c>
      <c r="R581" s="11" t="str">
        <f aca="false">IF(Q581&lt;=33,"High Risk",IF(Q581&lt;=66,"Medium Risk","Low Risk"))</f>
        <v>Medium Risk</v>
      </c>
    </row>
    <row r="582" customFormat="false" ht="15" hidden="false" customHeight="true" outlineLevel="0" collapsed="false">
      <c r="A582" s="20" t="n">
        <f aca="false">'Raw Data'!A582</f>
        <v>581</v>
      </c>
      <c r="B582" s="20" t="n">
        <f aca="false">'Raw Data'!B582</f>
        <v>30</v>
      </c>
      <c r="C582" s="20" t="str">
        <f aca="false">'Raw Data'!C582</f>
        <v>male</v>
      </c>
      <c r="D582" s="20" t="n">
        <f aca="false">'Raw Data'!D582</f>
        <v>2</v>
      </c>
      <c r="E582" s="20" t="str">
        <f aca="false">'Raw Data'!E582</f>
        <v>own</v>
      </c>
      <c r="F582" s="20" t="str">
        <f aca="false">'Raw Data'!F582</f>
        <v>little</v>
      </c>
      <c r="G582" s="20" t="str">
        <f aca="false">'Raw Data'!G582</f>
        <v>moderate</v>
      </c>
      <c r="H582" s="20" t="n">
        <f aca="false">'Raw Data'!H582</f>
        <v>1056</v>
      </c>
      <c r="I582" s="20" t="n">
        <f aca="false">'Raw Data'!I582</f>
        <v>18</v>
      </c>
      <c r="J582" s="20" t="str">
        <f aca="false">'Raw Data'!J582</f>
        <v>car</v>
      </c>
      <c r="K582" s="21" t="n">
        <f aca="false">H582/I582</f>
        <v>58.6666666666667</v>
      </c>
      <c r="L582" s="21" t="n">
        <f aca="false">100-MIN(K582/Assumptions!$B$14,1)*100</f>
        <v>85.3333333333333</v>
      </c>
      <c r="M582" s="21" t="n">
        <f aca="false">VLOOKUP(F582,Assumptions!$A$19:$B$23,2,0)</f>
        <v>25</v>
      </c>
      <c r="N582" s="21" t="n">
        <f aca="false">VLOOKUP(G582,Assumptions!$A$27:$B$30,2,0)</f>
        <v>60</v>
      </c>
      <c r="O582" s="21" t="n">
        <f aca="false">VLOOKUP(D582,Assumptions!$A$34:$B$37,2,0)</f>
        <v>66</v>
      </c>
      <c r="P582" s="21" t="n">
        <f aca="false">VLOOKUP(E582,Assumptions!$A$41:$B$43,2,0)</f>
        <v>100</v>
      </c>
      <c r="Q582" s="22" t="n">
        <f aca="false">L582*Assumptions!$B$7+M582*Assumptions!$B$8+N582*Assumptions!$B$9+O582*Assumptions!$B$10+P582*Assumptions!$B$11</f>
        <v>63.75</v>
      </c>
      <c r="R582" s="11" t="str">
        <f aca="false">IF(Q582&lt;=33,"High Risk",IF(Q582&lt;=66,"Medium Risk","Low Risk"))</f>
        <v>Medium Risk</v>
      </c>
    </row>
    <row r="583" customFormat="false" ht="15" hidden="false" customHeight="true" outlineLevel="0" collapsed="false">
      <c r="A583" s="20" t="n">
        <f aca="false">'Raw Data'!A583</f>
        <v>582</v>
      </c>
      <c r="B583" s="20" t="n">
        <f aca="false">'Raw Data'!B583</f>
        <v>49</v>
      </c>
      <c r="C583" s="20" t="str">
        <f aca="false">'Raw Data'!C583</f>
        <v>male</v>
      </c>
      <c r="D583" s="20" t="n">
        <f aca="false">'Raw Data'!D583</f>
        <v>1</v>
      </c>
      <c r="E583" s="20" t="str">
        <f aca="false">'Raw Data'!E583</f>
        <v>own</v>
      </c>
      <c r="F583" s="20" t="str">
        <f aca="false">'Raw Data'!F583</f>
        <v>little</v>
      </c>
      <c r="G583" s="20" t="str">
        <f aca="false">'Raw Data'!G583</f>
        <v>moderate</v>
      </c>
      <c r="H583" s="20" t="n">
        <f aca="false">'Raw Data'!H583</f>
        <v>3124</v>
      </c>
      <c r="I583" s="20" t="n">
        <f aca="false">'Raw Data'!I583</f>
        <v>12</v>
      </c>
      <c r="J583" s="20" t="str">
        <f aca="false">'Raw Data'!J583</f>
        <v>car</v>
      </c>
      <c r="K583" s="21" t="n">
        <f aca="false">H583/I583</f>
        <v>260.333333333333</v>
      </c>
      <c r="L583" s="21" t="n">
        <f aca="false">100-MIN(K583/Assumptions!$B$14,1)*100</f>
        <v>34.9166666666667</v>
      </c>
      <c r="M583" s="21" t="n">
        <f aca="false">VLOOKUP(F583,Assumptions!$A$19:$B$23,2,0)</f>
        <v>25</v>
      </c>
      <c r="N583" s="21" t="n">
        <f aca="false">VLOOKUP(G583,Assumptions!$A$27:$B$30,2,0)</f>
        <v>60</v>
      </c>
      <c r="O583" s="21" t="n">
        <f aca="false">VLOOKUP(D583,Assumptions!$A$34:$B$37,2,0)</f>
        <v>33</v>
      </c>
      <c r="P583" s="21" t="n">
        <f aca="false">VLOOKUP(E583,Assumptions!$A$41:$B$43,2,0)</f>
        <v>100</v>
      </c>
      <c r="Q583" s="22" t="n">
        <f aca="false">L583*Assumptions!$B$7+M583*Assumptions!$B$8+N583*Assumptions!$B$9+O583*Assumptions!$B$10+P583*Assumptions!$B$11</f>
        <v>43.675</v>
      </c>
      <c r="R583" s="11" t="str">
        <f aca="false">IF(Q583&lt;=33,"High Risk",IF(Q583&lt;=66,"Medium Risk","Low Risk"))</f>
        <v>Medium Risk</v>
      </c>
    </row>
    <row r="584" customFormat="false" ht="15" hidden="false" customHeight="true" outlineLevel="0" collapsed="false">
      <c r="A584" s="20" t="n">
        <f aca="false">'Raw Data'!A584</f>
        <v>583</v>
      </c>
      <c r="B584" s="20" t="n">
        <f aca="false">'Raw Data'!B584</f>
        <v>26</v>
      </c>
      <c r="C584" s="20" t="str">
        <f aca="false">'Raw Data'!C584</f>
        <v>female</v>
      </c>
      <c r="D584" s="20" t="n">
        <f aca="false">'Raw Data'!D584</f>
        <v>2</v>
      </c>
      <c r="E584" s="20" t="str">
        <f aca="false">'Raw Data'!E584</f>
        <v>rent</v>
      </c>
      <c r="F584" s="20" t="str">
        <f aca="false">'Raw Data'!F584</f>
        <v>little</v>
      </c>
      <c r="G584" s="20" t="str">
        <f aca="false">'Raw Data'!G584</f>
        <v>none</v>
      </c>
      <c r="H584" s="20" t="n">
        <f aca="false">'Raw Data'!H584</f>
        <v>1388</v>
      </c>
      <c r="I584" s="20" t="n">
        <f aca="false">'Raw Data'!I584</f>
        <v>9</v>
      </c>
      <c r="J584" s="20" t="str">
        <f aca="false">'Raw Data'!J584</f>
        <v>furniture/equipment</v>
      </c>
      <c r="K584" s="21" t="n">
        <f aca="false">H584/I584</f>
        <v>154.222222222222</v>
      </c>
      <c r="L584" s="21" t="n">
        <f aca="false">100-MIN(K584/Assumptions!$B$14,1)*100</f>
        <v>61.4444444444444</v>
      </c>
      <c r="M584" s="21" t="n">
        <f aca="false">VLOOKUP(F584,Assumptions!$A$19:$B$23,2,0)</f>
        <v>25</v>
      </c>
      <c r="N584" s="21" t="n">
        <f aca="false">VLOOKUP(G584,Assumptions!$A$27:$B$30,2,0)</f>
        <v>50</v>
      </c>
      <c r="O584" s="21" t="n">
        <f aca="false">VLOOKUP(D584,Assumptions!$A$34:$B$37,2,0)</f>
        <v>66</v>
      </c>
      <c r="P584" s="21" t="n">
        <f aca="false">VLOOKUP(E584,Assumptions!$A$41:$B$43,2,0)</f>
        <v>30</v>
      </c>
      <c r="Q584" s="22" t="n">
        <f aca="false">L584*Assumptions!$B$7+M584*Assumptions!$B$8+N584*Assumptions!$B$9+O584*Assumptions!$B$10+P584*Assumptions!$B$11</f>
        <v>47.5833333333333</v>
      </c>
      <c r="R584" s="11" t="str">
        <f aca="false">IF(Q584&lt;=33,"High Risk",IF(Q584&lt;=66,"Medium Risk","Low Risk"))</f>
        <v>Medium Risk</v>
      </c>
    </row>
    <row r="585" customFormat="false" ht="15" hidden="false" customHeight="true" outlineLevel="0" collapsed="false">
      <c r="A585" s="20" t="n">
        <f aca="false">'Raw Data'!A585</f>
        <v>584</v>
      </c>
      <c r="B585" s="20" t="n">
        <f aca="false">'Raw Data'!B585</f>
        <v>33</v>
      </c>
      <c r="C585" s="20" t="str">
        <f aca="false">'Raw Data'!C585</f>
        <v>male</v>
      </c>
      <c r="D585" s="20" t="n">
        <f aca="false">'Raw Data'!D585</f>
        <v>1</v>
      </c>
      <c r="E585" s="20" t="str">
        <f aca="false">'Raw Data'!E585</f>
        <v>rent</v>
      </c>
      <c r="F585" s="20" t="str">
        <f aca="false">'Raw Data'!F585</f>
        <v>little</v>
      </c>
      <c r="G585" s="20" t="str">
        <f aca="false">'Raw Data'!G585</f>
        <v>moderate</v>
      </c>
      <c r="H585" s="20" t="n">
        <f aca="false">'Raw Data'!H585</f>
        <v>2384</v>
      </c>
      <c r="I585" s="20" t="n">
        <f aca="false">'Raw Data'!I585</f>
        <v>36</v>
      </c>
      <c r="J585" s="20" t="str">
        <f aca="false">'Raw Data'!J585</f>
        <v>repairs</v>
      </c>
      <c r="K585" s="21" t="n">
        <f aca="false">H585/I585</f>
        <v>66.2222222222222</v>
      </c>
      <c r="L585" s="21" t="n">
        <f aca="false">100-MIN(K585/Assumptions!$B$14,1)*100</f>
        <v>83.4444444444444</v>
      </c>
      <c r="M585" s="21" t="n">
        <f aca="false">VLOOKUP(F585,Assumptions!$A$19:$B$23,2,0)</f>
        <v>25</v>
      </c>
      <c r="N585" s="21" t="n">
        <f aca="false">VLOOKUP(G585,Assumptions!$A$27:$B$30,2,0)</f>
        <v>60</v>
      </c>
      <c r="O585" s="21" t="n">
        <f aca="false">VLOOKUP(D585,Assumptions!$A$34:$B$37,2,0)</f>
        <v>33</v>
      </c>
      <c r="P585" s="21" t="n">
        <f aca="false">VLOOKUP(E585,Assumptions!$A$41:$B$43,2,0)</f>
        <v>30</v>
      </c>
      <c r="Q585" s="22" t="n">
        <f aca="false">L585*Assumptions!$B$7+M585*Assumptions!$B$8+N585*Assumptions!$B$9+O585*Assumptions!$B$10+P585*Assumptions!$B$11</f>
        <v>51.2333333333333</v>
      </c>
      <c r="R585" s="11" t="str">
        <f aca="false">IF(Q585&lt;=33,"High Risk",IF(Q585&lt;=66,"Medium Risk","Low Risk"))</f>
        <v>Medium Risk</v>
      </c>
    </row>
    <row r="586" customFormat="false" ht="15" hidden="false" customHeight="true" outlineLevel="0" collapsed="false">
      <c r="A586" s="20" t="n">
        <f aca="false">'Raw Data'!A586</f>
        <v>585</v>
      </c>
      <c r="B586" s="20" t="n">
        <f aca="false">'Raw Data'!B586</f>
        <v>52</v>
      </c>
      <c r="C586" s="20" t="str">
        <f aca="false">'Raw Data'!C586</f>
        <v>female</v>
      </c>
      <c r="D586" s="20" t="n">
        <f aca="false">'Raw Data'!D586</f>
        <v>3</v>
      </c>
      <c r="E586" s="20" t="str">
        <f aca="false">'Raw Data'!E586</f>
        <v>free</v>
      </c>
      <c r="F586" s="20" t="str">
        <f aca="false">'Raw Data'!F586</f>
        <v>none</v>
      </c>
      <c r="G586" s="20" t="str">
        <f aca="false">'Raw Data'!G586</f>
        <v>none</v>
      </c>
      <c r="H586" s="20" t="n">
        <f aca="false">'Raw Data'!H586</f>
        <v>2133</v>
      </c>
      <c r="I586" s="20" t="n">
        <f aca="false">'Raw Data'!I586</f>
        <v>12</v>
      </c>
      <c r="J586" s="20" t="str">
        <f aca="false">'Raw Data'!J586</f>
        <v>car</v>
      </c>
      <c r="K586" s="21" t="n">
        <f aca="false">H586/I586</f>
        <v>177.75</v>
      </c>
      <c r="L586" s="21" t="n">
        <f aca="false">100-MIN(K586/Assumptions!$B$14,1)*100</f>
        <v>55.5625</v>
      </c>
      <c r="M586" s="21" t="n">
        <f aca="false">VLOOKUP(F586,Assumptions!$A$19:$B$23,2,0)</f>
        <v>40</v>
      </c>
      <c r="N586" s="21" t="n">
        <f aca="false">VLOOKUP(G586,Assumptions!$A$27:$B$30,2,0)</f>
        <v>50</v>
      </c>
      <c r="O586" s="21" t="n">
        <f aca="false">VLOOKUP(D586,Assumptions!$A$34:$B$37,2,0)</f>
        <v>100</v>
      </c>
      <c r="P586" s="21" t="n">
        <f aca="false">VLOOKUP(E586,Assumptions!$A$41:$B$43,2,0)</f>
        <v>60</v>
      </c>
      <c r="Q586" s="22" t="n">
        <f aca="false">L586*Assumptions!$B$7+M586*Assumptions!$B$8+N586*Assumptions!$B$9+O586*Assumptions!$B$10+P586*Assumptions!$B$11</f>
        <v>57.66875</v>
      </c>
      <c r="R586" s="11" t="str">
        <f aca="false">IF(Q586&lt;=33,"High Risk",IF(Q586&lt;=66,"Medium Risk","Low Risk"))</f>
        <v>Medium Risk</v>
      </c>
    </row>
    <row r="587" customFormat="false" ht="15" hidden="false" customHeight="true" outlineLevel="0" collapsed="false">
      <c r="A587" s="20" t="n">
        <f aca="false">'Raw Data'!A587</f>
        <v>586</v>
      </c>
      <c r="B587" s="20" t="n">
        <f aca="false">'Raw Data'!B587</f>
        <v>20</v>
      </c>
      <c r="C587" s="20" t="str">
        <f aca="false">'Raw Data'!C587</f>
        <v>female</v>
      </c>
      <c r="D587" s="20" t="n">
        <f aca="false">'Raw Data'!D587</f>
        <v>2</v>
      </c>
      <c r="E587" s="20" t="str">
        <f aca="false">'Raw Data'!E587</f>
        <v>rent</v>
      </c>
      <c r="F587" s="20" t="str">
        <f aca="false">'Raw Data'!F587</f>
        <v>little</v>
      </c>
      <c r="G587" s="20" t="str">
        <f aca="false">'Raw Data'!G587</f>
        <v>little</v>
      </c>
      <c r="H587" s="20" t="n">
        <f aca="false">'Raw Data'!H587</f>
        <v>2039</v>
      </c>
      <c r="I587" s="20" t="n">
        <f aca="false">'Raw Data'!I587</f>
        <v>18</v>
      </c>
      <c r="J587" s="20" t="str">
        <f aca="false">'Raw Data'!J587</f>
        <v>furniture/equipment</v>
      </c>
      <c r="K587" s="21" t="n">
        <f aca="false">H587/I587</f>
        <v>113.277777777778</v>
      </c>
      <c r="L587" s="21" t="n">
        <f aca="false">100-MIN(K587/Assumptions!$B$14,1)*100</f>
        <v>71.6805555555556</v>
      </c>
      <c r="M587" s="21" t="n">
        <f aca="false">VLOOKUP(F587,Assumptions!$A$19:$B$23,2,0)</f>
        <v>25</v>
      </c>
      <c r="N587" s="21" t="n">
        <f aca="false">VLOOKUP(G587,Assumptions!$A$27:$B$30,2,0)</f>
        <v>25</v>
      </c>
      <c r="O587" s="21" t="n">
        <f aca="false">VLOOKUP(D587,Assumptions!$A$34:$B$37,2,0)</f>
        <v>66</v>
      </c>
      <c r="P587" s="21" t="n">
        <f aca="false">VLOOKUP(E587,Assumptions!$A$41:$B$43,2,0)</f>
        <v>30</v>
      </c>
      <c r="Q587" s="22" t="n">
        <f aca="false">L587*Assumptions!$B$7+M587*Assumptions!$B$8+N587*Assumptions!$B$9+O587*Assumptions!$B$10+P587*Assumptions!$B$11</f>
        <v>45.6541666666667</v>
      </c>
      <c r="R587" s="11" t="str">
        <f aca="false">IF(Q587&lt;=33,"High Risk",IF(Q587&lt;=66,"Medium Risk","Low Risk"))</f>
        <v>Medium Risk</v>
      </c>
    </row>
    <row r="588" customFormat="false" ht="15" hidden="false" customHeight="true" outlineLevel="0" collapsed="false">
      <c r="A588" s="20" t="n">
        <f aca="false">'Raw Data'!A588</f>
        <v>587</v>
      </c>
      <c r="B588" s="20" t="n">
        <f aca="false">'Raw Data'!B588</f>
        <v>36</v>
      </c>
      <c r="C588" s="20" t="str">
        <f aca="false">'Raw Data'!C588</f>
        <v>male</v>
      </c>
      <c r="D588" s="20" t="n">
        <f aca="false">'Raw Data'!D588</f>
        <v>2</v>
      </c>
      <c r="E588" s="20" t="str">
        <f aca="false">'Raw Data'!E588</f>
        <v>rent</v>
      </c>
      <c r="F588" s="20" t="str">
        <f aca="false">'Raw Data'!F588</f>
        <v>little</v>
      </c>
      <c r="G588" s="20" t="str">
        <f aca="false">'Raw Data'!G588</f>
        <v>little</v>
      </c>
      <c r="H588" s="20" t="n">
        <f aca="false">'Raw Data'!H588</f>
        <v>2799</v>
      </c>
      <c r="I588" s="20" t="n">
        <f aca="false">'Raw Data'!I588</f>
        <v>9</v>
      </c>
      <c r="J588" s="20" t="str">
        <f aca="false">'Raw Data'!J588</f>
        <v>car</v>
      </c>
      <c r="K588" s="21" t="n">
        <f aca="false">H588/I588</f>
        <v>311</v>
      </c>
      <c r="L588" s="21" t="n">
        <f aca="false">100-MIN(K588/Assumptions!$B$14,1)*100</f>
        <v>22.25</v>
      </c>
      <c r="M588" s="21" t="n">
        <f aca="false">VLOOKUP(F588,Assumptions!$A$19:$B$23,2,0)</f>
        <v>25</v>
      </c>
      <c r="N588" s="21" t="n">
        <f aca="false">VLOOKUP(G588,Assumptions!$A$27:$B$30,2,0)</f>
        <v>25</v>
      </c>
      <c r="O588" s="21" t="n">
        <f aca="false">VLOOKUP(D588,Assumptions!$A$34:$B$37,2,0)</f>
        <v>66</v>
      </c>
      <c r="P588" s="21" t="n">
        <f aca="false">VLOOKUP(E588,Assumptions!$A$41:$B$43,2,0)</f>
        <v>30</v>
      </c>
      <c r="Q588" s="22" t="n">
        <f aca="false">L588*Assumptions!$B$7+M588*Assumptions!$B$8+N588*Assumptions!$B$9+O588*Assumptions!$B$10+P588*Assumptions!$B$11</f>
        <v>30.825</v>
      </c>
      <c r="R588" s="11" t="str">
        <f aca="false">IF(Q588&lt;=33,"High Risk",IF(Q588&lt;=66,"Medium Risk","Low Risk"))</f>
        <v>High Risk</v>
      </c>
    </row>
    <row r="589" customFormat="false" ht="15" hidden="false" customHeight="true" outlineLevel="0" collapsed="false">
      <c r="A589" s="20" t="n">
        <f aca="false">'Raw Data'!A589</f>
        <v>588</v>
      </c>
      <c r="B589" s="20" t="n">
        <f aca="false">'Raw Data'!B589</f>
        <v>21</v>
      </c>
      <c r="C589" s="20" t="str">
        <f aca="false">'Raw Data'!C589</f>
        <v>male</v>
      </c>
      <c r="D589" s="20" t="n">
        <f aca="false">'Raw Data'!D589</f>
        <v>1</v>
      </c>
      <c r="E589" s="20" t="str">
        <f aca="false">'Raw Data'!E589</f>
        <v>own</v>
      </c>
      <c r="F589" s="20" t="str">
        <f aca="false">'Raw Data'!F589</f>
        <v>little</v>
      </c>
      <c r="G589" s="20" t="str">
        <f aca="false">'Raw Data'!G589</f>
        <v>little</v>
      </c>
      <c r="H589" s="20" t="n">
        <f aca="false">'Raw Data'!H589</f>
        <v>1289</v>
      </c>
      <c r="I589" s="20" t="n">
        <f aca="false">'Raw Data'!I589</f>
        <v>12</v>
      </c>
      <c r="J589" s="20" t="str">
        <f aca="false">'Raw Data'!J589</f>
        <v>furniture/equipment</v>
      </c>
      <c r="K589" s="21" t="n">
        <f aca="false">H589/I589</f>
        <v>107.416666666667</v>
      </c>
      <c r="L589" s="21" t="n">
        <f aca="false">100-MIN(K589/Assumptions!$B$14,1)*100</f>
        <v>73.1458333333333</v>
      </c>
      <c r="M589" s="21" t="n">
        <f aca="false">VLOOKUP(F589,Assumptions!$A$19:$B$23,2,0)</f>
        <v>25</v>
      </c>
      <c r="N589" s="21" t="n">
        <f aca="false">VLOOKUP(G589,Assumptions!$A$27:$B$30,2,0)</f>
        <v>25</v>
      </c>
      <c r="O589" s="21" t="n">
        <f aca="false">VLOOKUP(D589,Assumptions!$A$34:$B$37,2,0)</f>
        <v>33</v>
      </c>
      <c r="P589" s="21" t="n">
        <f aca="false">VLOOKUP(E589,Assumptions!$A$41:$B$43,2,0)</f>
        <v>100</v>
      </c>
      <c r="Q589" s="22" t="n">
        <f aca="false">L589*Assumptions!$B$7+M589*Assumptions!$B$8+N589*Assumptions!$B$9+O589*Assumptions!$B$10+P589*Assumptions!$B$11</f>
        <v>48.14375</v>
      </c>
      <c r="R589" s="11" t="str">
        <f aca="false">IF(Q589&lt;=33,"High Risk",IF(Q589&lt;=66,"Medium Risk","Low Risk"))</f>
        <v>Medium Risk</v>
      </c>
    </row>
    <row r="590" customFormat="false" ht="15" hidden="false" customHeight="true" outlineLevel="0" collapsed="false">
      <c r="A590" s="20" t="n">
        <f aca="false">'Raw Data'!A590</f>
        <v>589</v>
      </c>
      <c r="B590" s="20" t="n">
        <f aca="false">'Raw Data'!B590</f>
        <v>47</v>
      </c>
      <c r="C590" s="20" t="str">
        <f aca="false">'Raw Data'!C590</f>
        <v>male</v>
      </c>
      <c r="D590" s="20" t="n">
        <f aca="false">'Raw Data'!D590</f>
        <v>1</v>
      </c>
      <c r="E590" s="20" t="str">
        <f aca="false">'Raw Data'!E590</f>
        <v>own</v>
      </c>
      <c r="F590" s="20" t="str">
        <f aca="false">'Raw Data'!F590</f>
        <v>little</v>
      </c>
      <c r="G590" s="20" t="str">
        <f aca="false">'Raw Data'!G590</f>
        <v>little</v>
      </c>
      <c r="H590" s="20" t="n">
        <f aca="false">'Raw Data'!H590</f>
        <v>1217</v>
      </c>
      <c r="I590" s="20" t="n">
        <f aca="false">'Raw Data'!I590</f>
        <v>18</v>
      </c>
      <c r="J590" s="20" t="str">
        <f aca="false">'Raw Data'!J590</f>
        <v>domestic appliances</v>
      </c>
      <c r="K590" s="21" t="n">
        <f aca="false">H590/I590</f>
        <v>67.6111111111111</v>
      </c>
      <c r="L590" s="21" t="n">
        <f aca="false">100-MIN(K590/Assumptions!$B$14,1)*100</f>
        <v>83.0972222222222</v>
      </c>
      <c r="M590" s="21" t="n">
        <f aca="false">VLOOKUP(F590,Assumptions!$A$19:$B$23,2,0)</f>
        <v>25</v>
      </c>
      <c r="N590" s="21" t="n">
        <f aca="false">VLOOKUP(G590,Assumptions!$A$27:$B$30,2,0)</f>
        <v>25</v>
      </c>
      <c r="O590" s="21" t="n">
        <f aca="false">VLOOKUP(D590,Assumptions!$A$34:$B$37,2,0)</f>
        <v>33</v>
      </c>
      <c r="P590" s="21" t="n">
        <f aca="false">VLOOKUP(E590,Assumptions!$A$41:$B$43,2,0)</f>
        <v>100</v>
      </c>
      <c r="Q590" s="22" t="n">
        <f aca="false">L590*Assumptions!$B$7+M590*Assumptions!$B$8+N590*Assumptions!$B$9+O590*Assumptions!$B$10+P590*Assumptions!$B$11</f>
        <v>51.1291666666667</v>
      </c>
      <c r="R590" s="11" t="str">
        <f aca="false">IF(Q590&lt;=33,"High Risk",IF(Q590&lt;=66,"Medium Risk","Low Risk"))</f>
        <v>Medium Risk</v>
      </c>
    </row>
    <row r="591" customFormat="false" ht="15" hidden="false" customHeight="true" outlineLevel="0" collapsed="false">
      <c r="A591" s="20" t="n">
        <f aca="false">'Raw Data'!A591</f>
        <v>590</v>
      </c>
      <c r="B591" s="20" t="n">
        <f aca="false">'Raw Data'!B591</f>
        <v>60</v>
      </c>
      <c r="C591" s="20" t="str">
        <f aca="false">'Raw Data'!C591</f>
        <v>male</v>
      </c>
      <c r="D591" s="20" t="n">
        <f aca="false">'Raw Data'!D591</f>
        <v>2</v>
      </c>
      <c r="E591" s="20" t="str">
        <f aca="false">'Raw Data'!E591</f>
        <v>own</v>
      </c>
      <c r="F591" s="20" t="str">
        <f aca="false">'Raw Data'!F591</f>
        <v>little</v>
      </c>
      <c r="G591" s="20" t="str">
        <f aca="false">'Raw Data'!G591</f>
        <v>little</v>
      </c>
      <c r="H591" s="20" t="n">
        <f aca="false">'Raw Data'!H591</f>
        <v>2246</v>
      </c>
      <c r="I591" s="20" t="n">
        <f aca="false">'Raw Data'!I591</f>
        <v>12</v>
      </c>
      <c r="J591" s="20" t="str">
        <f aca="false">'Raw Data'!J591</f>
        <v>furniture/equipment</v>
      </c>
      <c r="K591" s="21" t="n">
        <f aca="false">H591/I591</f>
        <v>187.166666666667</v>
      </c>
      <c r="L591" s="21" t="n">
        <f aca="false">100-MIN(K591/Assumptions!$B$14,1)*100</f>
        <v>53.2083333333333</v>
      </c>
      <c r="M591" s="21" t="n">
        <f aca="false">VLOOKUP(F591,Assumptions!$A$19:$B$23,2,0)</f>
        <v>25</v>
      </c>
      <c r="N591" s="21" t="n">
        <f aca="false">VLOOKUP(G591,Assumptions!$A$27:$B$30,2,0)</f>
        <v>25</v>
      </c>
      <c r="O591" s="21" t="n">
        <f aca="false">VLOOKUP(D591,Assumptions!$A$34:$B$37,2,0)</f>
        <v>66</v>
      </c>
      <c r="P591" s="21" t="n">
        <f aca="false">VLOOKUP(E591,Assumptions!$A$41:$B$43,2,0)</f>
        <v>100</v>
      </c>
      <c r="Q591" s="22" t="n">
        <f aca="false">L591*Assumptions!$B$7+M591*Assumptions!$B$8+N591*Assumptions!$B$9+O591*Assumptions!$B$10+P591*Assumptions!$B$11</f>
        <v>47.1125</v>
      </c>
      <c r="R591" s="11" t="str">
        <f aca="false">IF(Q591&lt;=33,"High Risk",IF(Q591&lt;=66,"Medium Risk","Low Risk"))</f>
        <v>Medium Risk</v>
      </c>
    </row>
    <row r="592" customFormat="false" ht="15" hidden="false" customHeight="true" outlineLevel="0" collapsed="false">
      <c r="A592" s="20" t="n">
        <f aca="false">'Raw Data'!A592</f>
        <v>591</v>
      </c>
      <c r="B592" s="20" t="n">
        <f aca="false">'Raw Data'!B592</f>
        <v>58</v>
      </c>
      <c r="C592" s="20" t="str">
        <f aca="false">'Raw Data'!C592</f>
        <v>female</v>
      </c>
      <c r="D592" s="20" t="n">
        <f aca="false">'Raw Data'!D592</f>
        <v>1</v>
      </c>
      <c r="E592" s="20" t="str">
        <f aca="false">'Raw Data'!E592</f>
        <v>own</v>
      </c>
      <c r="F592" s="20" t="str">
        <f aca="false">'Raw Data'!F592</f>
        <v>little</v>
      </c>
      <c r="G592" s="20" t="str">
        <f aca="false">'Raw Data'!G592</f>
        <v>little</v>
      </c>
      <c r="H592" s="20" t="n">
        <f aca="false">'Raw Data'!H592</f>
        <v>385</v>
      </c>
      <c r="I592" s="20" t="n">
        <f aca="false">'Raw Data'!I592</f>
        <v>12</v>
      </c>
      <c r="J592" s="20" t="str">
        <f aca="false">'Raw Data'!J592</f>
        <v>radio/TV</v>
      </c>
      <c r="K592" s="21" t="n">
        <f aca="false">H592/I592</f>
        <v>32.0833333333333</v>
      </c>
      <c r="L592" s="21" t="n">
        <f aca="false">100-MIN(K592/Assumptions!$B$14,1)*100</f>
        <v>91.9791666666667</v>
      </c>
      <c r="M592" s="21" t="n">
        <f aca="false">VLOOKUP(F592,Assumptions!$A$19:$B$23,2,0)</f>
        <v>25</v>
      </c>
      <c r="N592" s="21" t="n">
        <f aca="false">VLOOKUP(G592,Assumptions!$A$27:$B$30,2,0)</f>
        <v>25</v>
      </c>
      <c r="O592" s="21" t="n">
        <f aca="false">VLOOKUP(D592,Assumptions!$A$34:$B$37,2,0)</f>
        <v>33</v>
      </c>
      <c r="P592" s="21" t="n">
        <f aca="false">VLOOKUP(E592,Assumptions!$A$41:$B$43,2,0)</f>
        <v>100</v>
      </c>
      <c r="Q592" s="22" t="n">
        <f aca="false">L592*Assumptions!$B$7+M592*Assumptions!$B$8+N592*Assumptions!$B$9+O592*Assumptions!$B$10+P592*Assumptions!$B$11</f>
        <v>53.79375</v>
      </c>
      <c r="R592" s="11" t="str">
        <f aca="false">IF(Q592&lt;=33,"High Risk",IF(Q592&lt;=66,"Medium Risk","Low Risk"))</f>
        <v>Medium Risk</v>
      </c>
    </row>
    <row r="593" customFormat="false" ht="15" hidden="false" customHeight="true" outlineLevel="0" collapsed="false">
      <c r="A593" s="20" t="n">
        <f aca="false">'Raw Data'!A593</f>
        <v>592</v>
      </c>
      <c r="B593" s="20" t="n">
        <f aca="false">'Raw Data'!B593</f>
        <v>42</v>
      </c>
      <c r="C593" s="20" t="str">
        <f aca="false">'Raw Data'!C593</f>
        <v>female</v>
      </c>
      <c r="D593" s="20" t="n">
        <f aca="false">'Raw Data'!D593</f>
        <v>2</v>
      </c>
      <c r="E593" s="20" t="str">
        <f aca="false">'Raw Data'!E593</f>
        <v>rent</v>
      </c>
      <c r="F593" s="20" t="str">
        <f aca="false">'Raw Data'!F593</f>
        <v>none</v>
      </c>
      <c r="G593" s="20" t="str">
        <f aca="false">'Raw Data'!G593</f>
        <v>moderate</v>
      </c>
      <c r="H593" s="20" t="n">
        <f aca="false">'Raw Data'!H593</f>
        <v>1965</v>
      </c>
      <c r="I593" s="20" t="n">
        <f aca="false">'Raw Data'!I593</f>
        <v>24</v>
      </c>
      <c r="J593" s="20" t="str">
        <f aca="false">'Raw Data'!J593</f>
        <v>car</v>
      </c>
      <c r="K593" s="21" t="n">
        <f aca="false">H593/I593</f>
        <v>81.875</v>
      </c>
      <c r="L593" s="21" t="n">
        <f aca="false">100-MIN(K593/Assumptions!$B$14,1)*100</f>
        <v>79.53125</v>
      </c>
      <c r="M593" s="21" t="n">
        <f aca="false">VLOOKUP(F593,Assumptions!$A$19:$B$23,2,0)</f>
        <v>40</v>
      </c>
      <c r="N593" s="21" t="n">
        <f aca="false">VLOOKUP(G593,Assumptions!$A$27:$B$30,2,0)</f>
        <v>60</v>
      </c>
      <c r="O593" s="21" t="n">
        <f aca="false">VLOOKUP(D593,Assumptions!$A$34:$B$37,2,0)</f>
        <v>66</v>
      </c>
      <c r="P593" s="21" t="n">
        <f aca="false">VLOOKUP(E593,Assumptions!$A$41:$B$43,2,0)</f>
        <v>30</v>
      </c>
      <c r="Q593" s="22" t="n">
        <f aca="false">L593*Assumptions!$B$7+M593*Assumptions!$B$8+N593*Assumptions!$B$9+O593*Assumptions!$B$10+P593*Assumptions!$B$11</f>
        <v>58.759375</v>
      </c>
      <c r="R593" s="11" t="str">
        <f aca="false">IF(Q593&lt;=33,"High Risk",IF(Q593&lt;=66,"Medium Risk","Low Risk"))</f>
        <v>Medium Risk</v>
      </c>
    </row>
    <row r="594" customFormat="false" ht="15" hidden="false" customHeight="true" outlineLevel="0" collapsed="false">
      <c r="A594" s="20" t="n">
        <f aca="false">'Raw Data'!A594</f>
        <v>593</v>
      </c>
      <c r="B594" s="20" t="n">
        <f aca="false">'Raw Data'!B594</f>
        <v>36</v>
      </c>
      <c r="C594" s="20" t="str">
        <f aca="false">'Raw Data'!C594</f>
        <v>female</v>
      </c>
      <c r="D594" s="20" t="n">
        <f aca="false">'Raw Data'!D594</f>
        <v>1</v>
      </c>
      <c r="E594" s="20" t="str">
        <f aca="false">'Raw Data'!E594</f>
        <v>own</v>
      </c>
      <c r="F594" s="20" t="str">
        <f aca="false">'Raw Data'!F594</f>
        <v>rich</v>
      </c>
      <c r="G594" s="20" t="str">
        <f aca="false">'Raw Data'!G594</f>
        <v>none</v>
      </c>
      <c r="H594" s="20" t="n">
        <f aca="false">'Raw Data'!H594</f>
        <v>1572</v>
      </c>
      <c r="I594" s="20" t="n">
        <f aca="false">'Raw Data'!I594</f>
        <v>21</v>
      </c>
      <c r="J594" s="20" t="str">
        <f aca="false">'Raw Data'!J594</f>
        <v>business</v>
      </c>
      <c r="K594" s="21" t="n">
        <f aca="false">H594/I594</f>
        <v>74.8571428571429</v>
      </c>
      <c r="L594" s="21" t="n">
        <f aca="false">100-MIN(K594/Assumptions!$B$14,1)*100</f>
        <v>81.2857142857143</v>
      </c>
      <c r="M594" s="21" t="n">
        <f aca="false">VLOOKUP(F594,Assumptions!$A$19:$B$23,2,0)</f>
        <v>100</v>
      </c>
      <c r="N594" s="21" t="n">
        <f aca="false">VLOOKUP(G594,Assumptions!$A$27:$B$30,2,0)</f>
        <v>50</v>
      </c>
      <c r="O594" s="21" t="n">
        <f aca="false">VLOOKUP(D594,Assumptions!$A$34:$B$37,2,0)</f>
        <v>33</v>
      </c>
      <c r="P594" s="21" t="n">
        <f aca="false">VLOOKUP(E594,Assumptions!$A$41:$B$43,2,0)</f>
        <v>100</v>
      </c>
      <c r="Q594" s="22" t="n">
        <f aca="false">L594*Assumptions!$B$7+M594*Assumptions!$B$8+N594*Assumptions!$B$9+O594*Assumptions!$B$10+P594*Assumptions!$B$11</f>
        <v>74.3357142857143</v>
      </c>
      <c r="R594" s="11" t="str">
        <f aca="false">IF(Q594&lt;=33,"High Risk",IF(Q594&lt;=66,"Medium Risk","Low Risk"))</f>
        <v>Low Risk</v>
      </c>
    </row>
    <row r="595" customFormat="false" ht="15" hidden="false" customHeight="true" outlineLevel="0" collapsed="false">
      <c r="A595" s="20" t="n">
        <f aca="false">'Raw Data'!A595</f>
        <v>594</v>
      </c>
      <c r="B595" s="20" t="n">
        <f aca="false">'Raw Data'!B595</f>
        <v>20</v>
      </c>
      <c r="C595" s="20" t="str">
        <f aca="false">'Raw Data'!C595</f>
        <v>female</v>
      </c>
      <c r="D595" s="20" t="n">
        <f aca="false">'Raw Data'!D595</f>
        <v>1</v>
      </c>
      <c r="E595" s="20" t="str">
        <f aca="false">'Raw Data'!E595</f>
        <v>rent</v>
      </c>
      <c r="F595" s="20" t="str">
        <f aca="false">'Raw Data'!F595</f>
        <v>little</v>
      </c>
      <c r="G595" s="20" t="str">
        <f aca="false">'Raw Data'!G595</f>
        <v>moderate</v>
      </c>
      <c r="H595" s="20" t="n">
        <f aca="false">'Raw Data'!H595</f>
        <v>2718</v>
      </c>
      <c r="I595" s="20" t="n">
        <f aca="false">'Raw Data'!I595</f>
        <v>24</v>
      </c>
      <c r="J595" s="20" t="str">
        <f aca="false">'Raw Data'!J595</f>
        <v>car</v>
      </c>
      <c r="K595" s="21" t="n">
        <f aca="false">H595/I595</f>
        <v>113.25</v>
      </c>
      <c r="L595" s="21" t="n">
        <f aca="false">100-MIN(K595/Assumptions!$B$14,1)*100</f>
        <v>71.6875</v>
      </c>
      <c r="M595" s="21" t="n">
        <f aca="false">VLOOKUP(F595,Assumptions!$A$19:$B$23,2,0)</f>
        <v>25</v>
      </c>
      <c r="N595" s="21" t="n">
        <f aca="false">VLOOKUP(G595,Assumptions!$A$27:$B$30,2,0)</f>
        <v>60</v>
      </c>
      <c r="O595" s="21" t="n">
        <f aca="false">VLOOKUP(D595,Assumptions!$A$34:$B$37,2,0)</f>
        <v>33</v>
      </c>
      <c r="P595" s="21" t="n">
        <f aca="false">VLOOKUP(E595,Assumptions!$A$41:$B$43,2,0)</f>
        <v>30</v>
      </c>
      <c r="Q595" s="22" t="n">
        <f aca="false">L595*Assumptions!$B$7+M595*Assumptions!$B$8+N595*Assumptions!$B$9+O595*Assumptions!$B$10+P595*Assumptions!$B$11</f>
        <v>47.70625</v>
      </c>
      <c r="R595" s="11" t="str">
        <f aca="false">IF(Q595&lt;=33,"High Risk",IF(Q595&lt;=66,"Medium Risk","Low Risk"))</f>
        <v>Medium Risk</v>
      </c>
    </row>
    <row r="596" customFormat="false" ht="15" hidden="false" customHeight="true" outlineLevel="0" collapsed="false">
      <c r="A596" s="20" t="n">
        <f aca="false">'Raw Data'!A596</f>
        <v>595</v>
      </c>
      <c r="B596" s="20" t="n">
        <f aca="false">'Raw Data'!B596</f>
        <v>40</v>
      </c>
      <c r="C596" s="20" t="str">
        <f aca="false">'Raw Data'!C596</f>
        <v>male</v>
      </c>
      <c r="D596" s="20" t="n">
        <f aca="false">'Raw Data'!D596</f>
        <v>3</v>
      </c>
      <c r="E596" s="20" t="str">
        <f aca="false">'Raw Data'!E596</f>
        <v>own</v>
      </c>
      <c r="F596" s="20" t="str">
        <f aca="false">'Raw Data'!F596</f>
        <v>none</v>
      </c>
      <c r="G596" s="20" t="str">
        <f aca="false">'Raw Data'!G596</f>
        <v>little</v>
      </c>
      <c r="H596" s="20" t="n">
        <f aca="false">'Raw Data'!H596</f>
        <v>1358</v>
      </c>
      <c r="I596" s="20" t="n">
        <f aca="false">'Raw Data'!I596</f>
        <v>24</v>
      </c>
      <c r="J596" s="20" t="str">
        <f aca="false">'Raw Data'!J596</f>
        <v>vacation/others</v>
      </c>
      <c r="K596" s="21" t="n">
        <f aca="false">H596/I596</f>
        <v>56.5833333333333</v>
      </c>
      <c r="L596" s="21" t="n">
        <f aca="false">100-MIN(K596/Assumptions!$B$14,1)*100</f>
        <v>85.8541666666667</v>
      </c>
      <c r="M596" s="21" t="n">
        <f aca="false">VLOOKUP(F596,Assumptions!$A$19:$B$23,2,0)</f>
        <v>40</v>
      </c>
      <c r="N596" s="21" t="n">
        <f aca="false">VLOOKUP(G596,Assumptions!$A$27:$B$30,2,0)</f>
        <v>25</v>
      </c>
      <c r="O596" s="21" t="n">
        <f aca="false">VLOOKUP(D596,Assumptions!$A$34:$B$37,2,0)</f>
        <v>100</v>
      </c>
      <c r="P596" s="21" t="n">
        <f aca="false">VLOOKUP(E596,Assumptions!$A$41:$B$43,2,0)</f>
        <v>100</v>
      </c>
      <c r="Q596" s="22" t="n">
        <f aca="false">L596*Assumptions!$B$7+M596*Assumptions!$B$8+N596*Assumptions!$B$9+O596*Assumptions!$B$10+P596*Assumptions!$B$11</f>
        <v>65.75625</v>
      </c>
      <c r="R596" s="11" t="str">
        <f aca="false">IF(Q596&lt;=33,"High Risk",IF(Q596&lt;=66,"Medium Risk","Low Risk"))</f>
        <v>Medium Risk</v>
      </c>
    </row>
    <row r="597" customFormat="false" ht="15" hidden="false" customHeight="true" outlineLevel="0" collapsed="false">
      <c r="A597" s="20" t="n">
        <f aca="false">'Raw Data'!A597</f>
        <v>596</v>
      </c>
      <c r="B597" s="20" t="n">
        <f aca="false">'Raw Data'!B597</f>
        <v>32</v>
      </c>
      <c r="C597" s="20" t="str">
        <f aca="false">'Raw Data'!C597</f>
        <v>female</v>
      </c>
      <c r="D597" s="20" t="n">
        <f aca="false">'Raw Data'!D597</f>
        <v>1</v>
      </c>
      <c r="E597" s="20" t="str">
        <f aca="false">'Raw Data'!E597</f>
        <v>own</v>
      </c>
      <c r="F597" s="20" t="str">
        <f aca="false">'Raw Data'!F597</f>
        <v>moderate</v>
      </c>
      <c r="G597" s="20" t="str">
        <f aca="false">'Raw Data'!G597</f>
        <v>moderate</v>
      </c>
      <c r="H597" s="20" t="n">
        <f aca="false">'Raw Data'!H597</f>
        <v>931</v>
      </c>
      <c r="I597" s="20" t="n">
        <f aca="false">'Raw Data'!I597</f>
        <v>6</v>
      </c>
      <c r="J597" s="20" t="str">
        <f aca="false">'Raw Data'!J597</f>
        <v>car</v>
      </c>
      <c r="K597" s="21" t="n">
        <f aca="false">H597/I597</f>
        <v>155.166666666667</v>
      </c>
      <c r="L597" s="21" t="n">
        <f aca="false">100-MIN(K597/Assumptions!$B$14,1)*100</f>
        <v>61.2083333333333</v>
      </c>
      <c r="M597" s="21" t="n">
        <f aca="false">VLOOKUP(F597,Assumptions!$A$19:$B$23,2,0)</f>
        <v>50</v>
      </c>
      <c r="N597" s="21" t="n">
        <f aca="false">VLOOKUP(G597,Assumptions!$A$27:$B$30,2,0)</f>
        <v>60</v>
      </c>
      <c r="O597" s="21" t="n">
        <f aca="false">VLOOKUP(D597,Assumptions!$A$34:$B$37,2,0)</f>
        <v>33</v>
      </c>
      <c r="P597" s="21" t="n">
        <f aca="false">VLOOKUP(E597,Assumptions!$A$41:$B$43,2,0)</f>
        <v>100</v>
      </c>
      <c r="Q597" s="22" t="n">
        <f aca="false">L597*Assumptions!$B$7+M597*Assumptions!$B$8+N597*Assumptions!$B$9+O597*Assumptions!$B$10+P597*Assumptions!$B$11</f>
        <v>57.8125</v>
      </c>
      <c r="R597" s="11" t="str">
        <f aca="false">IF(Q597&lt;=33,"High Risk",IF(Q597&lt;=66,"Medium Risk","Low Risk"))</f>
        <v>Medium Risk</v>
      </c>
    </row>
    <row r="598" customFormat="false" ht="15" hidden="false" customHeight="true" outlineLevel="0" collapsed="false">
      <c r="A598" s="20" t="n">
        <f aca="false">'Raw Data'!A598</f>
        <v>597</v>
      </c>
      <c r="B598" s="20" t="n">
        <f aca="false">'Raw Data'!B598</f>
        <v>23</v>
      </c>
      <c r="C598" s="20" t="str">
        <f aca="false">'Raw Data'!C598</f>
        <v>female</v>
      </c>
      <c r="D598" s="20" t="n">
        <f aca="false">'Raw Data'!D598</f>
        <v>2</v>
      </c>
      <c r="E598" s="20" t="str">
        <f aca="false">'Raw Data'!E598</f>
        <v>rent</v>
      </c>
      <c r="F598" s="20" t="str">
        <f aca="false">'Raw Data'!F598</f>
        <v>little</v>
      </c>
      <c r="G598" s="20" t="str">
        <f aca="false">'Raw Data'!G598</f>
        <v>little</v>
      </c>
      <c r="H598" s="20" t="n">
        <f aca="false">'Raw Data'!H598</f>
        <v>1442</v>
      </c>
      <c r="I598" s="20" t="n">
        <f aca="false">'Raw Data'!I598</f>
        <v>24</v>
      </c>
      <c r="J598" s="20" t="str">
        <f aca="false">'Raw Data'!J598</f>
        <v>car</v>
      </c>
      <c r="K598" s="21" t="n">
        <f aca="false">H598/I598</f>
        <v>60.0833333333333</v>
      </c>
      <c r="L598" s="21" t="n">
        <f aca="false">100-MIN(K598/Assumptions!$B$14,1)*100</f>
        <v>84.9791666666667</v>
      </c>
      <c r="M598" s="21" t="n">
        <f aca="false">VLOOKUP(F598,Assumptions!$A$19:$B$23,2,0)</f>
        <v>25</v>
      </c>
      <c r="N598" s="21" t="n">
        <f aca="false">VLOOKUP(G598,Assumptions!$A$27:$B$30,2,0)</f>
        <v>25</v>
      </c>
      <c r="O598" s="21" t="n">
        <f aca="false">VLOOKUP(D598,Assumptions!$A$34:$B$37,2,0)</f>
        <v>66</v>
      </c>
      <c r="P598" s="21" t="n">
        <f aca="false">VLOOKUP(E598,Assumptions!$A$41:$B$43,2,0)</f>
        <v>30</v>
      </c>
      <c r="Q598" s="22" t="n">
        <f aca="false">L598*Assumptions!$B$7+M598*Assumptions!$B$8+N598*Assumptions!$B$9+O598*Assumptions!$B$10+P598*Assumptions!$B$11</f>
        <v>49.64375</v>
      </c>
      <c r="R598" s="11" t="str">
        <f aca="false">IF(Q598&lt;=33,"High Risk",IF(Q598&lt;=66,"Medium Risk","Low Risk"))</f>
        <v>Medium Risk</v>
      </c>
    </row>
    <row r="599" customFormat="false" ht="15" hidden="false" customHeight="true" outlineLevel="0" collapsed="false">
      <c r="A599" s="20" t="n">
        <f aca="false">'Raw Data'!A599</f>
        <v>598</v>
      </c>
      <c r="B599" s="20" t="n">
        <f aca="false">'Raw Data'!B599</f>
        <v>36</v>
      </c>
      <c r="C599" s="20" t="str">
        <f aca="false">'Raw Data'!C599</f>
        <v>male</v>
      </c>
      <c r="D599" s="20" t="n">
        <f aca="false">'Raw Data'!D599</f>
        <v>1</v>
      </c>
      <c r="E599" s="20" t="str">
        <f aca="false">'Raw Data'!E599</f>
        <v>own</v>
      </c>
      <c r="F599" s="20" t="str">
        <f aca="false">'Raw Data'!F599</f>
        <v>little</v>
      </c>
      <c r="G599" s="20" t="str">
        <f aca="false">'Raw Data'!G599</f>
        <v>moderate</v>
      </c>
      <c r="H599" s="20" t="n">
        <f aca="false">'Raw Data'!H599</f>
        <v>4241</v>
      </c>
      <c r="I599" s="20" t="n">
        <f aca="false">'Raw Data'!I599</f>
        <v>24</v>
      </c>
      <c r="J599" s="20" t="str">
        <f aca="false">'Raw Data'!J599</f>
        <v>business</v>
      </c>
      <c r="K599" s="21" t="n">
        <f aca="false">H599/I599</f>
        <v>176.708333333333</v>
      </c>
      <c r="L599" s="21" t="n">
        <f aca="false">100-MIN(K599/Assumptions!$B$14,1)*100</f>
        <v>55.8229166666667</v>
      </c>
      <c r="M599" s="21" t="n">
        <f aca="false">VLOOKUP(F599,Assumptions!$A$19:$B$23,2,0)</f>
        <v>25</v>
      </c>
      <c r="N599" s="21" t="n">
        <f aca="false">VLOOKUP(G599,Assumptions!$A$27:$B$30,2,0)</f>
        <v>60</v>
      </c>
      <c r="O599" s="21" t="n">
        <f aca="false">VLOOKUP(D599,Assumptions!$A$34:$B$37,2,0)</f>
        <v>33</v>
      </c>
      <c r="P599" s="21" t="n">
        <f aca="false">VLOOKUP(E599,Assumptions!$A$41:$B$43,2,0)</f>
        <v>100</v>
      </c>
      <c r="Q599" s="22" t="n">
        <f aca="false">L599*Assumptions!$B$7+M599*Assumptions!$B$8+N599*Assumptions!$B$9+O599*Assumptions!$B$10+P599*Assumptions!$B$11</f>
        <v>49.946875</v>
      </c>
      <c r="R599" s="11" t="str">
        <f aca="false">IF(Q599&lt;=33,"High Risk",IF(Q599&lt;=66,"Medium Risk","Low Risk"))</f>
        <v>Medium Risk</v>
      </c>
    </row>
    <row r="600" customFormat="false" ht="15" hidden="false" customHeight="true" outlineLevel="0" collapsed="false">
      <c r="A600" s="20" t="n">
        <f aca="false">'Raw Data'!A600</f>
        <v>599</v>
      </c>
      <c r="B600" s="20" t="n">
        <f aca="false">'Raw Data'!B600</f>
        <v>31</v>
      </c>
      <c r="C600" s="20" t="str">
        <f aca="false">'Raw Data'!C600</f>
        <v>male</v>
      </c>
      <c r="D600" s="20" t="n">
        <f aca="false">'Raw Data'!D600</f>
        <v>2</v>
      </c>
      <c r="E600" s="20" t="str">
        <f aca="false">'Raw Data'!E600</f>
        <v>own</v>
      </c>
      <c r="F600" s="20" t="str">
        <f aca="false">'Raw Data'!F600</f>
        <v>little</v>
      </c>
      <c r="G600" s="20" t="str">
        <f aca="false">'Raw Data'!G600</f>
        <v>none</v>
      </c>
      <c r="H600" s="20" t="n">
        <f aca="false">'Raw Data'!H600</f>
        <v>2775</v>
      </c>
      <c r="I600" s="20" t="n">
        <f aca="false">'Raw Data'!I600</f>
        <v>18</v>
      </c>
      <c r="J600" s="20" t="str">
        <f aca="false">'Raw Data'!J600</f>
        <v>car</v>
      </c>
      <c r="K600" s="21" t="n">
        <f aca="false">H600/I600</f>
        <v>154.166666666667</v>
      </c>
      <c r="L600" s="21" t="n">
        <f aca="false">100-MIN(K600/Assumptions!$B$14,1)*100</f>
        <v>61.4583333333333</v>
      </c>
      <c r="M600" s="21" t="n">
        <f aca="false">VLOOKUP(F600,Assumptions!$A$19:$B$23,2,0)</f>
        <v>25</v>
      </c>
      <c r="N600" s="21" t="n">
        <f aca="false">VLOOKUP(G600,Assumptions!$A$27:$B$30,2,0)</f>
        <v>50</v>
      </c>
      <c r="O600" s="21" t="n">
        <f aca="false">VLOOKUP(D600,Assumptions!$A$34:$B$37,2,0)</f>
        <v>66</v>
      </c>
      <c r="P600" s="21" t="n">
        <f aca="false">VLOOKUP(E600,Assumptions!$A$41:$B$43,2,0)</f>
        <v>100</v>
      </c>
      <c r="Q600" s="22" t="n">
        <f aca="false">L600*Assumptions!$B$7+M600*Assumptions!$B$8+N600*Assumptions!$B$9+O600*Assumptions!$B$10+P600*Assumptions!$B$11</f>
        <v>54.5875</v>
      </c>
      <c r="R600" s="11" t="str">
        <f aca="false">IF(Q600&lt;=33,"High Risk",IF(Q600&lt;=66,"Medium Risk","Low Risk"))</f>
        <v>Medium Risk</v>
      </c>
    </row>
    <row r="601" customFormat="false" ht="15" hidden="false" customHeight="true" outlineLevel="0" collapsed="false">
      <c r="A601" s="20" t="n">
        <f aca="false">'Raw Data'!A601</f>
        <v>600</v>
      </c>
      <c r="B601" s="20" t="n">
        <f aca="false">'Raw Data'!B601</f>
        <v>32</v>
      </c>
      <c r="C601" s="20" t="str">
        <f aca="false">'Raw Data'!C601</f>
        <v>male</v>
      </c>
      <c r="D601" s="20" t="n">
        <f aca="false">'Raw Data'!D601</f>
        <v>2</v>
      </c>
      <c r="E601" s="20" t="str">
        <f aca="false">'Raw Data'!E601</f>
        <v>free</v>
      </c>
      <c r="F601" s="20" t="str">
        <f aca="false">'Raw Data'!F601</f>
        <v>little</v>
      </c>
      <c r="G601" s="20" t="str">
        <f aca="false">'Raw Data'!G601</f>
        <v>none</v>
      </c>
      <c r="H601" s="20" t="n">
        <f aca="false">'Raw Data'!H601</f>
        <v>3863</v>
      </c>
      <c r="I601" s="20" t="n">
        <f aca="false">'Raw Data'!I601</f>
        <v>24</v>
      </c>
      <c r="J601" s="20" t="str">
        <f aca="false">'Raw Data'!J601</f>
        <v>business</v>
      </c>
      <c r="K601" s="21" t="n">
        <f aca="false">H601/I601</f>
        <v>160.958333333333</v>
      </c>
      <c r="L601" s="21" t="n">
        <f aca="false">100-MIN(K601/Assumptions!$B$14,1)*100</f>
        <v>59.7604166666667</v>
      </c>
      <c r="M601" s="21" t="n">
        <f aca="false">VLOOKUP(F601,Assumptions!$A$19:$B$23,2,0)</f>
        <v>25</v>
      </c>
      <c r="N601" s="21" t="n">
        <f aca="false">VLOOKUP(G601,Assumptions!$A$27:$B$30,2,0)</f>
        <v>50</v>
      </c>
      <c r="O601" s="21" t="n">
        <f aca="false">VLOOKUP(D601,Assumptions!$A$34:$B$37,2,0)</f>
        <v>66</v>
      </c>
      <c r="P601" s="21" t="n">
        <f aca="false">VLOOKUP(E601,Assumptions!$A$41:$B$43,2,0)</f>
        <v>60</v>
      </c>
      <c r="Q601" s="22" t="n">
        <f aca="false">L601*Assumptions!$B$7+M601*Assumptions!$B$8+N601*Assumptions!$B$9+O601*Assumptions!$B$10+P601*Assumptions!$B$11</f>
        <v>50.078125</v>
      </c>
      <c r="R601" s="11" t="str">
        <f aca="false">IF(Q601&lt;=33,"High Risk",IF(Q601&lt;=66,"Medium Risk","Low Risk"))</f>
        <v>Medium Risk</v>
      </c>
    </row>
    <row r="602" customFormat="false" ht="15" hidden="false" customHeight="true" outlineLevel="0" collapsed="false">
      <c r="A602" s="20" t="n">
        <f aca="false">'Raw Data'!A602</f>
        <v>601</v>
      </c>
      <c r="B602" s="20" t="n">
        <f aca="false">'Raw Data'!B602</f>
        <v>45</v>
      </c>
      <c r="C602" s="20" t="str">
        <f aca="false">'Raw Data'!C602</f>
        <v>female</v>
      </c>
      <c r="D602" s="20" t="n">
        <f aca="false">'Raw Data'!D602</f>
        <v>2</v>
      </c>
      <c r="E602" s="20" t="str">
        <f aca="false">'Raw Data'!E602</f>
        <v>own</v>
      </c>
      <c r="F602" s="20" t="str">
        <f aca="false">'Raw Data'!F602</f>
        <v>little</v>
      </c>
      <c r="G602" s="20" t="str">
        <f aca="false">'Raw Data'!G602</f>
        <v>moderate</v>
      </c>
      <c r="H602" s="20" t="n">
        <f aca="false">'Raw Data'!H602</f>
        <v>2329</v>
      </c>
      <c r="I602" s="20" t="n">
        <f aca="false">'Raw Data'!I602</f>
        <v>7</v>
      </c>
      <c r="J602" s="20" t="str">
        <f aca="false">'Raw Data'!J602</f>
        <v>radio/TV</v>
      </c>
      <c r="K602" s="21" t="n">
        <f aca="false">H602/I602</f>
        <v>332.714285714286</v>
      </c>
      <c r="L602" s="21" t="n">
        <f aca="false">100-MIN(K602/Assumptions!$B$14,1)*100</f>
        <v>16.8214285714286</v>
      </c>
      <c r="M602" s="21" t="n">
        <f aca="false">VLOOKUP(F602,Assumptions!$A$19:$B$23,2,0)</f>
        <v>25</v>
      </c>
      <c r="N602" s="21" t="n">
        <f aca="false">VLOOKUP(G602,Assumptions!$A$27:$B$30,2,0)</f>
        <v>60</v>
      </c>
      <c r="O602" s="21" t="n">
        <f aca="false">VLOOKUP(D602,Assumptions!$A$34:$B$37,2,0)</f>
        <v>66</v>
      </c>
      <c r="P602" s="21" t="n">
        <f aca="false">VLOOKUP(E602,Assumptions!$A$41:$B$43,2,0)</f>
        <v>100</v>
      </c>
      <c r="Q602" s="22" t="n">
        <f aca="false">L602*Assumptions!$B$7+M602*Assumptions!$B$8+N602*Assumptions!$B$9+O602*Assumptions!$B$10+P602*Assumptions!$B$11</f>
        <v>43.1964285714286</v>
      </c>
      <c r="R602" s="11" t="str">
        <f aca="false">IF(Q602&lt;=33,"High Risk",IF(Q602&lt;=66,"Medium Risk","Low Risk"))</f>
        <v>Medium Risk</v>
      </c>
    </row>
    <row r="603" customFormat="false" ht="15" hidden="false" customHeight="true" outlineLevel="0" collapsed="false">
      <c r="A603" s="20" t="n">
        <f aca="false">'Raw Data'!A603</f>
        <v>602</v>
      </c>
      <c r="B603" s="20" t="n">
        <f aca="false">'Raw Data'!B603</f>
        <v>30</v>
      </c>
      <c r="C603" s="20" t="str">
        <f aca="false">'Raw Data'!C603</f>
        <v>female</v>
      </c>
      <c r="D603" s="20" t="n">
        <f aca="false">'Raw Data'!D603</f>
        <v>2</v>
      </c>
      <c r="E603" s="20" t="str">
        <f aca="false">'Raw Data'!E603</f>
        <v>own</v>
      </c>
      <c r="F603" s="20" t="str">
        <f aca="false">'Raw Data'!F603</f>
        <v>little</v>
      </c>
      <c r="G603" s="20" t="str">
        <f aca="false">'Raw Data'!G603</f>
        <v>moderate</v>
      </c>
      <c r="H603" s="20" t="n">
        <f aca="false">'Raw Data'!H603</f>
        <v>918</v>
      </c>
      <c r="I603" s="20" t="n">
        <f aca="false">'Raw Data'!I603</f>
        <v>9</v>
      </c>
      <c r="J603" s="20" t="str">
        <f aca="false">'Raw Data'!J603</f>
        <v>furniture/equipment</v>
      </c>
      <c r="K603" s="21" t="n">
        <f aca="false">H603/I603</f>
        <v>102</v>
      </c>
      <c r="L603" s="21" t="n">
        <f aca="false">100-MIN(K603/Assumptions!$B$14,1)*100</f>
        <v>74.5</v>
      </c>
      <c r="M603" s="21" t="n">
        <f aca="false">VLOOKUP(F603,Assumptions!$A$19:$B$23,2,0)</f>
        <v>25</v>
      </c>
      <c r="N603" s="21" t="n">
        <f aca="false">VLOOKUP(G603,Assumptions!$A$27:$B$30,2,0)</f>
        <v>60</v>
      </c>
      <c r="O603" s="21" t="n">
        <f aca="false">VLOOKUP(D603,Assumptions!$A$34:$B$37,2,0)</f>
        <v>66</v>
      </c>
      <c r="P603" s="21" t="n">
        <f aca="false">VLOOKUP(E603,Assumptions!$A$41:$B$43,2,0)</f>
        <v>100</v>
      </c>
      <c r="Q603" s="22" t="n">
        <f aca="false">L603*Assumptions!$B$7+M603*Assumptions!$B$8+N603*Assumptions!$B$9+O603*Assumptions!$B$10+P603*Assumptions!$B$11</f>
        <v>60.5</v>
      </c>
      <c r="R603" s="11" t="str">
        <f aca="false">IF(Q603&lt;=33,"High Risk",IF(Q603&lt;=66,"Medium Risk","Low Risk"))</f>
        <v>Medium Risk</v>
      </c>
    </row>
    <row r="604" customFormat="false" ht="15" hidden="false" customHeight="true" outlineLevel="0" collapsed="false">
      <c r="A604" s="20" t="n">
        <f aca="false">'Raw Data'!A604</f>
        <v>603</v>
      </c>
      <c r="B604" s="20" t="n">
        <f aca="false">'Raw Data'!B604</f>
        <v>34</v>
      </c>
      <c r="C604" s="20" t="str">
        <f aca="false">'Raw Data'!C604</f>
        <v>female</v>
      </c>
      <c r="D604" s="20" t="n">
        <f aca="false">'Raw Data'!D604</f>
        <v>1</v>
      </c>
      <c r="E604" s="20" t="str">
        <f aca="false">'Raw Data'!E604</f>
        <v>free</v>
      </c>
      <c r="F604" s="20" t="str">
        <f aca="false">'Raw Data'!F604</f>
        <v>little</v>
      </c>
      <c r="G604" s="20" t="str">
        <f aca="false">'Raw Data'!G604</f>
        <v>moderate</v>
      </c>
      <c r="H604" s="20" t="n">
        <f aca="false">'Raw Data'!H604</f>
        <v>1837</v>
      </c>
      <c r="I604" s="20" t="n">
        <f aca="false">'Raw Data'!I604</f>
        <v>24</v>
      </c>
      <c r="J604" s="20" t="str">
        <f aca="false">'Raw Data'!J604</f>
        <v>education</v>
      </c>
      <c r="K604" s="21" t="n">
        <f aca="false">H604/I604</f>
        <v>76.5416666666667</v>
      </c>
      <c r="L604" s="21" t="n">
        <f aca="false">100-MIN(K604/Assumptions!$B$14,1)*100</f>
        <v>80.8645833333333</v>
      </c>
      <c r="M604" s="21" t="n">
        <f aca="false">VLOOKUP(F604,Assumptions!$A$19:$B$23,2,0)</f>
        <v>25</v>
      </c>
      <c r="N604" s="21" t="n">
        <f aca="false">VLOOKUP(G604,Assumptions!$A$27:$B$30,2,0)</f>
        <v>60</v>
      </c>
      <c r="O604" s="21" t="n">
        <f aca="false">VLOOKUP(D604,Assumptions!$A$34:$B$37,2,0)</f>
        <v>33</v>
      </c>
      <c r="P604" s="21" t="n">
        <f aca="false">VLOOKUP(E604,Assumptions!$A$41:$B$43,2,0)</f>
        <v>60</v>
      </c>
      <c r="Q604" s="22" t="n">
        <f aca="false">L604*Assumptions!$B$7+M604*Assumptions!$B$8+N604*Assumptions!$B$9+O604*Assumptions!$B$10+P604*Assumptions!$B$11</f>
        <v>53.459375</v>
      </c>
      <c r="R604" s="11" t="str">
        <f aca="false">IF(Q604&lt;=33,"High Risk",IF(Q604&lt;=66,"Medium Risk","Low Risk"))</f>
        <v>Medium Risk</v>
      </c>
    </row>
    <row r="605" customFormat="false" ht="15" hidden="false" customHeight="true" outlineLevel="0" collapsed="false">
      <c r="A605" s="20" t="n">
        <f aca="false">'Raw Data'!A605</f>
        <v>604</v>
      </c>
      <c r="B605" s="20" t="n">
        <f aca="false">'Raw Data'!B605</f>
        <v>28</v>
      </c>
      <c r="C605" s="20" t="str">
        <f aca="false">'Raw Data'!C605</f>
        <v>female</v>
      </c>
      <c r="D605" s="20" t="n">
        <f aca="false">'Raw Data'!D605</f>
        <v>3</v>
      </c>
      <c r="E605" s="20" t="str">
        <f aca="false">'Raw Data'!E605</f>
        <v>own</v>
      </c>
      <c r="F605" s="20" t="str">
        <f aca="false">'Raw Data'!F605</f>
        <v>little</v>
      </c>
      <c r="G605" s="20" t="str">
        <f aca="false">'Raw Data'!G605</f>
        <v>none</v>
      </c>
      <c r="H605" s="20" t="n">
        <f aca="false">'Raw Data'!H605</f>
        <v>3349</v>
      </c>
      <c r="I605" s="20" t="n">
        <f aca="false">'Raw Data'!I605</f>
        <v>36</v>
      </c>
      <c r="J605" s="20" t="str">
        <f aca="false">'Raw Data'!J605</f>
        <v>furniture/equipment</v>
      </c>
      <c r="K605" s="21" t="n">
        <f aca="false">H605/I605</f>
        <v>93.0277777777778</v>
      </c>
      <c r="L605" s="21" t="n">
        <f aca="false">100-MIN(K605/Assumptions!$B$14,1)*100</f>
        <v>76.7430555555556</v>
      </c>
      <c r="M605" s="21" t="n">
        <f aca="false">VLOOKUP(F605,Assumptions!$A$19:$B$23,2,0)</f>
        <v>25</v>
      </c>
      <c r="N605" s="21" t="n">
        <f aca="false">VLOOKUP(G605,Assumptions!$A$27:$B$30,2,0)</f>
        <v>50</v>
      </c>
      <c r="O605" s="21" t="n">
        <f aca="false">VLOOKUP(D605,Assumptions!$A$34:$B$37,2,0)</f>
        <v>100</v>
      </c>
      <c r="P605" s="21" t="n">
        <f aca="false">VLOOKUP(E605,Assumptions!$A$41:$B$43,2,0)</f>
        <v>100</v>
      </c>
      <c r="Q605" s="22" t="n">
        <f aca="false">L605*Assumptions!$B$7+M605*Assumptions!$B$8+N605*Assumptions!$B$9+O605*Assumptions!$B$10+P605*Assumptions!$B$11</f>
        <v>64.2729166666667</v>
      </c>
      <c r="R605" s="11" t="str">
        <f aca="false">IF(Q605&lt;=33,"High Risk",IF(Q605&lt;=66,"Medium Risk","Low Risk"))</f>
        <v>Medium Risk</v>
      </c>
    </row>
    <row r="606" customFormat="false" ht="15" hidden="false" customHeight="true" outlineLevel="0" collapsed="false">
      <c r="A606" s="20" t="n">
        <f aca="false">'Raw Data'!A606</f>
        <v>605</v>
      </c>
      <c r="B606" s="20" t="n">
        <f aca="false">'Raw Data'!B606</f>
        <v>23</v>
      </c>
      <c r="C606" s="20" t="str">
        <f aca="false">'Raw Data'!C606</f>
        <v>female</v>
      </c>
      <c r="D606" s="20" t="n">
        <f aca="false">'Raw Data'!D606</f>
        <v>2</v>
      </c>
      <c r="E606" s="20" t="str">
        <f aca="false">'Raw Data'!E606</f>
        <v>own</v>
      </c>
      <c r="F606" s="20" t="str">
        <f aca="false">'Raw Data'!F606</f>
        <v>little</v>
      </c>
      <c r="G606" s="20" t="str">
        <f aca="false">'Raw Data'!G606</f>
        <v>rich</v>
      </c>
      <c r="H606" s="20" t="n">
        <f aca="false">'Raw Data'!H606</f>
        <v>1275</v>
      </c>
      <c r="I606" s="20" t="n">
        <f aca="false">'Raw Data'!I606</f>
        <v>10</v>
      </c>
      <c r="J606" s="20" t="str">
        <f aca="false">'Raw Data'!J606</f>
        <v>furniture/equipment</v>
      </c>
      <c r="K606" s="21" t="n">
        <f aca="false">H606/I606</f>
        <v>127.5</v>
      </c>
      <c r="L606" s="21" t="n">
        <f aca="false">100-MIN(K606/Assumptions!$B$14,1)*100</f>
        <v>68.125</v>
      </c>
      <c r="M606" s="21" t="n">
        <f aca="false">VLOOKUP(F606,Assumptions!$A$19:$B$23,2,0)</f>
        <v>25</v>
      </c>
      <c r="N606" s="21" t="n">
        <f aca="false">VLOOKUP(G606,Assumptions!$A$27:$B$30,2,0)</f>
        <v>100</v>
      </c>
      <c r="O606" s="21" t="n">
        <f aca="false">VLOOKUP(D606,Assumptions!$A$34:$B$37,2,0)</f>
        <v>66</v>
      </c>
      <c r="P606" s="21" t="n">
        <f aca="false">VLOOKUP(E606,Assumptions!$A$41:$B$43,2,0)</f>
        <v>100</v>
      </c>
      <c r="Q606" s="22" t="n">
        <f aca="false">L606*Assumptions!$B$7+M606*Assumptions!$B$8+N606*Assumptions!$B$9+O606*Assumptions!$B$10+P606*Assumptions!$B$11</f>
        <v>66.5875</v>
      </c>
      <c r="R606" s="11" t="str">
        <f aca="false">IF(Q606&lt;=33,"High Risk",IF(Q606&lt;=66,"Medium Risk","Low Risk"))</f>
        <v>Low Risk</v>
      </c>
    </row>
    <row r="607" customFormat="false" ht="15" hidden="false" customHeight="true" outlineLevel="0" collapsed="false">
      <c r="A607" s="20" t="n">
        <f aca="false">'Raw Data'!A607</f>
        <v>606</v>
      </c>
      <c r="B607" s="20" t="n">
        <f aca="false">'Raw Data'!B607</f>
        <v>22</v>
      </c>
      <c r="C607" s="20" t="str">
        <f aca="false">'Raw Data'!C607</f>
        <v>male</v>
      </c>
      <c r="D607" s="20" t="n">
        <f aca="false">'Raw Data'!D607</f>
        <v>2</v>
      </c>
      <c r="E607" s="20" t="str">
        <f aca="false">'Raw Data'!E607</f>
        <v>own</v>
      </c>
      <c r="F607" s="20" t="str">
        <f aca="false">'Raw Data'!F607</f>
        <v>quite rich</v>
      </c>
      <c r="G607" s="20" t="str">
        <f aca="false">'Raw Data'!G607</f>
        <v>little</v>
      </c>
      <c r="H607" s="20" t="n">
        <f aca="false">'Raw Data'!H607</f>
        <v>2828</v>
      </c>
      <c r="I607" s="20" t="n">
        <f aca="false">'Raw Data'!I607</f>
        <v>24</v>
      </c>
      <c r="J607" s="20" t="str">
        <f aca="false">'Raw Data'!J607</f>
        <v>furniture/equipment</v>
      </c>
      <c r="K607" s="21" t="n">
        <f aca="false">H607/I607</f>
        <v>117.833333333333</v>
      </c>
      <c r="L607" s="21" t="n">
        <f aca="false">100-MIN(K607/Assumptions!$B$14,1)*100</f>
        <v>70.5416666666667</v>
      </c>
      <c r="M607" s="21" t="n">
        <f aca="false">VLOOKUP(F607,Assumptions!$A$19:$B$23,2,0)</f>
        <v>75</v>
      </c>
      <c r="N607" s="21" t="n">
        <f aca="false">VLOOKUP(G607,Assumptions!$A$27:$B$30,2,0)</f>
        <v>25</v>
      </c>
      <c r="O607" s="21" t="n">
        <f aca="false">VLOOKUP(D607,Assumptions!$A$34:$B$37,2,0)</f>
        <v>66</v>
      </c>
      <c r="P607" s="21" t="n">
        <f aca="false">VLOOKUP(E607,Assumptions!$A$41:$B$43,2,0)</f>
        <v>100</v>
      </c>
      <c r="Q607" s="22" t="n">
        <f aca="false">L607*Assumptions!$B$7+M607*Assumptions!$B$8+N607*Assumptions!$B$9+O607*Assumptions!$B$10+P607*Assumptions!$B$11</f>
        <v>64.8125</v>
      </c>
      <c r="R607" s="11" t="str">
        <f aca="false">IF(Q607&lt;=33,"High Risk",IF(Q607&lt;=66,"Medium Risk","Low Risk"))</f>
        <v>Medium Risk</v>
      </c>
    </row>
    <row r="608" customFormat="false" ht="15" hidden="false" customHeight="true" outlineLevel="0" collapsed="false">
      <c r="A608" s="20" t="n">
        <f aca="false">'Raw Data'!A608</f>
        <v>607</v>
      </c>
      <c r="B608" s="20" t="n">
        <f aca="false">'Raw Data'!B608</f>
        <v>74</v>
      </c>
      <c r="C608" s="20" t="str">
        <f aca="false">'Raw Data'!C608</f>
        <v>male</v>
      </c>
      <c r="D608" s="20" t="n">
        <f aca="false">'Raw Data'!D608</f>
        <v>3</v>
      </c>
      <c r="E608" s="20" t="str">
        <f aca="false">'Raw Data'!E608</f>
        <v>own</v>
      </c>
      <c r="F608" s="20" t="str">
        <f aca="false">'Raw Data'!F608</f>
        <v>little</v>
      </c>
      <c r="G608" s="20" t="str">
        <f aca="false">'Raw Data'!G608</f>
        <v>none</v>
      </c>
      <c r="H608" s="20" t="n">
        <f aca="false">'Raw Data'!H608</f>
        <v>4526</v>
      </c>
      <c r="I608" s="20" t="n">
        <f aca="false">'Raw Data'!I608</f>
        <v>24</v>
      </c>
      <c r="J608" s="20" t="str">
        <f aca="false">'Raw Data'!J608</f>
        <v>business</v>
      </c>
      <c r="K608" s="21" t="n">
        <f aca="false">H608/I608</f>
        <v>188.583333333333</v>
      </c>
      <c r="L608" s="21" t="n">
        <f aca="false">100-MIN(K608/Assumptions!$B$14,1)*100</f>
        <v>52.8541666666667</v>
      </c>
      <c r="M608" s="21" t="n">
        <f aca="false">VLOOKUP(F608,Assumptions!$A$19:$B$23,2,0)</f>
        <v>25</v>
      </c>
      <c r="N608" s="21" t="n">
        <f aca="false">VLOOKUP(G608,Assumptions!$A$27:$B$30,2,0)</f>
        <v>50</v>
      </c>
      <c r="O608" s="21" t="n">
        <f aca="false">VLOOKUP(D608,Assumptions!$A$34:$B$37,2,0)</f>
        <v>100</v>
      </c>
      <c r="P608" s="21" t="n">
        <f aca="false">VLOOKUP(E608,Assumptions!$A$41:$B$43,2,0)</f>
        <v>100</v>
      </c>
      <c r="Q608" s="22" t="n">
        <f aca="false">L608*Assumptions!$B$7+M608*Assumptions!$B$8+N608*Assumptions!$B$9+O608*Assumptions!$B$10+P608*Assumptions!$B$11</f>
        <v>57.10625</v>
      </c>
      <c r="R608" s="11" t="str">
        <f aca="false">IF(Q608&lt;=33,"High Risk",IF(Q608&lt;=66,"Medium Risk","Low Risk"))</f>
        <v>Medium Risk</v>
      </c>
    </row>
    <row r="609" customFormat="false" ht="15" hidden="false" customHeight="true" outlineLevel="0" collapsed="false">
      <c r="A609" s="20" t="n">
        <f aca="false">'Raw Data'!A609</f>
        <v>608</v>
      </c>
      <c r="B609" s="20" t="n">
        <f aca="false">'Raw Data'!B609</f>
        <v>50</v>
      </c>
      <c r="C609" s="20" t="str">
        <f aca="false">'Raw Data'!C609</f>
        <v>female</v>
      </c>
      <c r="D609" s="20" t="n">
        <f aca="false">'Raw Data'!D609</f>
        <v>2</v>
      </c>
      <c r="E609" s="20" t="str">
        <f aca="false">'Raw Data'!E609</f>
        <v>free</v>
      </c>
      <c r="F609" s="20" t="str">
        <f aca="false">'Raw Data'!F609</f>
        <v>moderate</v>
      </c>
      <c r="G609" s="20" t="str">
        <f aca="false">'Raw Data'!G609</f>
        <v>moderate</v>
      </c>
      <c r="H609" s="20" t="n">
        <f aca="false">'Raw Data'!H609</f>
        <v>2671</v>
      </c>
      <c r="I609" s="20" t="n">
        <f aca="false">'Raw Data'!I609</f>
        <v>36</v>
      </c>
      <c r="J609" s="20" t="str">
        <f aca="false">'Raw Data'!J609</f>
        <v>radio/TV</v>
      </c>
      <c r="K609" s="21" t="n">
        <f aca="false">H609/I609</f>
        <v>74.1944444444444</v>
      </c>
      <c r="L609" s="21" t="n">
        <f aca="false">100-MIN(K609/Assumptions!$B$14,1)*100</f>
        <v>81.4513888888889</v>
      </c>
      <c r="M609" s="21" t="n">
        <f aca="false">VLOOKUP(F609,Assumptions!$A$19:$B$23,2,0)</f>
        <v>50</v>
      </c>
      <c r="N609" s="21" t="n">
        <f aca="false">VLOOKUP(G609,Assumptions!$A$27:$B$30,2,0)</f>
        <v>60</v>
      </c>
      <c r="O609" s="21" t="n">
        <f aca="false">VLOOKUP(D609,Assumptions!$A$34:$B$37,2,0)</f>
        <v>66</v>
      </c>
      <c r="P609" s="21" t="n">
        <f aca="false">VLOOKUP(E609,Assumptions!$A$41:$B$43,2,0)</f>
        <v>60</v>
      </c>
      <c r="Q609" s="22" t="n">
        <f aca="false">L609*Assumptions!$B$7+M609*Assumptions!$B$8+N609*Assumptions!$B$9+O609*Assumptions!$B$10+P609*Assumptions!$B$11</f>
        <v>64.8354166666667</v>
      </c>
      <c r="R609" s="11" t="str">
        <f aca="false">IF(Q609&lt;=33,"High Risk",IF(Q609&lt;=66,"Medium Risk","Low Risk"))</f>
        <v>Medium Risk</v>
      </c>
    </row>
    <row r="610" customFormat="false" ht="15" hidden="false" customHeight="true" outlineLevel="0" collapsed="false">
      <c r="A610" s="20" t="n">
        <f aca="false">'Raw Data'!A610</f>
        <v>609</v>
      </c>
      <c r="B610" s="20" t="n">
        <f aca="false">'Raw Data'!B610</f>
        <v>33</v>
      </c>
      <c r="C610" s="20" t="str">
        <f aca="false">'Raw Data'!C610</f>
        <v>male</v>
      </c>
      <c r="D610" s="20" t="n">
        <f aca="false">'Raw Data'!D610</f>
        <v>2</v>
      </c>
      <c r="E610" s="20" t="str">
        <f aca="false">'Raw Data'!E610</f>
        <v>own</v>
      </c>
      <c r="F610" s="20" t="str">
        <f aca="false">'Raw Data'!F610</f>
        <v>little</v>
      </c>
      <c r="G610" s="20" t="str">
        <f aca="false">'Raw Data'!G610</f>
        <v>none</v>
      </c>
      <c r="H610" s="20" t="n">
        <f aca="false">'Raw Data'!H610</f>
        <v>2051</v>
      </c>
      <c r="I610" s="20" t="n">
        <f aca="false">'Raw Data'!I610</f>
        <v>18</v>
      </c>
      <c r="J610" s="20" t="str">
        <f aca="false">'Raw Data'!J610</f>
        <v>radio/TV</v>
      </c>
      <c r="K610" s="21" t="n">
        <f aca="false">H610/I610</f>
        <v>113.944444444444</v>
      </c>
      <c r="L610" s="21" t="n">
        <f aca="false">100-MIN(K610/Assumptions!$B$14,1)*100</f>
        <v>71.5138888888889</v>
      </c>
      <c r="M610" s="21" t="n">
        <f aca="false">VLOOKUP(F610,Assumptions!$A$19:$B$23,2,0)</f>
        <v>25</v>
      </c>
      <c r="N610" s="21" t="n">
        <f aca="false">VLOOKUP(G610,Assumptions!$A$27:$B$30,2,0)</f>
        <v>50</v>
      </c>
      <c r="O610" s="21" t="n">
        <f aca="false">VLOOKUP(D610,Assumptions!$A$34:$B$37,2,0)</f>
        <v>66</v>
      </c>
      <c r="P610" s="21" t="n">
        <f aca="false">VLOOKUP(E610,Assumptions!$A$41:$B$43,2,0)</f>
        <v>100</v>
      </c>
      <c r="Q610" s="22" t="n">
        <f aca="false">L610*Assumptions!$B$7+M610*Assumptions!$B$8+N610*Assumptions!$B$9+O610*Assumptions!$B$10+P610*Assumptions!$B$11</f>
        <v>57.6041666666667</v>
      </c>
      <c r="R610" s="11" t="str">
        <f aca="false">IF(Q610&lt;=33,"High Risk",IF(Q610&lt;=66,"Medium Risk","Low Risk"))</f>
        <v>Medium Risk</v>
      </c>
    </row>
    <row r="611" customFormat="false" ht="15" hidden="false" customHeight="true" outlineLevel="0" collapsed="false">
      <c r="A611" s="20" t="n">
        <f aca="false">'Raw Data'!A611</f>
        <v>610</v>
      </c>
      <c r="B611" s="20" t="n">
        <f aca="false">'Raw Data'!B611</f>
        <v>45</v>
      </c>
      <c r="C611" s="20" t="str">
        <f aca="false">'Raw Data'!C611</f>
        <v>male</v>
      </c>
      <c r="D611" s="20" t="n">
        <f aca="false">'Raw Data'!D611</f>
        <v>2</v>
      </c>
      <c r="E611" s="20" t="str">
        <f aca="false">'Raw Data'!E611</f>
        <v>free</v>
      </c>
      <c r="F611" s="20" t="str">
        <f aca="false">'Raw Data'!F611</f>
        <v>none</v>
      </c>
      <c r="G611" s="20" t="str">
        <f aca="false">'Raw Data'!G611</f>
        <v>none</v>
      </c>
      <c r="H611" s="20" t="n">
        <f aca="false">'Raw Data'!H611</f>
        <v>1300</v>
      </c>
      <c r="I611" s="20" t="n">
        <f aca="false">'Raw Data'!I611</f>
        <v>15</v>
      </c>
      <c r="J611" s="20" t="str">
        <f aca="false">'Raw Data'!J611</f>
        <v>car</v>
      </c>
      <c r="K611" s="21" t="n">
        <f aca="false">H611/I611</f>
        <v>86.6666666666667</v>
      </c>
      <c r="L611" s="21" t="n">
        <f aca="false">100-MIN(K611/Assumptions!$B$14,1)*100</f>
        <v>78.3333333333333</v>
      </c>
      <c r="M611" s="21" t="n">
        <f aca="false">VLOOKUP(F611,Assumptions!$A$19:$B$23,2,0)</f>
        <v>40</v>
      </c>
      <c r="N611" s="21" t="n">
        <f aca="false">VLOOKUP(G611,Assumptions!$A$27:$B$30,2,0)</f>
        <v>50</v>
      </c>
      <c r="O611" s="21" t="n">
        <f aca="false">VLOOKUP(D611,Assumptions!$A$34:$B$37,2,0)</f>
        <v>66</v>
      </c>
      <c r="P611" s="21" t="n">
        <f aca="false">VLOOKUP(E611,Assumptions!$A$41:$B$43,2,0)</f>
        <v>60</v>
      </c>
      <c r="Q611" s="22" t="n">
        <f aca="false">L611*Assumptions!$B$7+M611*Assumptions!$B$8+N611*Assumptions!$B$9+O611*Assumptions!$B$10+P611*Assumptions!$B$11</f>
        <v>59.4</v>
      </c>
      <c r="R611" s="11" t="str">
        <f aca="false">IF(Q611&lt;=33,"High Risk",IF(Q611&lt;=66,"Medium Risk","Low Risk"))</f>
        <v>Medium Risk</v>
      </c>
    </row>
    <row r="612" customFormat="false" ht="15" hidden="false" customHeight="true" outlineLevel="0" collapsed="false">
      <c r="A612" s="20" t="n">
        <f aca="false">'Raw Data'!A612</f>
        <v>611</v>
      </c>
      <c r="B612" s="20" t="n">
        <f aca="false">'Raw Data'!B612</f>
        <v>22</v>
      </c>
      <c r="C612" s="20" t="str">
        <f aca="false">'Raw Data'!C612</f>
        <v>female</v>
      </c>
      <c r="D612" s="20" t="n">
        <f aca="false">'Raw Data'!D612</f>
        <v>2</v>
      </c>
      <c r="E612" s="20" t="str">
        <f aca="false">'Raw Data'!E612</f>
        <v>own</v>
      </c>
      <c r="F612" s="20" t="str">
        <f aca="false">'Raw Data'!F612</f>
        <v>moderate</v>
      </c>
      <c r="G612" s="20" t="str">
        <f aca="false">'Raw Data'!G612</f>
        <v>little</v>
      </c>
      <c r="H612" s="20" t="n">
        <f aca="false">'Raw Data'!H612</f>
        <v>741</v>
      </c>
      <c r="I612" s="20" t="n">
        <f aca="false">'Raw Data'!I612</f>
        <v>12</v>
      </c>
      <c r="J612" s="20" t="str">
        <f aca="false">'Raw Data'!J612</f>
        <v>domestic appliances</v>
      </c>
      <c r="K612" s="21" t="n">
        <f aca="false">H612/I612</f>
        <v>61.75</v>
      </c>
      <c r="L612" s="21" t="n">
        <f aca="false">100-MIN(K612/Assumptions!$B$14,1)*100</f>
        <v>84.5625</v>
      </c>
      <c r="M612" s="21" t="n">
        <f aca="false">VLOOKUP(F612,Assumptions!$A$19:$B$23,2,0)</f>
        <v>50</v>
      </c>
      <c r="N612" s="21" t="n">
        <f aca="false">VLOOKUP(G612,Assumptions!$A$27:$B$30,2,0)</f>
        <v>25</v>
      </c>
      <c r="O612" s="21" t="n">
        <f aca="false">VLOOKUP(D612,Assumptions!$A$34:$B$37,2,0)</f>
        <v>66</v>
      </c>
      <c r="P612" s="21" t="n">
        <f aca="false">VLOOKUP(E612,Assumptions!$A$41:$B$43,2,0)</f>
        <v>100</v>
      </c>
      <c r="Q612" s="22" t="n">
        <f aca="false">L612*Assumptions!$B$7+M612*Assumptions!$B$8+N612*Assumptions!$B$9+O612*Assumptions!$B$10+P612*Assumptions!$B$11</f>
        <v>62.76875</v>
      </c>
      <c r="R612" s="11" t="str">
        <f aca="false">IF(Q612&lt;=33,"High Risk",IF(Q612&lt;=66,"Medium Risk","Low Risk"))</f>
        <v>Medium Risk</v>
      </c>
    </row>
    <row r="613" customFormat="false" ht="15" hidden="false" customHeight="true" outlineLevel="0" collapsed="false">
      <c r="A613" s="20" t="n">
        <f aca="false">'Raw Data'!A613</f>
        <v>612</v>
      </c>
      <c r="B613" s="20" t="n">
        <f aca="false">'Raw Data'!B613</f>
        <v>48</v>
      </c>
      <c r="C613" s="20" t="str">
        <f aca="false">'Raw Data'!C613</f>
        <v>female</v>
      </c>
      <c r="D613" s="20" t="n">
        <f aca="false">'Raw Data'!D613</f>
        <v>1</v>
      </c>
      <c r="E613" s="20" t="str">
        <f aca="false">'Raw Data'!E613</f>
        <v>free</v>
      </c>
      <c r="F613" s="20" t="str">
        <f aca="false">'Raw Data'!F613</f>
        <v>moderate</v>
      </c>
      <c r="G613" s="20" t="str">
        <f aca="false">'Raw Data'!G613</f>
        <v>rich</v>
      </c>
      <c r="H613" s="20" t="n">
        <f aca="false">'Raw Data'!H613</f>
        <v>1240</v>
      </c>
      <c r="I613" s="20" t="n">
        <f aca="false">'Raw Data'!I613</f>
        <v>10</v>
      </c>
      <c r="J613" s="20" t="str">
        <f aca="false">'Raw Data'!J613</f>
        <v>car</v>
      </c>
      <c r="K613" s="21" t="n">
        <f aca="false">H613/I613</f>
        <v>124</v>
      </c>
      <c r="L613" s="21" t="n">
        <f aca="false">100-MIN(K613/Assumptions!$B$14,1)*100</f>
        <v>69</v>
      </c>
      <c r="M613" s="21" t="n">
        <f aca="false">VLOOKUP(F613,Assumptions!$A$19:$B$23,2,0)</f>
        <v>50</v>
      </c>
      <c r="N613" s="21" t="n">
        <f aca="false">VLOOKUP(G613,Assumptions!$A$27:$B$30,2,0)</f>
        <v>100</v>
      </c>
      <c r="O613" s="21" t="n">
        <f aca="false">VLOOKUP(D613,Assumptions!$A$34:$B$37,2,0)</f>
        <v>33</v>
      </c>
      <c r="P613" s="21" t="n">
        <f aca="false">VLOOKUP(E613,Assumptions!$A$41:$B$43,2,0)</f>
        <v>60</v>
      </c>
      <c r="Q613" s="22" t="n">
        <f aca="false">L613*Assumptions!$B$7+M613*Assumptions!$B$8+N613*Assumptions!$B$9+O613*Assumptions!$B$10+P613*Assumptions!$B$11</f>
        <v>64.15</v>
      </c>
      <c r="R613" s="11" t="str">
        <f aca="false">IF(Q613&lt;=33,"High Risk",IF(Q613&lt;=66,"Medium Risk","Low Risk"))</f>
        <v>Medium Risk</v>
      </c>
    </row>
    <row r="614" customFormat="false" ht="15" hidden="false" customHeight="true" outlineLevel="0" collapsed="false">
      <c r="A614" s="20" t="n">
        <f aca="false">'Raw Data'!A614</f>
        <v>613</v>
      </c>
      <c r="B614" s="20" t="n">
        <f aca="false">'Raw Data'!B614</f>
        <v>29</v>
      </c>
      <c r="C614" s="20" t="str">
        <f aca="false">'Raw Data'!C614</f>
        <v>female</v>
      </c>
      <c r="D614" s="20" t="n">
        <f aca="false">'Raw Data'!D614</f>
        <v>2</v>
      </c>
      <c r="E614" s="20" t="str">
        <f aca="false">'Raw Data'!E614</f>
        <v>own</v>
      </c>
      <c r="F614" s="20" t="str">
        <f aca="false">'Raw Data'!F614</f>
        <v>rich</v>
      </c>
      <c r="G614" s="20" t="str">
        <f aca="false">'Raw Data'!G614</f>
        <v>little</v>
      </c>
      <c r="H614" s="20" t="n">
        <f aca="false">'Raw Data'!H614</f>
        <v>3357</v>
      </c>
      <c r="I614" s="20" t="n">
        <f aca="false">'Raw Data'!I614</f>
        <v>21</v>
      </c>
      <c r="J614" s="20" t="str">
        <f aca="false">'Raw Data'!J614</f>
        <v>radio/TV</v>
      </c>
      <c r="K614" s="21" t="n">
        <f aca="false">H614/I614</f>
        <v>159.857142857143</v>
      </c>
      <c r="L614" s="21" t="n">
        <f aca="false">100-MIN(K614/Assumptions!$B$14,1)*100</f>
        <v>60.0357142857143</v>
      </c>
      <c r="M614" s="21" t="n">
        <f aca="false">VLOOKUP(F614,Assumptions!$A$19:$B$23,2,0)</f>
        <v>100</v>
      </c>
      <c r="N614" s="21" t="n">
        <f aca="false">VLOOKUP(G614,Assumptions!$A$27:$B$30,2,0)</f>
        <v>25</v>
      </c>
      <c r="O614" s="21" t="n">
        <f aca="false">VLOOKUP(D614,Assumptions!$A$34:$B$37,2,0)</f>
        <v>66</v>
      </c>
      <c r="P614" s="21" t="n">
        <f aca="false">VLOOKUP(E614,Assumptions!$A$41:$B$43,2,0)</f>
        <v>100</v>
      </c>
      <c r="Q614" s="22" t="n">
        <f aca="false">L614*Assumptions!$B$7+M614*Assumptions!$B$8+N614*Assumptions!$B$9+O614*Assumptions!$B$10+P614*Assumptions!$B$11</f>
        <v>67.9107142857143</v>
      </c>
      <c r="R614" s="11" t="str">
        <f aca="false">IF(Q614&lt;=33,"High Risk",IF(Q614&lt;=66,"Medium Risk","Low Risk"))</f>
        <v>Low Risk</v>
      </c>
    </row>
    <row r="615" customFormat="false" ht="15" hidden="false" customHeight="true" outlineLevel="0" collapsed="false">
      <c r="A615" s="20" t="n">
        <f aca="false">'Raw Data'!A615</f>
        <v>614</v>
      </c>
      <c r="B615" s="20" t="n">
        <f aca="false">'Raw Data'!B615</f>
        <v>22</v>
      </c>
      <c r="C615" s="20" t="str">
        <f aca="false">'Raw Data'!C615</f>
        <v>female</v>
      </c>
      <c r="D615" s="20" t="n">
        <f aca="false">'Raw Data'!D615</f>
        <v>2</v>
      </c>
      <c r="E615" s="20" t="str">
        <f aca="false">'Raw Data'!E615</f>
        <v>rent</v>
      </c>
      <c r="F615" s="20" t="str">
        <f aca="false">'Raw Data'!F615</f>
        <v>little</v>
      </c>
      <c r="G615" s="20" t="str">
        <f aca="false">'Raw Data'!G615</f>
        <v>little</v>
      </c>
      <c r="H615" s="20" t="n">
        <f aca="false">'Raw Data'!H615</f>
        <v>3632</v>
      </c>
      <c r="I615" s="20" t="n">
        <f aca="false">'Raw Data'!I615</f>
        <v>24</v>
      </c>
      <c r="J615" s="20" t="str">
        <f aca="false">'Raw Data'!J615</f>
        <v>car</v>
      </c>
      <c r="K615" s="21" t="n">
        <f aca="false">H615/I615</f>
        <v>151.333333333333</v>
      </c>
      <c r="L615" s="21" t="n">
        <f aca="false">100-MIN(K615/Assumptions!$B$14,1)*100</f>
        <v>62.1666666666667</v>
      </c>
      <c r="M615" s="21" t="n">
        <f aca="false">VLOOKUP(F615,Assumptions!$A$19:$B$23,2,0)</f>
        <v>25</v>
      </c>
      <c r="N615" s="21" t="n">
        <f aca="false">VLOOKUP(G615,Assumptions!$A$27:$B$30,2,0)</f>
        <v>25</v>
      </c>
      <c r="O615" s="21" t="n">
        <f aca="false">VLOOKUP(D615,Assumptions!$A$34:$B$37,2,0)</f>
        <v>66</v>
      </c>
      <c r="P615" s="21" t="n">
        <f aca="false">VLOOKUP(E615,Assumptions!$A$41:$B$43,2,0)</f>
        <v>30</v>
      </c>
      <c r="Q615" s="22" t="n">
        <f aca="false">L615*Assumptions!$B$7+M615*Assumptions!$B$8+N615*Assumptions!$B$9+O615*Assumptions!$B$10+P615*Assumptions!$B$11</f>
        <v>42.8</v>
      </c>
      <c r="R615" s="11" t="str">
        <f aca="false">IF(Q615&lt;=33,"High Risk",IF(Q615&lt;=66,"Medium Risk","Low Risk"))</f>
        <v>Medium Risk</v>
      </c>
    </row>
    <row r="616" customFormat="false" ht="15" hidden="false" customHeight="true" outlineLevel="0" collapsed="false">
      <c r="A616" s="20" t="n">
        <f aca="false">'Raw Data'!A616</f>
        <v>615</v>
      </c>
      <c r="B616" s="20" t="n">
        <f aca="false">'Raw Data'!B616</f>
        <v>22</v>
      </c>
      <c r="C616" s="20" t="str">
        <f aca="false">'Raw Data'!C616</f>
        <v>female</v>
      </c>
      <c r="D616" s="20" t="n">
        <f aca="false">'Raw Data'!D616</f>
        <v>2</v>
      </c>
      <c r="E616" s="20" t="str">
        <f aca="false">'Raw Data'!E616</f>
        <v>own</v>
      </c>
      <c r="F616" s="20" t="str">
        <f aca="false">'Raw Data'!F616</f>
        <v>little</v>
      </c>
      <c r="G616" s="20" t="str">
        <f aca="false">'Raw Data'!G616</f>
        <v>none</v>
      </c>
      <c r="H616" s="20" t="n">
        <f aca="false">'Raw Data'!H616</f>
        <v>1808</v>
      </c>
      <c r="I616" s="20" t="n">
        <f aca="false">'Raw Data'!I616</f>
        <v>18</v>
      </c>
      <c r="J616" s="20" t="str">
        <f aca="false">'Raw Data'!J616</f>
        <v>furniture/equipment</v>
      </c>
      <c r="K616" s="21" t="n">
        <f aca="false">H616/I616</f>
        <v>100.444444444444</v>
      </c>
      <c r="L616" s="21" t="n">
        <f aca="false">100-MIN(K616/Assumptions!$B$14,1)*100</f>
        <v>74.8888888888889</v>
      </c>
      <c r="M616" s="21" t="n">
        <f aca="false">VLOOKUP(F616,Assumptions!$A$19:$B$23,2,0)</f>
        <v>25</v>
      </c>
      <c r="N616" s="21" t="n">
        <f aca="false">VLOOKUP(G616,Assumptions!$A$27:$B$30,2,0)</f>
        <v>50</v>
      </c>
      <c r="O616" s="21" t="n">
        <f aca="false">VLOOKUP(D616,Assumptions!$A$34:$B$37,2,0)</f>
        <v>66</v>
      </c>
      <c r="P616" s="21" t="n">
        <f aca="false">VLOOKUP(E616,Assumptions!$A$41:$B$43,2,0)</f>
        <v>100</v>
      </c>
      <c r="Q616" s="22" t="n">
        <f aca="false">L616*Assumptions!$B$7+M616*Assumptions!$B$8+N616*Assumptions!$B$9+O616*Assumptions!$B$10+P616*Assumptions!$B$11</f>
        <v>58.6166666666667</v>
      </c>
      <c r="R616" s="11" t="str">
        <f aca="false">IF(Q616&lt;=33,"High Risk",IF(Q616&lt;=66,"Medium Risk","Low Risk"))</f>
        <v>Medium Risk</v>
      </c>
    </row>
    <row r="617" customFormat="false" ht="15" hidden="false" customHeight="true" outlineLevel="0" collapsed="false">
      <c r="A617" s="20" t="n">
        <f aca="false">'Raw Data'!A617</f>
        <v>616</v>
      </c>
      <c r="B617" s="20" t="n">
        <f aca="false">'Raw Data'!B617</f>
        <v>48</v>
      </c>
      <c r="C617" s="20" t="str">
        <f aca="false">'Raw Data'!C617</f>
        <v>male</v>
      </c>
      <c r="D617" s="20" t="n">
        <f aca="false">'Raw Data'!D617</f>
        <v>3</v>
      </c>
      <c r="E617" s="20" t="str">
        <f aca="false">'Raw Data'!E617</f>
        <v>own</v>
      </c>
      <c r="F617" s="20" t="str">
        <f aca="false">'Raw Data'!F617</f>
        <v>none</v>
      </c>
      <c r="G617" s="20" t="str">
        <f aca="false">'Raw Data'!G617</f>
        <v>moderate</v>
      </c>
      <c r="H617" s="20" t="n">
        <f aca="false">'Raw Data'!H617</f>
        <v>12204</v>
      </c>
      <c r="I617" s="20" t="n">
        <f aca="false">'Raw Data'!I617</f>
        <v>48</v>
      </c>
      <c r="J617" s="20" t="str">
        <f aca="false">'Raw Data'!J617</f>
        <v>business</v>
      </c>
      <c r="K617" s="21" t="n">
        <f aca="false">H617/I617</f>
        <v>254.25</v>
      </c>
      <c r="L617" s="21" t="n">
        <f aca="false">100-MIN(K617/Assumptions!$B$14,1)*100</f>
        <v>36.4375</v>
      </c>
      <c r="M617" s="21" t="n">
        <f aca="false">VLOOKUP(F617,Assumptions!$A$19:$B$23,2,0)</f>
        <v>40</v>
      </c>
      <c r="N617" s="21" t="n">
        <f aca="false">VLOOKUP(G617,Assumptions!$A$27:$B$30,2,0)</f>
        <v>60</v>
      </c>
      <c r="O617" s="21" t="n">
        <f aca="false">VLOOKUP(D617,Assumptions!$A$34:$B$37,2,0)</f>
        <v>100</v>
      </c>
      <c r="P617" s="21" t="n">
        <f aca="false">VLOOKUP(E617,Assumptions!$A$41:$B$43,2,0)</f>
        <v>100</v>
      </c>
      <c r="Q617" s="22" t="n">
        <f aca="false">L617*Assumptions!$B$7+M617*Assumptions!$B$8+N617*Assumptions!$B$9+O617*Assumptions!$B$10+P617*Assumptions!$B$11</f>
        <v>57.93125</v>
      </c>
      <c r="R617" s="11" t="str">
        <f aca="false">IF(Q617&lt;=33,"High Risk",IF(Q617&lt;=66,"Medium Risk","Low Risk"))</f>
        <v>Medium Risk</v>
      </c>
    </row>
    <row r="618" customFormat="false" ht="15" hidden="false" customHeight="true" outlineLevel="0" collapsed="false">
      <c r="A618" s="20" t="n">
        <f aca="false">'Raw Data'!A618</f>
        <v>617</v>
      </c>
      <c r="B618" s="20" t="n">
        <f aca="false">'Raw Data'!B618</f>
        <v>27</v>
      </c>
      <c r="C618" s="20" t="str">
        <f aca="false">'Raw Data'!C618</f>
        <v>male</v>
      </c>
      <c r="D618" s="20" t="n">
        <f aca="false">'Raw Data'!D618</f>
        <v>3</v>
      </c>
      <c r="E618" s="20" t="str">
        <f aca="false">'Raw Data'!E618</f>
        <v>free</v>
      </c>
      <c r="F618" s="20" t="str">
        <f aca="false">'Raw Data'!F618</f>
        <v>none</v>
      </c>
      <c r="G618" s="20" t="str">
        <f aca="false">'Raw Data'!G618</f>
        <v>moderate</v>
      </c>
      <c r="H618" s="20" t="n">
        <f aca="false">'Raw Data'!H618</f>
        <v>9157</v>
      </c>
      <c r="I618" s="20" t="n">
        <f aca="false">'Raw Data'!I618</f>
        <v>60</v>
      </c>
      <c r="J618" s="20" t="str">
        <f aca="false">'Raw Data'!J618</f>
        <v>radio/TV</v>
      </c>
      <c r="K618" s="21" t="n">
        <f aca="false">H618/I618</f>
        <v>152.616666666667</v>
      </c>
      <c r="L618" s="21" t="n">
        <f aca="false">100-MIN(K618/Assumptions!$B$14,1)*100</f>
        <v>61.8458333333333</v>
      </c>
      <c r="M618" s="21" t="n">
        <f aca="false">VLOOKUP(F618,Assumptions!$A$19:$B$23,2,0)</f>
        <v>40</v>
      </c>
      <c r="N618" s="21" t="n">
        <f aca="false">VLOOKUP(G618,Assumptions!$A$27:$B$30,2,0)</f>
        <v>60</v>
      </c>
      <c r="O618" s="21" t="n">
        <f aca="false">VLOOKUP(D618,Assumptions!$A$34:$B$37,2,0)</f>
        <v>100</v>
      </c>
      <c r="P618" s="21" t="n">
        <f aca="false">VLOOKUP(E618,Assumptions!$A$41:$B$43,2,0)</f>
        <v>60</v>
      </c>
      <c r="Q618" s="22" t="n">
        <f aca="false">L618*Assumptions!$B$7+M618*Assumptions!$B$8+N618*Assumptions!$B$9+O618*Assumptions!$B$10+P618*Assumptions!$B$11</f>
        <v>61.55375</v>
      </c>
      <c r="R618" s="11" t="str">
        <f aca="false">IF(Q618&lt;=33,"High Risk",IF(Q618&lt;=66,"Medium Risk","Low Risk"))</f>
        <v>Medium Risk</v>
      </c>
    </row>
    <row r="619" customFormat="false" ht="15" hidden="false" customHeight="true" outlineLevel="0" collapsed="false">
      <c r="A619" s="20" t="n">
        <f aca="false">'Raw Data'!A619</f>
        <v>618</v>
      </c>
      <c r="B619" s="20" t="n">
        <f aca="false">'Raw Data'!B619</f>
        <v>37</v>
      </c>
      <c r="C619" s="20" t="str">
        <f aca="false">'Raw Data'!C619</f>
        <v>male</v>
      </c>
      <c r="D619" s="20" t="n">
        <f aca="false">'Raw Data'!D619</f>
        <v>2</v>
      </c>
      <c r="E619" s="20" t="str">
        <f aca="false">'Raw Data'!E619</f>
        <v>rent</v>
      </c>
      <c r="F619" s="20" t="str">
        <f aca="false">'Raw Data'!F619</f>
        <v>little</v>
      </c>
      <c r="G619" s="20" t="str">
        <f aca="false">'Raw Data'!G619</f>
        <v>little</v>
      </c>
      <c r="H619" s="20" t="n">
        <f aca="false">'Raw Data'!H619</f>
        <v>3676</v>
      </c>
      <c r="I619" s="20" t="n">
        <f aca="false">'Raw Data'!I619</f>
        <v>6</v>
      </c>
      <c r="J619" s="20" t="str">
        <f aca="false">'Raw Data'!J619</f>
        <v>car</v>
      </c>
      <c r="K619" s="21" t="n">
        <f aca="false">H619/I619</f>
        <v>612.666666666667</v>
      </c>
      <c r="L619" s="21" t="n">
        <f aca="false">100-MIN(K619/Assumptions!$B$14,1)*100</f>
        <v>0</v>
      </c>
      <c r="M619" s="21" t="n">
        <f aca="false">VLOOKUP(F619,Assumptions!$A$19:$B$23,2,0)</f>
        <v>25</v>
      </c>
      <c r="N619" s="21" t="n">
        <f aca="false">VLOOKUP(G619,Assumptions!$A$27:$B$30,2,0)</f>
        <v>25</v>
      </c>
      <c r="O619" s="21" t="n">
        <f aca="false">VLOOKUP(D619,Assumptions!$A$34:$B$37,2,0)</f>
        <v>66</v>
      </c>
      <c r="P619" s="21" t="n">
        <f aca="false">VLOOKUP(E619,Assumptions!$A$41:$B$43,2,0)</f>
        <v>30</v>
      </c>
      <c r="Q619" s="22" t="n">
        <f aca="false">L619*Assumptions!$B$7+M619*Assumptions!$B$8+N619*Assumptions!$B$9+O619*Assumptions!$B$10+P619*Assumptions!$B$11</f>
        <v>24.15</v>
      </c>
      <c r="R619" s="11" t="str">
        <f aca="false">IF(Q619&lt;=33,"High Risk",IF(Q619&lt;=66,"Medium Risk","Low Risk"))</f>
        <v>High Risk</v>
      </c>
    </row>
    <row r="620" customFormat="false" ht="15" hidden="false" customHeight="true" outlineLevel="0" collapsed="false">
      <c r="A620" s="20" t="n">
        <f aca="false">'Raw Data'!A620</f>
        <v>619</v>
      </c>
      <c r="B620" s="20" t="n">
        <f aca="false">'Raw Data'!B620</f>
        <v>21</v>
      </c>
      <c r="C620" s="20" t="str">
        <f aca="false">'Raw Data'!C620</f>
        <v>female</v>
      </c>
      <c r="D620" s="20" t="n">
        <f aca="false">'Raw Data'!D620</f>
        <v>2</v>
      </c>
      <c r="E620" s="20" t="str">
        <f aca="false">'Raw Data'!E620</f>
        <v>rent</v>
      </c>
      <c r="F620" s="20" t="str">
        <f aca="false">'Raw Data'!F620</f>
        <v>moderate</v>
      </c>
      <c r="G620" s="20" t="str">
        <f aca="false">'Raw Data'!G620</f>
        <v>moderate</v>
      </c>
      <c r="H620" s="20" t="n">
        <f aca="false">'Raw Data'!H620</f>
        <v>3441</v>
      </c>
      <c r="I620" s="20" t="n">
        <f aca="false">'Raw Data'!I620</f>
        <v>30</v>
      </c>
      <c r="J620" s="20" t="str">
        <f aca="false">'Raw Data'!J620</f>
        <v>furniture/equipment</v>
      </c>
      <c r="K620" s="21" t="n">
        <f aca="false">H620/I620</f>
        <v>114.7</v>
      </c>
      <c r="L620" s="21" t="n">
        <f aca="false">100-MIN(K620/Assumptions!$B$14,1)*100</f>
        <v>71.325</v>
      </c>
      <c r="M620" s="21" t="n">
        <f aca="false">VLOOKUP(F620,Assumptions!$A$19:$B$23,2,0)</f>
        <v>50</v>
      </c>
      <c r="N620" s="21" t="n">
        <f aca="false">VLOOKUP(G620,Assumptions!$A$27:$B$30,2,0)</f>
        <v>60</v>
      </c>
      <c r="O620" s="21" t="n">
        <f aca="false">VLOOKUP(D620,Assumptions!$A$34:$B$37,2,0)</f>
        <v>66</v>
      </c>
      <c r="P620" s="21" t="n">
        <f aca="false">VLOOKUP(E620,Assumptions!$A$41:$B$43,2,0)</f>
        <v>30</v>
      </c>
      <c r="Q620" s="22" t="n">
        <f aca="false">L620*Assumptions!$B$7+M620*Assumptions!$B$8+N620*Assumptions!$B$9+O620*Assumptions!$B$10+P620*Assumptions!$B$11</f>
        <v>58.7975</v>
      </c>
      <c r="R620" s="11" t="str">
        <f aca="false">IF(Q620&lt;=33,"High Risk",IF(Q620&lt;=66,"Medium Risk","Low Risk"))</f>
        <v>Medium Risk</v>
      </c>
    </row>
    <row r="621" customFormat="false" ht="15" hidden="false" customHeight="true" outlineLevel="0" collapsed="false">
      <c r="A621" s="20" t="n">
        <f aca="false">'Raw Data'!A621</f>
        <v>620</v>
      </c>
      <c r="B621" s="20" t="n">
        <f aca="false">'Raw Data'!B621</f>
        <v>49</v>
      </c>
      <c r="C621" s="20" t="str">
        <f aca="false">'Raw Data'!C621</f>
        <v>male</v>
      </c>
      <c r="D621" s="20" t="n">
        <f aca="false">'Raw Data'!D621</f>
        <v>1</v>
      </c>
      <c r="E621" s="20" t="str">
        <f aca="false">'Raw Data'!E621</f>
        <v>own</v>
      </c>
      <c r="F621" s="20" t="str">
        <f aca="false">'Raw Data'!F621</f>
        <v>little</v>
      </c>
      <c r="G621" s="20" t="str">
        <f aca="false">'Raw Data'!G621</f>
        <v>none</v>
      </c>
      <c r="H621" s="20" t="n">
        <f aca="false">'Raw Data'!H621</f>
        <v>640</v>
      </c>
      <c r="I621" s="20" t="n">
        <f aca="false">'Raw Data'!I621</f>
        <v>12</v>
      </c>
      <c r="J621" s="20" t="str">
        <f aca="false">'Raw Data'!J621</f>
        <v>car</v>
      </c>
      <c r="K621" s="21" t="n">
        <f aca="false">H621/I621</f>
        <v>53.3333333333333</v>
      </c>
      <c r="L621" s="21" t="n">
        <f aca="false">100-MIN(K621/Assumptions!$B$14,1)*100</f>
        <v>86.6666666666667</v>
      </c>
      <c r="M621" s="21" t="n">
        <f aca="false">VLOOKUP(F621,Assumptions!$A$19:$B$23,2,0)</f>
        <v>25</v>
      </c>
      <c r="N621" s="21" t="n">
        <f aca="false">VLOOKUP(G621,Assumptions!$A$27:$B$30,2,0)</f>
        <v>50</v>
      </c>
      <c r="O621" s="21" t="n">
        <f aca="false">VLOOKUP(D621,Assumptions!$A$34:$B$37,2,0)</f>
        <v>33</v>
      </c>
      <c r="P621" s="21" t="n">
        <f aca="false">VLOOKUP(E621,Assumptions!$A$41:$B$43,2,0)</f>
        <v>100</v>
      </c>
      <c r="Q621" s="22" t="n">
        <f aca="false">L621*Assumptions!$B$7+M621*Assumptions!$B$8+N621*Assumptions!$B$9+O621*Assumptions!$B$10+P621*Assumptions!$B$11</f>
        <v>57.2</v>
      </c>
      <c r="R621" s="11" t="str">
        <f aca="false">IF(Q621&lt;=33,"High Risk",IF(Q621&lt;=66,"Medium Risk","Low Risk"))</f>
        <v>Medium Risk</v>
      </c>
    </row>
    <row r="622" customFormat="false" ht="15" hidden="false" customHeight="true" outlineLevel="0" collapsed="false">
      <c r="A622" s="20" t="n">
        <f aca="false">'Raw Data'!A622</f>
        <v>621</v>
      </c>
      <c r="B622" s="20" t="n">
        <f aca="false">'Raw Data'!B622</f>
        <v>27</v>
      </c>
      <c r="C622" s="20" t="str">
        <f aca="false">'Raw Data'!C622</f>
        <v>male</v>
      </c>
      <c r="D622" s="20" t="n">
        <f aca="false">'Raw Data'!D622</f>
        <v>2</v>
      </c>
      <c r="E622" s="20" t="str">
        <f aca="false">'Raw Data'!E622</f>
        <v>own</v>
      </c>
      <c r="F622" s="20" t="str">
        <f aca="false">'Raw Data'!F622</f>
        <v>little</v>
      </c>
      <c r="G622" s="20" t="str">
        <f aca="false">'Raw Data'!G622</f>
        <v>moderate</v>
      </c>
      <c r="H622" s="20" t="n">
        <f aca="false">'Raw Data'!H622</f>
        <v>3652</v>
      </c>
      <c r="I622" s="20" t="n">
        <f aca="false">'Raw Data'!I622</f>
        <v>21</v>
      </c>
      <c r="J622" s="20" t="str">
        <f aca="false">'Raw Data'!J622</f>
        <v>business</v>
      </c>
      <c r="K622" s="21" t="n">
        <f aca="false">H622/I622</f>
        <v>173.904761904762</v>
      </c>
      <c r="L622" s="21" t="n">
        <f aca="false">100-MIN(K622/Assumptions!$B$14,1)*100</f>
        <v>56.5238095238095</v>
      </c>
      <c r="M622" s="21" t="n">
        <f aca="false">VLOOKUP(F622,Assumptions!$A$19:$B$23,2,0)</f>
        <v>25</v>
      </c>
      <c r="N622" s="21" t="n">
        <f aca="false">VLOOKUP(G622,Assumptions!$A$27:$B$30,2,0)</f>
        <v>60</v>
      </c>
      <c r="O622" s="21" t="n">
        <f aca="false">VLOOKUP(D622,Assumptions!$A$34:$B$37,2,0)</f>
        <v>66</v>
      </c>
      <c r="P622" s="21" t="n">
        <f aca="false">VLOOKUP(E622,Assumptions!$A$41:$B$43,2,0)</f>
        <v>100</v>
      </c>
      <c r="Q622" s="22" t="n">
        <f aca="false">L622*Assumptions!$B$7+M622*Assumptions!$B$8+N622*Assumptions!$B$9+O622*Assumptions!$B$10+P622*Assumptions!$B$11</f>
        <v>55.1071428571429</v>
      </c>
      <c r="R622" s="11" t="str">
        <f aca="false">IF(Q622&lt;=33,"High Risk",IF(Q622&lt;=66,"Medium Risk","Low Risk"))</f>
        <v>Medium Risk</v>
      </c>
    </row>
    <row r="623" customFormat="false" ht="15" hidden="false" customHeight="true" outlineLevel="0" collapsed="false">
      <c r="A623" s="20" t="n">
        <f aca="false">'Raw Data'!A623</f>
        <v>622</v>
      </c>
      <c r="B623" s="20" t="n">
        <f aca="false">'Raw Data'!B623</f>
        <v>32</v>
      </c>
      <c r="C623" s="20" t="str">
        <f aca="false">'Raw Data'!C623</f>
        <v>male</v>
      </c>
      <c r="D623" s="20" t="n">
        <f aca="false">'Raw Data'!D623</f>
        <v>2</v>
      </c>
      <c r="E623" s="20" t="str">
        <f aca="false">'Raw Data'!E623</f>
        <v>own</v>
      </c>
      <c r="F623" s="20" t="str">
        <f aca="false">'Raw Data'!F623</f>
        <v>little</v>
      </c>
      <c r="G623" s="20" t="str">
        <f aca="false">'Raw Data'!G623</f>
        <v>none</v>
      </c>
      <c r="H623" s="20" t="n">
        <f aca="false">'Raw Data'!H623</f>
        <v>1530</v>
      </c>
      <c r="I623" s="20" t="n">
        <f aca="false">'Raw Data'!I623</f>
        <v>18</v>
      </c>
      <c r="J623" s="20" t="str">
        <f aca="false">'Raw Data'!J623</f>
        <v>car</v>
      </c>
      <c r="K623" s="21" t="n">
        <f aca="false">H623/I623</f>
        <v>85</v>
      </c>
      <c r="L623" s="21" t="n">
        <f aca="false">100-MIN(K623/Assumptions!$B$14,1)*100</f>
        <v>78.75</v>
      </c>
      <c r="M623" s="21" t="n">
        <f aca="false">VLOOKUP(F623,Assumptions!$A$19:$B$23,2,0)</f>
        <v>25</v>
      </c>
      <c r="N623" s="21" t="n">
        <f aca="false">VLOOKUP(G623,Assumptions!$A$27:$B$30,2,0)</f>
        <v>50</v>
      </c>
      <c r="O623" s="21" t="n">
        <f aca="false">VLOOKUP(D623,Assumptions!$A$34:$B$37,2,0)</f>
        <v>66</v>
      </c>
      <c r="P623" s="21" t="n">
        <f aca="false">VLOOKUP(E623,Assumptions!$A$41:$B$43,2,0)</f>
        <v>100</v>
      </c>
      <c r="Q623" s="22" t="n">
        <f aca="false">L623*Assumptions!$B$7+M623*Assumptions!$B$8+N623*Assumptions!$B$9+O623*Assumptions!$B$10+P623*Assumptions!$B$11</f>
        <v>59.775</v>
      </c>
      <c r="R623" s="11" t="str">
        <f aca="false">IF(Q623&lt;=33,"High Risk",IF(Q623&lt;=66,"Medium Risk","Low Risk"))</f>
        <v>Medium Risk</v>
      </c>
    </row>
    <row r="624" customFormat="false" ht="15" hidden="false" customHeight="true" outlineLevel="0" collapsed="false">
      <c r="A624" s="20" t="n">
        <f aca="false">'Raw Data'!A624</f>
        <v>623</v>
      </c>
      <c r="B624" s="20" t="n">
        <f aca="false">'Raw Data'!B624</f>
        <v>38</v>
      </c>
      <c r="C624" s="20" t="str">
        <f aca="false">'Raw Data'!C624</f>
        <v>male</v>
      </c>
      <c r="D624" s="20" t="n">
        <f aca="false">'Raw Data'!D624</f>
        <v>2</v>
      </c>
      <c r="E624" s="20" t="str">
        <f aca="false">'Raw Data'!E624</f>
        <v>own</v>
      </c>
      <c r="F624" s="20" t="str">
        <f aca="false">'Raw Data'!F624</f>
        <v>none</v>
      </c>
      <c r="G624" s="20" t="str">
        <f aca="false">'Raw Data'!G624</f>
        <v>none</v>
      </c>
      <c r="H624" s="20" t="n">
        <f aca="false">'Raw Data'!H624</f>
        <v>3914</v>
      </c>
      <c r="I624" s="20" t="n">
        <f aca="false">'Raw Data'!I624</f>
        <v>48</v>
      </c>
      <c r="J624" s="20" t="str">
        <f aca="false">'Raw Data'!J624</f>
        <v>business</v>
      </c>
      <c r="K624" s="21" t="n">
        <f aca="false">H624/I624</f>
        <v>81.5416666666667</v>
      </c>
      <c r="L624" s="21" t="n">
        <f aca="false">100-MIN(K624/Assumptions!$B$14,1)*100</f>
        <v>79.6145833333333</v>
      </c>
      <c r="M624" s="21" t="n">
        <f aca="false">VLOOKUP(F624,Assumptions!$A$19:$B$23,2,0)</f>
        <v>40</v>
      </c>
      <c r="N624" s="21" t="n">
        <f aca="false">VLOOKUP(G624,Assumptions!$A$27:$B$30,2,0)</f>
        <v>50</v>
      </c>
      <c r="O624" s="21" t="n">
        <f aca="false">VLOOKUP(D624,Assumptions!$A$34:$B$37,2,0)</f>
        <v>66</v>
      </c>
      <c r="P624" s="21" t="n">
        <f aca="false">VLOOKUP(E624,Assumptions!$A$41:$B$43,2,0)</f>
        <v>100</v>
      </c>
      <c r="Q624" s="22" t="n">
        <f aca="false">L624*Assumptions!$B$7+M624*Assumptions!$B$8+N624*Assumptions!$B$9+O624*Assumptions!$B$10+P624*Assumptions!$B$11</f>
        <v>63.784375</v>
      </c>
      <c r="R624" s="11" t="str">
        <f aca="false">IF(Q624&lt;=33,"High Risk",IF(Q624&lt;=66,"Medium Risk","Low Risk"))</f>
        <v>Medium Risk</v>
      </c>
    </row>
    <row r="625" customFormat="false" ht="15" hidden="false" customHeight="true" outlineLevel="0" collapsed="false">
      <c r="A625" s="20" t="n">
        <f aca="false">'Raw Data'!A625</f>
        <v>624</v>
      </c>
      <c r="B625" s="20" t="n">
        <f aca="false">'Raw Data'!B625</f>
        <v>22</v>
      </c>
      <c r="C625" s="20" t="str">
        <f aca="false">'Raw Data'!C625</f>
        <v>female</v>
      </c>
      <c r="D625" s="20" t="n">
        <f aca="false">'Raw Data'!D625</f>
        <v>2</v>
      </c>
      <c r="E625" s="20" t="str">
        <f aca="false">'Raw Data'!E625</f>
        <v>rent</v>
      </c>
      <c r="F625" s="20" t="str">
        <f aca="false">'Raw Data'!F625</f>
        <v>little</v>
      </c>
      <c r="G625" s="20" t="str">
        <f aca="false">'Raw Data'!G625</f>
        <v>little</v>
      </c>
      <c r="H625" s="20" t="n">
        <f aca="false">'Raw Data'!H625</f>
        <v>1858</v>
      </c>
      <c r="I625" s="20" t="n">
        <f aca="false">'Raw Data'!I625</f>
        <v>12</v>
      </c>
      <c r="J625" s="20" t="str">
        <f aca="false">'Raw Data'!J625</f>
        <v>furniture/equipment</v>
      </c>
      <c r="K625" s="21" t="n">
        <f aca="false">H625/I625</f>
        <v>154.833333333333</v>
      </c>
      <c r="L625" s="21" t="n">
        <f aca="false">100-MIN(K625/Assumptions!$B$14,1)*100</f>
        <v>61.2916666666667</v>
      </c>
      <c r="M625" s="21" t="n">
        <f aca="false">VLOOKUP(F625,Assumptions!$A$19:$B$23,2,0)</f>
        <v>25</v>
      </c>
      <c r="N625" s="21" t="n">
        <f aca="false">VLOOKUP(G625,Assumptions!$A$27:$B$30,2,0)</f>
        <v>25</v>
      </c>
      <c r="O625" s="21" t="n">
        <f aca="false">VLOOKUP(D625,Assumptions!$A$34:$B$37,2,0)</f>
        <v>66</v>
      </c>
      <c r="P625" s="21" t="n">
        <f aca="false">VLOOKUP(E625,Assumptions!$A$41:$B$43,2,0)</f>
        <v>30</v>
      </c>
      <c r="Q625" s="22" t="n">
        <f aca="false">L625*Assumptions!$B$7+M625*Assumptions!$B$8+N625*Assumptions!$B$9+O625*Assumptions!$B$10+P625*Assumptions!$B$11</f>
        <v>42.5375</v>
      </c>
      <c r="R625" s="11" t="str">
        <f aca="false">IF(Q625&lt;=33,"High Risk",IF(Q625&lt;=66,"Medium Risk","Low Risk"))</f>
        <v>Medium Risk</v>
      </c>
    </row>
    <row r="626" customFormat="false" ht="15" hidden="false" customHeight="true" outlineLevel="0" collapsed="false">
      <c r="A626" s="20" t="n">
        <f aca="false">'Raw Data'!A626</f>
        <v>625</v>
      </c>
      <c r="B626" s="20" t="n">
        <f aca="false">'Raw Data'!B626</f>
        <v>65</v>
      </c>
      <c r="C626" s="20" t="str">
        <f aca="false">'Raw Data'!C626</f>
        <v>male</v>
      </c>
      <c r="D626" s="20" t="n">
        <f aca="false">'Raw Data'!D626</f>
        <v>2</v>
      </c>
      <c r="E626" s="20" t="str">
        <f aca="false">'Raw Data'!E626</f>
        <v>free</v>
      </c>
      <c r="F626" s="20" t="str">
        <f aca="false">'Raw Data'!F626</f>
        <v>little</v>
      </c>
      <c r="G626" s="20" t="str">
        <f aca="false">'Raw Data'!G626</f>
        <v>little</v>
      </c>
      <c r="H626" s="20" t="n">
        <f aca="false">'Raw Data'!H626</f>
        <v>2600</v>
      </c>
      <c r="I626" s="20" t="n">
        <f aca="false">'Raw Data'!I626</f>
        <v>18</v>
      </c>
      <c r="J626" s="20" t="str">
        <f aca="false">'Raw Data'!J626</f>
        <v>radio/TV</v>
      </c>
      <c r="K626" s="21" t="n">
        <f aca="false">H626/I626</f>
        <v>144.444444444444</v>
      </c>
      <c r="L626" s="21" t="n">
        <f aca="false">100-MIN(K626/Assumptions!$B$14,1)*100</f>
        <v>63.8888888888889</v>
      </c>
      <c r="M626" s="21" t="n">
        <f aca="false">VLOOKUP(F626,Assumptions!$A$19:$B$23,2,0)</f>
        <v>25</v>
      </c>
      <c r="N626" s="21" t="n">
        <f aca="false">VLOOKUP(G626,Assumptions!$A$27:$B$30,2,0)</f>
        <v>25</v>
      </c>
      <c r="O626" s="21" t="n">
        <f aca="false">VLOOKUP(D626,Assumptions!$A$34:$B$37,2,0)</f>
        <v>66</v>
      </c>
      <c r="P626" s="21" t="n">
        <f aca="false">VLOOKUP(E626,Assumptions!$A$41:$B$43,2,0)</f>
        <v>60</v>
      </c>
      <c r="Q626" s="22" t="n">
        <f aca="false">L626*Assumptions!$B$7+M626*Assumptions!$B$8+N626*Assumptions!$B$9+O626*Assumptions!$B$10+P626*Assumptions!$B$11</f>
        <v>46.3166666666667</v>
      </c>
      <c r="R626" s="11" t="str">
        <f aca="false">IF(Q626&lt;=33,"High Risk",IF(Q626&lt;=66,"Medium Risk","Low Risk"))</f>
        <v>Medium Risk</v>
      </c>
    </row>
    <row r="627" customFormat="false" ht="15" hidden="false" customHeight="true" outlineLevel="0" collapsed="false">
      <c r="A627" s="20" t="n">
        <f aca="false">'Raw Data'!A627</f>
        <v>626</v>
      </c>
      <c r="B627" s="20" t="n">
        <f aca="false">'Raw Data'!B627</f>
        <v>35</v>
      </c>
      <c r="C627" s="20" t="str">
        <f aca="false">'Raw Data'!C627</f>
        <v>male</v>
      </c>
      <c r="D627" s="20" t="n">
        <f aca="false">'Raw Data'!D627</f>
        <v>2</v>
      </c>
      <c r="E627" s="20" t="str">
        <f aca="false">'Raw Data'!E627</f>
        <v>own</v>
      </c>
      <c r="F627" s="20" t="str">
        <f aca="false">'Raw Data'!F627</f>
        <v>none</v>
      </c>
      <c r="G627" s="20" t="str">
        <f aca="false">'Raw Data'!G627</f>
        <v>none</v>
      </c>
      <c r="H627" s="20" t="n">
        <f aca="false">'Raw Data'!H627</f>
        <v>1979</v>
      </c>
      <c r="I627" s="20" t="n">
        <f aca="false">'Raw Data'!I627</f>
        <v>15</v>
      </c>
      <c r="J627" s="20" t="str">
        <f aca="false">'Raw Data'!J627</f>
        <v>radio/TV</v>
      </c>
      <c r="K627" s="21" t="n">
        <f aca="false">H627/I627</f>
        <v>131.933333333333</v>
      </c>
      <c r="L627" s="21" t="n">
        <f aca="false">100-MIN(K627/Assumptions!$B$14,1)*100</f>
        <v>67.0166666666667</v>
      </c>
      <c r="M627" s="21" t="n">
        <f aca="false">VLOOKUP(F627,Assumptions!$A$19:$B$23,2,0)</f>
        <v>40</v>
      </c>
      <c r="N627" s="21" t="n">
        <f aca="false">VLOOKUP(G627,Assumptions!$A$27:$B$30,2,0)</f>
        <v>50</v>
      </c>
      <c r="O627" s="21" t="n">
        <f aca="false">VLOOKUP(D627,Assumptions!$A$34:$B$37,2,0)</f>
        <v>66</v>
      </c>
      <c r="P627" s="21" t="n">
        <f aca="false">VLOOKUP(E627,Assumptions!$A$41:$B$43,2,0)</f>
        <v>100</v>
      </c>
      <c r="Q627" s="22" t="n">
        <f aca="false">L627*Assumptions!$B$7+M627*Assumptions!$B$8+N627*Assumptions!$B$9+O627*Assumptions!$B$10+P627*Assumptions!$B$11</f>
        <v>60.005</v>
      </c>
      <c r="R627" s="11" t="str">
        <f aca="false">IF(Q627&lt;=33,"High Risk",IF(Q627&lt;=66,"Medium Risk","Low Risk"))</f>
        <v>Medium Risk</v>
      </c>
    </row>
    <row r="628" customFormat="false" ht="15" hidden="false" customHeight="true" outlineLevel="0" collapsed="false">
      <c r="A628" s="20" t="n">
        <f aca="false">'Raw Data'!A628</f>
        <v>627</v>
      </c>
      <c r="B628" s="20" t="n">
        <f aca="false">'Raw Data'!B628</f>
        <v>41</v>
      </c>
      <c r="C628" s="20" t="str">
        <f aca="false">'Raw Data'!C628</f>
        <v>male</v>
      </c>
      <c r="D628" s="20" t="n">
        <f aca="false">'Raw Data'!D628</f>
        <v>2</v>
      </c>
      <c r="E628" s="20" t="str">
        <f aca="false">'Raw Data'!E628</f>
        <v>own</v>
      </c>
      <c r="F628" s="20" t="str">
        <f aca="false">'Raw Data'!F628</f>
        <v>little</v>
      </c>
      <c r="G628" s="20" t="str">
        <f aca="false">'Raw Data'!G628</f>
        <v>rich</v>
      </c>
      <c r="H628" s="20" t="n">
        <f aca="false">'Raw Data'!H628</f>
        <v>2116</v>
      </c>
      <c r="I628" s="20" t="n">
        <f aca="false">'Raw Data'!I628</f>
        <v>6</v>
      </c>
      <c r="J628" s="20" t="str">
        <f aca="false">'Raw Data'!J628</f>
        <v>furniture/equipment</v>
      </c>
      <c r="K628" s="21" t="n">
        <f aca="false">H628/I628</f>
        <v>352.666666666667</v>
      </c>
      <c r="L628" s="21" t="n">
        <f aca="false">100-MIN(K628/Assumptions!$B$14,1)*100</f>
        <v>11.8333333333333</v>
      </c>
      <c r="M628" s="21" t="n">
        <f aca="false">VLOOKUP(F628,Assumptions!$A$19:$B$23,2,0)</f>
        <v>25</v>
      </c>
      <c r="N628" s="21" t="n">
        <f aca="false">VLOOKUP(G628,Assumptions!$A$27:$B$30,2,0)</f>
        <v>100</v>
      </c>
      <c r="O628" s="21" t="n">
        <f aca="false">VLOOKUP(D628,Assumptions!$A$34:$B$37,2,0)</f>
        <v>66</v>
      </c>
      <c r="P628" s="21" t="n">
        <f aca="false">VLOOKUP(E628,Assumptions!$A$41:$B$43,2,0)</f>
        <v>100</v>
      </c>
      <c r="Q628" s="22" t="n">
        <f aca="false">L628*Assumptions!$B$7+M628*Assumptions!$B$8+N628*Assumptions!$B$9+O628*Assumptions!$B$10+P628*Assumptions!$B$11</f>
        <v>49.7</v>
      </c>
      <c r="R628" s="11" t="str">
        <f aca="false">IF(Q628&lt;=33,"High Risk",IF(Q628&lt;=66,"Medium Risk","Low Risk"))</f>
        <v>Medium Risk</v>
      </c>
    </row>
    <row r="629" customFormat="false" ht="15" hidden="false" customHeight="true" outlineLevel="0" collapsed="false">
      <c r="A629" s="20" t="n">
        <f aca="false">'Raw Data'!A629</f>
        <v>628</v>
      </c>
      <c r="B629" s="20" t="n">
        <f aca="false">'Raw Data'!B629</f>
        <v>29</v>
      </c>
      <c r="C629" s="20" t="str">
        <f aca="false">'Raw Data'!C629</f>
        <v>male</v>
      </c>
      <c r="D629" s="20" t="n">
        <f aca="false">'Raw Data'!D629</f>
        <v>2</v>
      </c>
      <c r="E629" s="20" t="str">
        <f aca="false">'Raw Data'!E629</f>
        <v>own</v>
      </c>
      <c r="F629" s="20" t="str">
        <f aca="false">'Raw Data'!F629</f>
        <v>moderate</v>
      </c>
      <c r="G629" s="20" t="str">
        <f aca="false">'Raw Data'!G629</f>
        <v>moderate</v>
      </c>
      <c r="H629" s="20" t="n">
        <f aca="false">'Raw Data'!H629</f>
        <v>1437</v>
      </c>
      <c r="I629" s="20" t="n">
        <f aca="false">'Raw Data'!I629</f>
        <v>9</v>
      </c>
      <c r="J629" s="20" t="str">
        <f aca="false">'Raw Data'!J629</f>
        <v>car</v>
      </c>
      <c r="K629" s="21" t="n">
        <f aca="false">H629/I629</f>
        <v>159.666666666667</v>
      </c>
      <c r="L629" s="21" t="n">
        <f aca="false">100-MIN(K629/Assumptions!$B$14,1)*100</f>
        <v>60.0833333333333</v>
      </c>
      <c r="M629" s="21" t="n">
        <f aca="false">VLOOKUP(F629,Assumptions!$A$19:$B$23,2,0)</f>
        <v>50</v>
      </c>
      <c r="N629" s="21" t="n">
        <f aca="false">VLOOKUP(G629,Assumptions!$A$27:$B$30,2,0)</f>
        <v>60</v>
      </c>
      <c r="O629" s="21" t="n">
        <f aca="false">VLOOKUP(D629,Assumptions!$A$34:$B$37,2,0)</f>
        <v>66</v>
      </c>
      <c r="P629" s="21" t="n">
        <f aca="false">VLOOKUP(E629,Assumptions!$A$41:$B$43,2,0)</f>
        <v>100</v>
      </c>
      <c r="Q629" s="22" t="n">
        <f aca="false">L629*Assumptions!$B$7+M629*Assumptions!$B$8+N629*Assumptions!$B$9+O629*Assumptions!$B$10+P629*Assumptions!$B$11</f>
        <v>62.425</v>
      </c>
      <c r="R629" s="11" t="str">
        <f aca="false">IF(Q629&lt;=33,"High Risk",IF(Q629&lt;=66,"Medium Risk","Low Risk"))</f>
        <v>Medium Risk</v>
      </c>
    </row>
    <row r="630" customFormat="false" ht="15" hidden="false" customHeight="true" outlineLevel="0" collapsed="false">
      <c r="A630" s="20" t="n">
        <f aca="false">'Raw Data'!A630</f>
        <v>629</v>
      </c>
      <c r="B630" s="20" t="n">
        <f aca="false">'Raw Data'!B630</f>
        <v>36</v>
      </c>
      <c r="C630" s="20" t="str">
        <f aca="false">'Raw Data'!C630</f>
        <v>male</v>
      </c>
      <c r="D630" s="20" t="n">
        <f aca="false">'Raw Data'!D630</f>
        <v>2</v>
      </c>
      <c r="E630" s="20" t="str">
        <f aca="false">'Raw Data'!E630</f>
        <v>own</v>
      </c>
      <c r="F630" s="20" t="str">
        <f aca="false">'Raw Data'!F630</f>
        <v>quite rich</v>
      </c>
      <c r="G630" s="20" t="str">
        <f aca="false">'Raw Data'!G630</f>
        <v>none</v>
      </c>
      <c r="H630" s="20" t="n">
        <f aca="false">'Raw Data'!H630</f>
        <v>4042</v>
      </c>
      <c r="I630" s="20" t="n">
        <f aca="false">'Raw Data'!I630</f>
        <v>42</v>
      </c>
      <c r="J630" s="20" t="str">
        <f aca="false">'Raw Data'!J630</f>
        <v>furniture/equipment</v>
      </c>
      <c r="K630" s="21" t="n">
        <f aca="false">H630/I630</f>
        <v>96.2380952380952</v>
      </c>
      <c r="L630" s="21" t="n">
        <f aca="false">100-MIN(K630/Assumptions!$B$14,1)*100</f>
        <v>75.9404761904762</v>
      </c>
      <c r="M630" s="21" t="n">
        <f aca="false">VLOOKUP(F630,Assumptions!$A$19:$B$23,2,0)</f>
        <v>75</v>
      </c>
      <c r="N630" s="21" t="n">
        <f aca="false">VLOOKUP(G630,Assumptions!$A$27:$B$30,2,0)</f>
        <v>50</v>
      </c>
      <c r="O630" s="21" t="n">
        <f aca="false">VLOOKUP(D630,Assumptions!$A$34:$B$37,2,0)</f>
        <v>66</v>
      </c>
      <c r="P630" s="21" t="n">
        <f aca="false">VLOOKUP(E630,Assumptions!$A$41:$B$43,2,0)</f>
        <v>100</v>
      </c>
      <c r="Q630" s="22" t="n">
        <f aca="false">L630*Assumptions!$B$7+M630*Assumptions!$B$8+N630*Assumptions!$B$9+O630*Assumptions!$B$10+P630*Assumptions!$B$11</f>
        <v>71.4321428571429</v>
      </c>
      <c r="R630" s="11" t="str">
        <f aca="false">IF(Q630&lt;=33,"High Risk",IF(Q630&lt;=66,"Medium Risk","Low Risk"))</f>
        <v>Low Risk</v>
      </c>
    </row>
    <row r="631" customFormat="false" ht="15" hidden="false" customHeight="true" outlineLevel="0" collapsed="false">
      <c r="A631" s="20" t="n">
        <f aca="false">'Raw Data'!A631</f>
        <v>630</v>
      </c>
      <c r="B631" s="20" t="n">
        <f aca="false">'Raw Data'!B631</f>
        <v>64</v>
      </c>
      <c r="C631" s="20" t="str">
        <f aca="false">'Raw Data'!C631</f>
        <v>male</v>
      </c>
      <c r="D631" s="20" t="n">
        <f aca="false">'Raw Data'!D631</f>
        <v>1</v>
      </c>
      <c r="E631" s="20" t="str">
        <f aca="false">'Raw Data'!E631</f>
        <v>own</v>
      </c>
      <c r="F631" s="20" t="str">
        <f aca="false">'Raw Data'!F631</f>
        <v>none</v>
      </c>
      <c r="G631" s="20" t="str">
        <f aca="false">'Raw Data'!G631</f>
        <v>none</v>
      </c>
      <c r="H631" s="20" t="n">
        <f aca="false">'Raw Data'!H631</f>
        <v>3832</v>
      </c>
      <c r="I631" s="20" t="n">
        <f aca="false">'Raw Data'!I631</f>
        <v>9</v>
      </c>
      <c r="J631" s="20" t="str">
        <f aca="false">'Raw Data'!J631</f>
        <v>education</v>
      </c>
      <c r="K631" s="21" t="n">
        <f aca="false">H631/I631</f>
        <v>425.777777777778</v>
      </c>
      <c r="L631" s="21" t="n">
        <f aca="false">100-MIN(K631/Assumptions!$B$14,1)*100</f>
        <v>0</v>
      </c>
      <c r="M631" s="21" t="n">
        <f aca="false">VLOOKUP(F631,Assumptions!$A$19:$B$23,2,0)</f>
        <v>40</v>
      </c>
      <c r="N631" s="21" t="n">
        <f aca="false">VLOOKUP(G631,Assumptions!$A$27:$B$30,2,0)</f>
        <v>50</v>
      </c>
      <c r="O631" s="21" t="n">
        <f aca="false">VLOOKUP(D631,Assumptions!$A$34:$B$37,2,0)</f>
        <v>33</v>
      </c>
      <c r="P631" s="21" t="n">
        <f aca="false">VLOOKUP(E631,Assumptions!$A$41:$B$43,2,0)</f>
        <v>100</v>
      </c>
      <c r="Q631" s="22" t="n">
        <f aca="false">L631*Assumptions!$B$7+M631*Assumptions!$B$8+N631*Assumptions!$B$9+O631*Assumptions!$B$10+P631*Assumptions!$B$11</f>
        <v>34.95</v>
      </c>
      <c r="R631" s="11" t="str">
        <f aca="false">IF(Q631&lt;=33,"High Risk",IF(Q631&lt;=66,"Medium Risk","Low Risk"))</f>
        <v>Medium Risk</v>
      </c>
    </row>
    <row r="632" customFormat="false" ht="15" hidden="false" customHeight="true" outlineLevel="0" collapsed="false">
      <c r="A632" s="20" t="n">
        <f aca="false">'Raw Data'!A632</f>
        <v>631</v>
      </c>
      <c r="B632" s="20" t="n">
        <f aca="false">'Raw Data'!B632</f>
        <v>28</v>
      </c>
      <c r="C632" s="20" t="str">
        <f aca="false">'Raw Data'!C632</f>
        <v>female</v>
      </c>
      <c r="D632" s="20" t="n">
        <f aca="false">'Raw Data'!D632</f>
        <v>2</v>
      </c>
      <c r="E632" s="20" t="str">
        <f aca="false">'Raw Data'!E632</f>
        <v>own</v>
      </c>
      <c r="F632" s="20" t="str">
        <f aca="false">'Raw Data'!F632</f>
        <v>little</v>
      </c>
      <c r="G632" s="20" t="str">
        <f aca="false">'Raw Data'!G632</f>
        <v>little</v>
      </c>
      <c r="H632" s="20" t="n">
        <f aca="false">'Raw Data'!H632</f>
        <v>3660</v>
      </c>
      <c r="I632" s="20" t="n">
        <f aca="false">'Raw Data'!I632</f>
        <v>24</v>
      </c>
      <c r="J632" s="20" t="str">
        <f aca="false">'Raw Data'!J632</f>
        <v>radio/TV</v>
      </c>
      <c r="K632" s="21" t="n">
        <f aca="false">H632/I632</f>
        <v>152.5</v>
      </c>
      <c r="L632" s="21" t="n">
        <f aca="false">100-MIN(K632/Assumptions!$B$14,1)*100</f>
        <v>61.875</v>
      </c>
      <c r="M632" s="21" t="n">
        <f aca="false">VLOOKUP(F632,Assumptions!$A$19:$B$23,2,0)</f>
        <v>25</v>
      </c>
      <c r="N632" s="21" t="n">
        <f aca="false">VLOOKUP(G632,Assumptions!$A$27:$B$30,2,0)</f>
        <v>25</v>
      </c>
      <c r="O632" s="21" t="n">
        <f aca="false">VLOOKUP(D632,Assumptions!$A$34:$B$37,2,0)</f>
        <v>66</v>
      </c>
      <c r="P632" s="21" t="n">
        <f aca="false">VLOOKUP(E632,Assumptions!$A$41:$B$43,2,0)</f>
        <v>100</v>
      </c>
      <c r="Q632" s="22" t="n">
        <f aca="false">L632*Assumptions!$B$7+M632*Assumptions!$B$8+N632*Assumptions!$B$9+O632*Assumptions!$B$10+P632*Assumptions!$B$11</f>
        <v>49.7125</v>
      </c>
      <c r="R632" s="11" t="str">
        <f aca="false">IF(Q632&lt;=33,"High Risk",IF(Q632&lt;=66,"Medium Risk","Low Risk"))</f>
        <v>Medium Risk</v>
      </c>
    </row>
    <row r="633" customFormat="false" ht="15" hidden="false" customHeight="true" outlineLevel="0" collapsed="false">
      <c r="A633" s="20" t="n">
        <f aca="false">'Raw Data'!A633</f>
        <v>632</v>
      </c>
      <c r="B633" s="20" t="n">
        <f aca="false">'Raw Data'!B633</f>
        <v>44</v>
      </c>
      <c r="C633" s="20" t="str">
        <f aca="false">'Raw Data'!C633</f>
        <v>male</v>
      </c>
      <c r="D633" s="20" t="n">
        <f aca="false">'Raw Data'!D633</f>
        <v>2</v>
      </c>
      <c r="E633" s="20" t="str">
        <f aca="false">'Raw Data'!E633</f>
        <v>own</v>
      </c>
      <c r="F633" s="20" t="str">
        <f aca="false">'Raw Data'!F633</f>
        <v>little</v>
      </c>
      <c r="G633" s="20" t="str">
        <f aca="false">'Raw Data'!G633</f>
        <v>little</v>
      </c>
      <c r="H633" s="20" t="n">
        <f aca="false">'Raw Data'!H633</f>
        <v>1553</v>
      </c>
      <c r="I633" s="20" t="n">
        <f aca="false">'Raw Data'!I633</f>
        <v>18</v>
      </c>
      <c r="J633" s="20" t="str">
        <f aca="false">'Raw Data'!J633</f>
        <v>furniture/equipment</v>
      </c>
      <c r="K633" s="21" t="n">
        <f aca="false">H633/I633</f>
        <v>86.2777777777778</v>
      </c>
      <c r="L633" s="21" t="n">
        <f aca="false">100-MIN(K633/Assumptions!$B$14,1)*100</f>
        <v>78.4305555555556</v>
      </c>
      <c r="M633" s="21" t="n">
        <f aca="false">VLOOKUP(F633,Assumptions!$A$19:$B$23,2,0)</f>
        <v>25</v>
      </c>
      <c r="N633" s="21" t="n">
        <f aca="false">VLOOKUP(G633,Assumptions!$A$27:$B$30,2,0)</f>
        <v>25</v>
      </c>
      <c r="O633" s="21" t="n">
        <f aca="false">VLOOKUP(D633,Assumptions!$A$34:$B$37,2,0)</f>
        <v>66</v>
      </c>
      <c r="P633" s="21" t="n">
        <f aca="false">VLOOKUP(E633,Assumptions!$A$41:$B$43,2,0)</f>
        <v>100</v>
      </c>
      <c r="Q633" s="22" t="n">
        <f aca="false">L633*Assumptions!$B$7+M633*Assumptions!$B$8+N633*Assumptions!$B$9+O633*Assumptions!$B$10+P633*Assumptions!$B$11</f>
        <v>54.6791666666667</v>
      </c>
      <c r="R633" s="11" t="str">
        <f aca="false">IF(Q633&lt;=33,"High Risk",IF(Q633&lt;=66,"Medium Risk","Low Risk"))</f>
        <v>Medium Risk</v>
      </c>
    </row>
    <row r="634" customFormat="false" ht="15" hidden="false" customHeight="true" outlineLevel="0" collapsed="false">
      <c r="A634" s="20" t="n">
        <f aca="false">'Raw Data'!A634</f>
        <v>633</v>
      </c>
      <c r="B634" s="20" t="n">
        <f aca="false">'Raw Data'!B634</f>
        <v>23</v>
      </c>
      <c r="C634" s="20" t="str">
        <f aca="false">'Raw Data'!C634</f>
        <v>male</v>
      </c>
      <c r="D634" s="20" t="n">
        <f aca="false">'Raw Data'!D634</f>
        <v>2</v>
      </c>
      <c r="E634" s="20" t="str">
        <f aca="false">'Raw Data'!E634</f>
        <v>own</v>
      </c>
      <c r="F634" s="20" t="str">
        <f aca="false">'Raw Data'!F634</f>
        <v>none</v>
      </c>
      <c r="G634" s="20" t="str">
        <f aca="false">'Raw Data'!G634</f>
        <v>moderate</v>
      </c>
      <c r="H634" s="20" t="n">
        <f aca="false">'Raw Data'!H634</f>
        <v>1444</v>
      </c>
      <c r="I634" s="20" t="n">
        <f aca="false">'Raw Data'!I634</f>
        <v>15</v>
      </c>
      <c r="J634" s="20" t="str">
        <f aca="false">'Raw Data'!J634</f>
        <v>radio/TV</v>
      </c>
      <c r="K634" s="21" t="n">
        <f aca="false">H634/I634</f>
        <v>96.2666666666667</v>
      </c>
      <c r="L634" s="21" t="n">
        <f aca="false">100-MIN(K634/Assumptions!$B$14,1)*100</f>
        <v>75.9333333333333</v>
      </c>
      <c r="M634" s="21" t="n">
        <f aca="false">VLOOKUP(F634,Assumptions!$A$19:$B$23,2,0)</f>
        <v>40</v>
      </c>
      <c r="N634" s="21" t="n">
        <f aca="false">VLOOKUP(G634,Assumptions!$A$27:$B$30,2,0)</f>
        <v>60</v>
      </c>
      <c r="O634" s="21" t="n">
        <f aca="false">VLOOKUP(D634,Assumptions!$A$34:$B$37,2,0)</f>
        <v>66</v>
      </c>
      <c r="P634" s="21" t="n">
        <f aca="false">VLOOKUP(E634,Assumptions!$A$41:$B$43,2,0)</f>
        <v>100</v>
      </c>
      <c r="Q634" s="22" t="n">
        <f aca="false">L634*Assumptions!$B$7+M634*Assumptions!$B$8+N634*Assumptions!$B$9+O634*Assumptions!$B$10+P634*Assumptions!$B$11</f>
        <v>64.68</v>
      </c>
      <c r="R634" s="11" t="str">
        <f aca="false">IF(Q634&lt;=33,"High Risk",IF(Q634&lt;=66,"Medium Risk","Low Risk"))</f>
        <v>Medium Risk</v>
      </c>
    </row>
    <row r="635" customFormat="false" ht="15" hidden="false" customHeight="true" outlineLevel="0" collapsed="false">
      <c r="A635" s="20" t="n">
        <f aca="false">'Raw Data'!A635</f>
        <v>634</v>
      </c>
      <c r="B635" s="20" t="n">
        <f aca="false">'Raw Data'!B635</f>
        <v>19</v>
      </c>
      <c r="C635" s="20" t="str">
        <f aca="false">'Raw Data'!C635</f>
        <v>female</v>
      </c>
      <c r="D635" s="20" t="n">
        <f aca="false">'Raw Data'!D635</f>
        <v>2</v>
      </c>
      <c r="E635" s="20" t="str">
        <f aca="false">'Raw Data'!E635</f>
        <v>rent</v>
      </c>
      <c r="F635" s="20" t="str">
        <f aca="false">'Raw Data'!F635</f>
        <v>little</v>
      </c>
      <c r="G635" s="20" t="str">
        <f aca="false">'Raw Data'!G635</f>
        <v>none</v>
      </c>
      <c r="H635" s="20" t="n">
        <f aca="false">'Raw Data'!H635</f>
        <v>1980</v>
      </c>
      <c r="I635" s="20" t="n">
        <f aca="false">'Raw Data'!I635</f>
        <v>9</v>
      </c>
      <c r="J635" s="20" t="str">
        <f aca="false">'Raw Data'!J635</f>
        <v>furniture/equipment</v>
      </c>
      <c r="K635" s="21" t="n">
        <f aca="false">H635/I635</f>
        <v>220</v>
      </c>
      <c r="L635" s="21" t="n">
        <f aca="false">100-MIN(K635/Assumptions!$B$14,1)*100</f>
        <v>45</v>
      </c>
      <c r="M635" s="21" t="n">
        <f aca="false">VLOOKUP(F635,Assumptions!$A$19:$B$23,2,0)</f>
        <v>25</v>
      </c>
      <c r="N635" s="21" t="n">
        <f aca="false">VLOOKUP(G635,Assumptions!$A$27:$B$30,2,0)</f>
        <v>50</v>
      </c>
      <c r="O635" s="21" t="n">
        <f aca="false">VLOOKUP(D635,Assumptions!$A$34:$B$37,2,0)</f>
        <v>66</v>
      </c>
      <c r="P635" s="21" t="n">
        <f aca="false">VLOOKUP(E635,Assumptions!$A$41:$B$43,2,0)</f>
        <v>30</v>
      </c>
      <c r="Q635" s="22" t="n">
        <f aca="false">L635*Assumptions!$B$7+M635*Assumptions!$B$8+N635*Assumptions!$B$9+O635*Assumptions!$B$10+P635*Assumptions!$B$11</f>
        <v>42.65</v>
      </c>
      <c r="R635" s="11" t="str">
        <f aca="false">IF(Q635&lt;=33,"High Risk",IF(Q635&lt;=66,"Medium Risk","Low Risk"))</f>
        <v>Medium Risk</v>
      </c>
    </row>
    <row r="636" customFormat="false" ht="15" hidden="false" customHeight="true" outlineLevel="0" collapsed="false">
      <c r="A636" s="20" t="n">
        <f aca="false">'Raw Data'!A636</f>
        <v>635</v>
      </c>
      <c r="B636" s="20" t="n">
        <f aca="false">'Raw Data'!B636</f>
        <v>25</v>
      </c>
      <c r="C636" s="20" t="str">
        <f aca="false">'Raw Data'!C636</f>
        <v>female</v>
      </c>
      <c r="D636" s="20" t="n">
        <f aca="false">'Raw Data'!D636</f>
        <v>1</v>
      </c>
      <c r="E636" s="20" t="str">
        <f aca="false">'Raw Data'!E636</f>
        <v>own</v>
      </c>
      <c r="F636" s="20" t="str">
        <f aca="false">'Raw Data'!F636</f>
        <v>little</v>
      </c>
      <c r="G636" s="20" t="str">
        <f aca="false">'Raw Data'!G636</f>
        <v>moderate</v>
      </c>
      <c r="H636" s="20" t="n">
        <f aca="false">'Raw Data'!H636</f>
        <v>1355</v>
      </c>
      <c r="I636" s="20" t="n">
        <f aca="false">'Raw Data'!I636</f>
        <v>24</v>
      </c>
      <c r="J636" s="20" t="str">
        <f aca="false">'Raw Data'!J636</f>
        <v>car</v>
      </c>
      <c r="K636" s="21" t="n">
        <f aca="false">H636/I636</f>
        <v>56.4583333333333</v>
      </c>
      <c r="L636" s="21" t="n">
        <f aca="false">100-MIN(K636/Assumptions!$B$14,1)*100</f>
        <v>85.8854166666667</v>
      </c>
      <c r="M636" s="21" t="n">
        <f aca="false">VLOOKUP(F636,Assumptions!$A$19:$B$23,2,0)</f>
        <v>25</v>
      </c>
      <c r="N636" s="21" t="n">
        <f aca="false">VLOOKUP(G636,Assumptions!$A$27:$B$30,2,0)</f>
        <v>60</v>
      </c>
      <c r="O636" s="21" t="n">
        <f aca="false">VLOOKUP(D636,Assumptions!$A$34:$B$37,2,0)</f>
        <v>33</v>
      </c>
      <c r="P636" s="21" t="n">
        <f aca="false">VLOOKUP(E636,Assumptions!$A$41:$B$43,2,0)</f>
        <v>100</v>
      </c>
      <c r="Q636" s="22" t="n">
        <f aca="false">L636*Assumptions!$B$7+M636*Assumptions!$B$8+N636*Assumptions!$B$9+O636*Assumptions!$B$10+P636*Assumptions!$B$11</f>
        <v>58.965625</v>
      </c>
      <c r="R636" s="11" t="str">
        <f aca="false">IF(Q636&lt;=33,"High Risk",IF(Q636&lt;=66,"Medium Risk","Low Risk"))</f>
        <v>Medium Risk</v>
      </c>
    </row>
    <row r="637" customFormat="false" ht="15" hidden="false" customHeight="true" outlineLevel="0" collapsed="false">
      <c r="A637" s="20" t="n">
        <f aca="false">'Raw Data'!A637</f>
        <v>636</v>
      </c>
      <c r="B637" s="20" t="n">
        <f aca="false">'Raw Data'!B637</f>
        <v>47</v>
      </c>
      <c r="C637" s="20" t="str">
        <f aca="false">'Raw Data'!C637</f>
        <v>male</v>
      </c>
      <c r="D637" s="20" t="n">
        <f aca="false">'Raw Data'!D637</f>
        <v>2</v>
      </c>
      <c r="E637" s="20" t="str">
        <f aca="false">'Raw Data'!E637</f>
        <v>own</v>
      </c>
      <c r="F637" s="20" t="str">
        <f aca="false">'Raw Data'!F637</f>
        <v>little</v>
      </c>
      <c r="G637" s="20" t="str">
        <f aca="false">'Raw Data'!G637</f>
        <v>none</v>
      </c>
      <c r="H637" s="20" t="n">
        <f aca="false">'Raw Data'!H637</f>
        <v>1393</v>
      </c>
      <c r="I637" s="20" t="n">
        <f aca="false">'Raw Data'!I637</f>
        <v>12</v>
      </c>
      <c r="J637" s="20" t="str">
        <f aca="false">'Raw Data'!J637</f>
        <v>education</v>
      </c>
      <c r="K637" s="21" t="n">
        <f aca="false">H637/I637</f>
        <v>116.083333333333</v>
      </c>
      <c r="L637" s="21" t="n">
        <f aca="false">100-MIN(K637/Assumptions!$B$14,1)*100</f>
        <v>70.9791666666667</v>
      </c>
      <c r="M637" s="21" t="n">
        <f aca="false">VLOOKUP(F637,Assumptions!$A$19:$B$23,2,0)</f>
        <v>25</v>
      </c>
      <c r="N637" s="21" t="n">
        <f aca="false">VLOOKUP(G637,Assumptions!$A$27:$B$30,2,0)</f>
        <v>50</v>
      </c>
      <c r="O637" s="21" t="n">
        <f aca="false">VLOOKUP(D637,Assumptions!$A$34:$B$37,2,0)</f>
        <v>66</v>
      </c>
      <c r="P637" s="21" t="n">
        <f aca="false">VLOOKUP(E637,Assumptions!$A$41:$B$43,2,0)</f>
        <v>100</v>
      </c>
      <c r="Q637" s="22" t="n">
        <f aca="false">L637*Assumptions!$B$7+M637*Assumptions!$B$8+N637*Assumptions!$B$9+O637*Assumptions!$B$10+P637*Assumptions!$B$11</f>
        <v>57.44375</v>
      </c>
      <c r="R637" s="11" t="str">
        <f aca="false">IF(Q637&lt;=33,"High Risk",IF(Q637&lt;=66,"Medium Risk","Low Risk"))</f>
        <v>Medium Risk</v>
      </c>
    </row>
    <row r="638" customFormat="false" ht="15" hidden="false" customHeight="true" outlineLevel="0" collapsed="false">
      <c r="A638" s="20" t="n">
        <f aca="false">'Raw Data'!A638</f>
        <v>637</v>
      </c>
      <c r="B638" s="20" t="n">
        <f aca="false">'Raw Data'!B638</f>
        <v>28</v>
      </c>
      <c r="C638" s="20" t="str">
        <f aca="false">'Raw Data'!C638</f>
        <v>female</v>
      </c>
      <c r="D638" s="20" t="n">
        <f aca="false">'Raw Data'!D638</f>
        <v>2</v>
      </c>
      <c r="E638" s="20" t="str">
        <f aca="false">'Raw Data'!E638</f>
        <v>own</v>
      </c>
      <c r="F638" s="20" t="str">
        <f aca="false">'Raw Data'!F638</f>
        <v>quite rich</v>
      </c>
      <c r="G638" s="20" t="str">
        <f aca="false">'Raw Data'!G638</f>
        <v>none</v>
      </c>
      <c r="H638" s="20" t="n">
        <f aca="false">'Raw Data'!H638</f>
        <v>1376</v>
      </c>
      <c r="I638" s="20" t="n">
        <f aca="false">'Raw Data'!I638</f>
        <v>24</v>
      </c>
      <c r="J638" s="20" t="str">
        <f aca="false">'Raw Data'!J638</f>
        <v>radio/TV</v>
      </c>
      <c r="K638" s="21" t="n">
        <f aca="false">H638/I638</f>
        <v>57.3333333333333</v>
      </c>
      <c r="L638" s="21" t="n">
        <f aca="false">100-MIN(K638/Assumptions!$B$14,1)*100</f>
        <v>85.6666666666667</v>
      </c>
      <c r="M638" s="21" t="n">
        <f aca="false">VLOOKUP(F638,Assumptions!$A$19:$B$23,2,0)</f>
        <v>75</v>
      </c>
      <c r="N638" s="21" t="n">
        <f aca="false">VLOOKUP(G638,Assumptions!$A$27:$B$30,2,0)</f>
        <v>50</v>
      </c>
      <c r="O638" s="21" t="n">
        <f aca="false">VLOOKUP(D638,Assumptions!$A$34:$B$37,2,0)</f>
        <v>66</v>
      </c>
      <c r="P638" s="21" t="n">
        <f aca="false">VLOOKUP(E638,Assumptions!$A$41:$B$43,2,0)</f>
        <v>100</v>
      </c>
      <c r="Q638" s="22" t="n">
        <f aca="false">L638*Assumptions!$B$7+M638*Assumptions!$B$8+N638*Assumptions!$B$9+O638*Assumptions!$B$10+P638*Assumptions!$B$11</f>
        <v>74.35</v>
      </c>
      <c r="R638" s="11" t="str">
        <f aca="false">IF(Q638&lt;=33,"High Risk",IF(Q638&lt;=66,"Medium Risk","Low Risk"))</f>
        <v>Low Risk</v>
      </c>
    </row>
    <row r="639" customFormat="false" ht="15" hidden="false" customHeight="true" outlineLevel="0" collapsed="false">
      <c r="A639" s="20" t="n">
        <f aca="false">'Raw Data'!A639</f>
        <v>638</v>
      </c>
      <c r="B639" s="20" t="n">
        <f aca="false">'Raw Data'!B639</f>
        <v>21</v>
      </c>
      <c r="C639" s="20" t="str">
        <f aca="false">'Raw Data'!C639</f>
        <v>male</v>
      </c>
      <c r="D639" s="20" t="n">
        <f aca="false">'Raw Data'!D639</f>
        <v>2</v>
      </c>
      <c r="E639" s="20" t="str">
        <f aca="false">'Raw Data'!E639</f>
        <v>own</v>
      </c>
      <c r="F639" s="20" t="str">
        <f aca="false">'Raw Data'!F639</f>
        <v>little</v>
      </c>
      <c r="G639" s="20" t="str">
        <f aca="false">'Raw Data'!G639</f>
        <v>none</v>
      </c>
      <c r="H639" s="20" t="n">
        <f aca="false">'Raw Data'!H639</f>
        <v>15653</v>
      </c>
      <c r="I639" s="20" t="n">
        <f aca="false">'Raw Data'!I639</f>
        <v>60</v>
      </c>
      <c r="J639" s="20" t="str">
        <f aca="false">'Raw Data'!J639</f>
        <v>radio/TV</v>
      </c>
      <c r="K639" s="21" t="n">
        <f aca="false">H639/I639</f>
        <v>260.883333333333</v>
      </c>
      <c r="L639" s="21" t="n">
        <f aca="false">100-MIN(K639/Assumptions!$B$14,1)*100</f>
        <v>34.7791666666667</v>
      </c>
      <c r="M639" s="21" t="n">
        <f aca="false">VLOOKUP(F639,Assumptions!$A$19:$B$23,2,0)</f>
        <v>25</v>
      </c>
      <c r="N639" s="21" t="n">
        <f aca="false">VLOOKUP(G639,Assumptions!$A$27:$B$30,2,0)</f>
        <v>50</v>
      </c>
      <c r="O639" s="21" t="n">
        <f aca="false">VLOOKUP(D639,Assumptions!$A$34:$B$37,2,0)</f>
        <v>66</v>
      </c>
      <c r="P639" s="21" t="n">
        <f aca="false">VLOOKUP(E639,Assumptions!$A$41:$B$43,2,0)</f>
        <v>100</v>
      </c>
      <c r="Q639" s="22" t="n">
        <f aca="false">L639*Assumptions!$B$7+M639*Assumptions!$B$8+N639*Assumptions!$B$9+O639*Assumptions!$B$10+P639*Assumptions!$B$11</f>
        <v>46.58375</v>
      </c>
      <c r="R639" s="11" t="str">
        <f aca="false">IF(Q639&lt;=33,"High Risk",IF(Q639&lt;=66,"Medium Risk","Low Risk"))</f>
        <v>Medium Risk</v>
      </c>
    </row>
    <row r="640" customFormat="false" ht="15" hidden="false" customHeight="true" outlineLevel="0" collapsed="false">
      <c r="A640" s="20" t="n">
        <f aca="false">'Raw Data'!A640</f>
        <v>639</v>
      </c>
      <c r="B640" s="20" t="n">
        <f aca="false">'Raw Data'!B640</f>
        <v>34</v>
      </c>
      <c r="C640" s="20" t="str">
        <f aca="false">'Raw Data'!C640</f>
        <v>female</v>
      </c>
      <c r="D640" s="20" t="n">
        <f aca="false">'Raw Data'!D640</f>
        <v>2</v>
      </c>
      <c r="E640" s="20" t="str">
        <f aca="false">'Raw Data'!E640</f>
        <v>own</v>
      </c>
      <c r="F640" s="20" t="str">
        <f aca="false">'Raw Data'!F640</f>
        <v>little</v>
      </c>
      <c r="G640" s="20" t="str">
        <f aca="false">'Raw Data'!G640</f>
        <v>none</v>
      </c>
      <c r="H640" s="20" t="n">
        <f aca="false">'Raw Data'!H640</f>
        <v>1493</v>
      </c>
      <c r="I640" s="20" t="n">
        <f aca="false">'Raw Data'!I640</f>
        <v>12</v>
      </c>
      <c r="J640" s="20" t="str">
        <f aca="false">'Raw Data'!J640</f>
        <v>radio/TV</v>
      </c>
      <c r="K640" s="21" t="n">
        <f aca="false">H640/I640</f>
        <v>124.416666666667</v>
      </c>
      <c r="L640" s="21" t="n">
        <f aca="false">100-MIN(K640/Assumptions!$B$14,1)*100</f>
        <v>68.8958333333333</v>
      </c>
      <c r="M640" s="21" t="n">
        <f aca="false">VLOOKUP(F640,Assumptions!$A$19:$B$23,2,0)</f>
        <v>25</v>
      </c>
      <c r="N640" s="21" t="n">
        <f aca="false">VLOOKUP(G640,Assumptions!$A$27:$B$30,2,0)</f>
        <v>50</v>
      </c>
      <c r="O640" s="21" t="n">
        <f aca="false">VLOOKUP(D640,Assumptions!$A$34:$B$37,2,0)</f>
        <v>66</v>
      </c>
      <c r="P640" s="21" t="n">
        <f aca="false">VLOOKUP(E640,Assumptions!$A$41:$B$43,2,0)</f>
        <v>100</v>
      </c>
      <c r="Q640" s="22" t="n">
        <f aca="false">L640*Assumptions!$B$7+M640*Assumptions!$B$8+N640*Assumptions!$B$9+O640*Assumptions!$B$10+P640*Assumptions!$B$11</f>
        <v>56.81875</v>
      </c>
      <c r="R640" s="11" t="str">
        <f aca="false">IF(Q640&lt;=33,"High Risk",IF(Q640&lt;=66,"Medium Risk","Low Risk"))</f>
        <v>Medium Risk</v>
      </c>
    </row>
    <row r="641" customFormat="false" ht="15" hidden="false" customHeight="true" outlineLevel="0" collapsed="false">
      <c r="A641" s="20" t="n">
        <f aca="false">'Raw Data'!A641</f>
        <v>640</v>
      </c>
      <c r="B641" s="20" t="n">
        <f aca="false">'Raw Data'!B641</f>
        <v>26</v>
      </c>
      <c r="C641" s="20" t="str">
        <f aca="false">'Raw Data'!C641</f>
        <v>male</v>
      </c>
      <c r="D641" s="20" t="n">
        <f aca="false">'Raw Data'!D641</f>
        <v>2</v>
      </c>
      <c r="E641" s="20" t="str">
        <f aca="false">'Raw Data'!E641</f>
        <v>own</v>
      </c>
      <c r="F641" s="20" t="str">
        <f aca="false">'Raw Data'!F641</f>
        <v>little</v>
      </c>
      <c r="G641" s="20" t="str">
        <f aca="false">'Raw Data'!G641</f>
        <v>little</v>
      </c>
      <c r="H641" s="20" t="n">
        <f aca="false">'Raw Data'!H641</f>
        <v>4370</v>
      </c>
      <c r="I641" s="20" t="n">
        <f aca="false">'Raw Data'!I641</f>
        <v>42</v>
      </c>
      <c r="J641" s="20" t="str">
        <f aca="false">'Raw Data'!J641</f>
        <v>radio/TV</v>
      </c>
      <c r="K641" s="21" t="n">
        <f aca="false">H641/I641</f>
        <v>104.047619047619</v>
      </c>
      <c r="L641" s="21" t="n">
        <f aca="false">100-MIN(K641/Assumptions!$B$14,1)*100</f>
        <v>73.9880952380952</v>
      </c>
      <c r="M641" s="21" t="n">
        <f aca="false">VLOOKUP(F641,Assumptions!$A$19:$B$23,2,0)</f>
        <v>25</v>
      </c>
      <c r="N641" s="21" t="n">
        <f aca="false">VLOOKUP(G641,Assumptions!$A$27:$B$30,2,0)</f>
        <v>25</v>
      </c>
      <c r="O641" s="21" t="n">
        <f aca="false">VLOOKUP(D641,Assumptions!$A$34:$B$37,2,0)</f>
        <v>66</v>
      </c>
      <c r="P641" s="21" t="n">
        <f aca="false">VLOOKUP(E641,Assumptions!$A$41:$B$43,2,0)</f>
        <v>100</v>
      </c>
      <c r="Q641" s="22" t="n">
        <f aca="false">L641*Assumptions!$B$7+M641*Assumptions!$B$8+N641*Assumptions!$B$9+O641*Assumptions!$B$10+P641*Assumptions!$B$11</f>
        <v>53.3464285714286</v>
      </c>
      <c r="R641" s="11" t="str">
        <f aca="false">IF(Q641&lt;=33,"High Risk",IF(Q641&lt;=66,"Medium Risk","Low Risk"))</f>
        <v>Medium Risk</v>
      </c>
    </row>
    <row r="642" customFormat="false" ht="15" hidden="false" customHeight="true" outlineLevel="0" collapsed="false">
      <c r="A642" s="20" t="n">
        <f aca="false">'Raw Data'!A642</f>
        <v>641</v>
      </c>
      <c r="B642" s="20" t="n">
        <f aca="false">'Raw Data'!B642</f>
        <v>27</v>
      </c>
      <c r="C642" s="20" t="str">
        <f aca="false">'Raw Data'!C642</f>
        <v>female</v>
      </c>
      <c r="D642" s="20" t="n">
        <f aca="false">'Raw Data'!D642</f>
        <v>0</v>
      </c>
      <c r="E642" s="20" t="str">
        <f aca="false">'Raw Data'!E642</f>
        <v>own</v>
      </c>
      <c r="F642" s="20" t="str">
        <f aca="false">'Raw Data'!F642</f>
        <v>little</v>
      </c>
      <c r="G642" s="20" t="str">
        <f aca="false">'Raw Data'!G642</f>
        <v>little</v>
      </c>
      <c r="H642" s="20" t="n">
        <f aca="false">'Raw Data'!H642</f>
        <v>750</v>
      </c>
      <c r="I642" s="20" t="n">
        <f aca="false">'Raw Data'!I642</f>
        <v>18</v>
      </c>
      <c r="J642" s="20" t="str">
        <f aca="false">'Raw Data'!J642</f>
        <v>education</v>
      </c>
      <c r="K642" s="21" t="n">
        <f aca="false">H642/I642</f>
        <v>41.6666666666667</v>
      </c>
      <c r="L642" s="21" t="n">
        <f aca="false">100-MIN(K642/Assumptions!$B$14,1)*100</f>
        <v>89.5833333333333</v>
      </c>
      <c r="M642" s="21" t="n">
        <f aca="false">VLOOKUP(F642,Assumptions!$A$19:$B$23,2,0)</f>
        <v>25</v>
      </c>
      <c r="N642" s="21" t="n">
        <f aca="false">VLOOKUP(G642,Assumptions!$A$27:$B$30,2,0)</f>
        <v>25</v>
      </c>
      <c r="O642" s="21" t="n">
        <f aca="false">VLOOKUP(D642,Assumptions!$A$34:$B$37,2,0)</f>
        <v>0</v>
      </c>
      <c r="P642" s="21" t="n">
        <f aca="false">VLOOKUP(E642,Assumptions!$A$41:$B$43,2,0)</f>
        <v>100</v>
      </c>
      <c r="Q642" s="22" t="n">
        <f aca="false">L642*Assumptions!$B$7+M642*Assumptions!$B$8+N642*Assumptions!$B$9+O642*Assumptions!$B$10+P642*Assumptions!$B$11</f>
        <v>48.125</v>
      </c>
      <c r="R642" s="11" t="str">
        <f aca="false">IF(Q642&lt;=33,"High Risk",IF(Q642&lt;=66,"Medium Risk","Low Risk"))</f>
        <v>Medium Risk</v>
      </c>
    </row>
    <row r="643" customFormat="false" ht="15" hidden="false" customHeight="true" outlineLevel="0" collapsed="false">
      <c r="A643" s="20" t="n">
        <f aca="false">'Raw Data'!A643</f>
        <v>642</v>
      </c>
      <c r="B643" s="20" t="n">
        <f aca="false">'Raw Data'!B643</f>
        <v>38</v>
      </c>
      <c r="C643" s="20" t="str">
        <f aca="false">'Raw Data'!C643</f>
        <v>male</v>
      </c>
      <c r="D643" s="20" t="n">
        <f aca="false">'Raw Data'!D643</f>
        <v>1</v>
      </c>
      <c r="E643" s="20" t="str">
        <f aca="false">'Raw Data'!E643</f>
        <v>own</v>
      </c>
      <c r="F643" s="20" t="str">
        <f aca="false">'Raw Data'!F643</f>
        <v>little</v>
      </c>
      <c r="G643" s="20" t="str">
        <f aca="false">'Raw Data'!G643</f>
        <v>moderate</v>
      </c>
      <c r="H643" s="20" t="n">
        <f aca="false">'Raw Data'!H643</f>
        <v>1308</v>
      </c>
      <c r="I643" s="20" t="n">
        <f aca="false">'Raw Data'!I643</f>
        <v>15</v>
      </c>
      <c r="J643" s="20" t="str">
        <f aca="false">'Raw Data'!J643</f>
        <v>repairs</v>
      </c>
      <c r="K643" s="21" t="n">
        <f aca="false">H643/I643</f>
        <v>87.2</v>
      </c>
      <c r="L643" s="21" t="n">
        <f aca="false">100-MIN(K643/Assumptions!$B$14,1)*100</f>
        <v>78.2</v>
      </c>
      <c r="M643" s="21" t="n">
        <f aca="false">VLOOKUP(F643,Assumptions!$A$19:$B$23,2,0)</f>
        <v>25</v>
      </c>
      <c r="N643" s="21" t="n">
        <f aca="false">VLOOKUP(G643,Assumptions!$A$27:$B$30,2,0)</f>
        <v>60</v>
      </c>
      <c r="O643" s="21" t="n">
        <f aca="false">VLOOKUP(D643,Assumptions!$A$34:$B$37,2,0)</f>
        <v>33</v>
      </c>
      <c r="P643" s="21" t="n">
        <f aca="false">VLOOKUP(E643,Assumptions!$A$41:$B$43,2,0)</f>
        <v>100</v>
      </c>
      <c r="Q643" s="22" t="n">
        <f aca="false">L643*Assumptions!$B$7+M643*Assumptions!$B$8+N643*Assumptions!$B$9+O643*Assumptions!$B$10+P643*Assumptions!$B$11</f>
        <v>56.66</v>
      </c>
      <c r="R643" s="11" t="str">
        <f aca="false">IF(Q643&lt;=33,"High Risk",IF(Q643&lt;=66,"Medium Risk","Low Risk"))</f>
        <v>Medium Risk</v>
      </c>
    </row>
    <row r="644" customFormat="false" ht="15" hidden="false" customHeight="true" outlineLevel="0" collapsed="false">
      <c r="A644" s="20" t="n">
        <f aca="false">'Raw Data'!A644</f>
        <v>643</v>
      </c>
      <c r="B644" s="20" t="n">
        <f aca="false">'Raw Data'!B644</f>
        <v>40</v>
      </c>
      <c r="C644" s="20" t="str">
        <f aca="false">'Raw Data'!C644</f>
        <v>male</v>
      </c>
      <c r="D644" s="20" t="n">
        <f aca="false">'Raw Data'!D644</f>
        <v>3</v>
      </c>
      <c r="E644" s="20" t="str">
        <f aca="false">'Raw Data'!E644</f>
        <v>own</v>
      </c>
      <c r="F644" s="20" t="str">
        <f aca="false">'Raw Data'!F644</f>
        <v>moderate</v>
      </c>
      <c r="G644" s="20" t="str">
        <f aca="false">'Raw Data'!G644</f>
        <v>none</v>
      </c>
      <c r="H644" s="20" t="n">
        <f aca="false">'Raw Data'!H644</f>
        <v>4623</v>
      </c>
      <c r="I644" s="20" t="n">
        <f aca="false">'Raw Data'!I644</f>
        <v>15</v>
      </c>
      <c r="J644" s="20" t="str">
        <f aca="false">'Raw Data'!J644</f>
        <v>education</v>
      </c>
      <c r="K644" s="21" t="n">
        <f aca="false">H644/I644</f>
        <v>308.2</v>
      </c>
      <c r="L644" s="21" t="n">
        <f aca="false">100-MIN(K644/Assumptions!$B$14,1)*100</f>
        <v>22.95</v>
      </c>
      <c r="M644" s="21" t="n">
        <f aca="false">VLOOKUP(F644,Assumptions!$A$19:$B$23,2,0)</f>
        <v>50</v>
      </c>
      <c r="N644" s="21" t="n">
        <f aca="false">VLOOKUP(G644,Assumptions!$A$27:$B$30,2,0)</f>
        <v>50</v>
      </c>
      <c r="O644" s="21" t="n">
        <f aca="false">VLOOKUP(D644,Assumptions!$A$34:$B$37,2,0)</f>
        <v>100</v>
      </c>
      <c r="P644" s="21" t="n">
        <f aca="false">VLOOKUP(E644,Assumptions!$A$41:$B$43,2,0)</f>
        <v>100</v>
      </c>
      <c r="Q644" s="22" t="n">
        <f aca="false">L644*Assumptions!$B$7+M644*Assumptions!$B$8+N644*Assumptions!$B$9+O644*Assumptions!$B$10+P644*Assumptions!$B$11</f>
        <v>54.385</v>
      </c>
      <c r="R644" s="11" t="str">
        <f aca="false">IF(Q644&lt;=33,"High Risk",IF(Q644&lt;=66,"Medium Risk","Low Risk"))</f>
        <v>Medium Risk</v>
      </c>
    </row>
    <row r="645" customFormat="false" ht="15" hidden="false" customHeight="true" outlineLevel="0" collapsed="false">
      <c r="A645" s="20" t="n">
        <f aca="false">'Raw Data'!A645</f>
        <v>644</v>
      </c>
      <c r="B645" s="20" t="n">
        <f aca="false">'Raw Data'!B645</f>
        <v>33</v>
      </c>
      <c r="C645" s="20" t="str">
        <f aca="false">'Raw Data'!C645</f>
        <v>male</v>
      </c>
      <c r="D645" s="20" t="n">
        <f aca="false">'Raw Data'!D645</f>
        <v>2</v>
      </c>
      <c r="E645" s="20" t="str">
        <f aca="false">'Raw Data'!E645</f>
        <v>own</v>
      </c>
      <c r="F645" s="20" t="str">
        <f aca="false">'Raw Data'!F645</f>
        <v>little</v>
      </c>
      <c r="G645" s="20" t="str">
        <f aca="false">'Raw Data'!G645</f>
        <v>none</v>
      </c>
      <c r="H645" s="20" t="n">
        <f aca="false">'Raw Data'!H645</f>
        <v>1851</v>
      </c>
      <c r="I645" s="20" t="n">
        <f aca="false">'Raw Data'!I645</f>
        <v>24</v>
      </c>
      <c r="J645" s="20" t="str">
        <f aca="false">'Raw Data'!J645</f>
        <v>radio/TV</v>
      </c>
      <c r="K645" s="21" t="n">
        <f aca="false">H645/I645</f>
        <v>77.125</v>
      </c>
      <c r="L645" s="21" t="n">
        <f aca="false">100-MIN(K645/Assumptions!$B$14,1)*100</f>
        <v>80.71875</v>
      </c>
      <c r="M645" s="21" t="n">
        <f aca="false">VLOOKUP(F645,Assumptions!$A$19:$B$23,2,0)</f>
        <v>25</v>
      </c>
      <c r="N645" s="21" t="n">
        <f aca="false">VLOOKUP(G645,Assumptions!$A$27:$B$30,2,0)</f>
        <v>50</v>
      </c>
      <c r="O645" s="21" t="n">
        <f aca="false">VLOOKUP(D645,Assumptions!$A$34:$B$37,2,0)</f>
        <v>66</v>
      </c>
      <c r="P645" s="21" t="n">
        <f aca="false">VLOOKUP(E645,Assumptions!$A$41:$B$43,2,0)</f>
        <v>100</v>
      </c>
      <c r="Q645" s="22" t="n">
        <f aca="false">L645*Assumptions!$B$7+M645*Assumptions!$B$8+N645*Assumptions!$B$9+O645*Assumptions!$B$10+P645*Assumptions!$B$11</f>
        <v>60.365625</v>
      </c>
      <c r="R645" s="11" t="str">
        <f aca="false">IF(Q645&lt;=33,"High Risk",IF(Q645&lt;=66,"Medium Risk","Low Risk"))</f>
        <v>Medium Risk</v>
      </c>
    </row>
    <row r="646" customFormat="false" ht="15" hidden="false" customHeight="true" outlineLevel="0" collapsed="false">
      <c r="A646" s="20" t="n">
        <f aca="false">'Raw Data'!A646</f>
        <v>645</v>
      </c>
      <c r="B646" s="20" t="n">
        <f aca="false">'Raw Data'!B646</f>
        <v>32</v>
      </c>
      <c r="C646" s="20" t="str">
        <f aca="false">'Raw Data'!C646</f>
        <v>male</v>
      </c>
      <c r="D646" s="20" t="n">
        <f aca="false">'Raw Data'!D646</f>
        <v>3</v>
      </c>
      <c r="E646" s="20" t="str">
        <f aca="false">'Raw Data'!E646</f>
        <v>own</v>
      </c>
      <c r="F646" s="20" t="str">
        <f aca="false">'Raw Data'!F646</f>
        <v>little</v>
      </c>
      <c r="G646" s="20" t="str">
        <f aca="false">'Raw Data'!G646</f>
        <v>little</v>
      </c>
      <c r="H646" s="20" t="n">
        <f aca="false">'Raw Data'!H646</f>
        <v>1880</v>
      </c>
      <c r="I646" s="20" t="n">
        <f aca="false">'Raw Data'!I646</f>
        <v>18</v>
      </c>
      <c r="J646" s="20" t="str">
        <f aca="false">'Raw Data'!J646</f>
        <v>radio/TV</v>
      </c>
      <c r="K646" s="21" t="n">
        <f aca="false">H646/I646</f>
        <v>104.444444444444</v>
      </c>
      <c r="L646" s="21" t="n">
        <f aca="false">100-MIN(K646/Assumptions!$B$14,1)*100</f>
        <v>73.8888888888889</v>
      </c>
      <c r="M646" s="21" t="n">
        <f aca="false">VLOOKUP(F646,Assumptions!$A$19:$B$23,2,0)</f>
        <v>25</v>
      </c>
      <c r="N646" s="21" t="n">
        <f aca="false">VLOOKUP(G646,Assumptions!$A$27:$B$30,2,0)</f>
        <v>25</v>
      </c>
      <c r="O646" s="21" t="n">
        <f aca="false">VLOOKUP(D646,Assumptions!$A$34:$B$37,2,0)</f>
        <v>100</v>
      </c>
      <c r="P646" s="21" t="n">
        <f aca="false">VLOOKUP(E646,Assumptions!$A$41:$B$43,2,0)</f>
        <v>100</v>
      </c>
      <c r="Q646" s="22" t="n">
        <f aca="false">L646*Assumptions!$B$7+M646*Assumptions!$B$8+N646*Assumptions!$B$9+O646*Assumptions!$B$10+P646*Assumptions!$B$11</f>
        <v>58.4166666666667</v>
      </c>
      <c r="R646" s="11" t="str">
        <f aca="false">IF(Q646&lt;=33,"High Risk",IF(Q646&lt;=66,"Medium Risk","Low Risk"))</f>
        <v>Medium Risk</v>
      </c>
    </row>
    <row r="647" customFormat="false" ht="15" hidden="false" customHeight="true" outlineLevel="0" collapsed="false">
      <c r="A647" s="20" t="n">
        <f aca="false">'Raw Data'!A647</f>
        <v>646</v>
      </c>
      <c r="B647" s="20" t="n">
        <f aca="false">'Raw Data'!B647</f>
        <v>27</v>
      </c>
      <c r="C647" s="20" t="str">
        <f aca="false">'Raw Data'!C647</f>
        <v>male</v>
      </c>
      <c r="D647" s="20" t="n">
        <f aca="false">'Raw Data'!D647</f>
        <v>2</v>
      </c>
      <c r="E647" s="20" t="str">
        <f aca="false">'Raw Data'!E647</f>
        <v>rent</v>
      </c>
      <c r="F647" s="20" t="str">
        <f aca="false">'Raw Data'!F647</f>
        <v>none</v>
      </c>
      <c r="G647" s="20" t="str">
        <f aca="false">'Raw Data'!G647</f>
        <v>none</v>
      </c>
      <c r="H647" s="20" t="n">
        <f aca="false">'Raw Data'!H647</f>
        <v>7980</v>
      </c>
      <c r="I647" s="20" t="n">
        <f aca="false">'Raw Data'!I647</f>
        <v>36</v>
      </c>
      <c r="J647" s="20" t="str">
        <f aca="false">'Raw Data'!J647</f>
        <v>business</v>
      </c>
      <c r="K647" s="21" t="n">
        <f aca="false">H647/I647</f>
        <v>221.666666666667</v>
      </c>
      <c r="L647" s="21" t="n">
        <f aca="false">100-MIN(K647/Assumptions!$B$14,1)*100</f>
        <v>44.5833333333333</v>
      </c>
      <c r="M647" s="21" t="n">
        <f aca="false">VLOOKUP(F647,Assumptions!$A$19:$B$23,2,0)</f>
        <v>40</v>
      </c>
      <c r="N647" s="21" t="n">
        <f aca="false">VLOOKUP(G647,Assumptions!$A$27:$B$30,2,0)</f>
        <v>50</v>
      </c>
      <c r="O647" s="21" t="n">
        <f aca="false">VLOOKUP(D647,Assumptions!$A$34:$B$37,2,0)</f>
        <v>66</v>
      </c>
      <c r="P647" s="21" t="n">
        <f aca="false">VLOOKUP(E647,Assumptions!$A$41:$B$43,2,0)</f>
        <v>30</v>
      </c>
      <c r="Q647" s="22" t="n">
        <f aca="false">L647*Assumptions!$B$7+M647*Assumptions!$B$8+N647*Assumptions!$B$9+O647*Assumptions!$B$10+P647*Assumptions!$B$11</f>
        <v>46.275</v>
      </c>
      <c r="R647" s="11" t="str">
        <f aca="false">IF(Q647&lt;=33,"High Risk",IF(Q647&lt;=66,"Medium Risk","Low Risk"))</f>
        <v>Medium Risk</v>
      </c>
    </row>
    <row r="648" customFormat="false" ht="15" hidden="false" customHeight="true" outlineLevel="0" collapsed="false">
      <c r="A648" s="20" t="n">
        <f aca="false">'Raw Data'!A648</f>
        <v>647</v>
      </c>
      <c r="B648" s="20" t="n">
        <f aca="false">'Raw Data'!B648</f>
        <v>32</v>
      </c>
      <c r="C648" s="20" t="str">
        <f aca="false">'Raw Data'!C648</f>
        <v>male</v>
      </c>
      <c r="D648" s="20" t="n">
        <f aca="false">'Raw Data'!D648</f>
        <v>2</v>
      </c>
      <c r="E648" s="20" t="str">
        <f aca="false">'Raw Data'!E648</f>
        <v>own</v>
      </c>
      <c r="F648" s="20" t="str">
        <f aca="false">'Raw Data'!F648</f>
        <v>little</v>
      </c>
      <c r="G648" s="20" t="str">
        <f aca="false">'Raw Data'!G648</f>
        <v>little</v>
      </c>
      <c r="H648" s="20" t="n">
        <f aca="false">'Raw Data'!H648</f>
        <v>4583</v>
      </c>
      <c r="I648" s="20" t="n">
        <f aca="false">'Raw Data'!I648</f>
        <v>30</v>
      </c>
      <c r="J648" s="20" t="str">
        <f aca="false">'Raw Data'!J648</f>
        <v>furniture/equipment</v>
      </c>
      <c r="K648" s="21" t="n">
        <f aca="false">H648/I648</f>
        <v>152.766666666667</v>
      </c>
      <c r="L648" s="21" t="n">
        <f aca="false">100-MIN(K648/Assumptions!$B$14,1)*100</f>
        <v>61.8083333333333</v>
      </c>
      <c r="M648" s="21" t="n">
        <f aca="false">VLOOKUP(F648,Assumptions!$A$19:$B$23,2,0)</f>
        <v>25</v>
      </c>
      <c r="N648" s="21" t="n">
        <f aca="false">VLOOKUP(G648,Assumptions!$A$27:$B$30,2,0)</f>
        <v>25</v>
      </c>
      <c r="O648" s="21" t="n">
        <f aca="false">VLOOKUP(D648,Assumptions!$A$34:$B$37,2,0)</f>
        <v>66</v>
      </c>
      <c r="P648" s="21" t="n">
        <f aca="false">VLOOKUP(E648,Assumptions!$A$41:$B$43,2,0)</f>
        <v>100</v>
      </c>
      <c r="Q648" s="22" t="n">
        <f aca="false">L648*Assumptions!$B$7+M648*Assumptions!$B$8+N648*Assumptions!$B$9+O648*Assumptions!$B$10+P648*Assumptions!$B$11</f>
        <v>49.6925</v>
      </c>
      <c r="R648" s="11" t="str">
        <f aca="false">IF(Q648&lt;=33,"High Risk",IF(Q648&lt;=66,"Medium Risk","Low Risk"))</f>
        <v>Medium Risk</v>
      </c>
    </row>
    <row r="649" customFormat="false" ht="15" hidden="false" customHeight="true" outlineLevel="0" collapsed="false">
      <c r="A649" s="20" t="n">
        <f aca="false">'Raw Data'!A649</f>
        <v>648</v>
      </c>
      <c r="B649" s="20" t="n">
        <f aca="false">'Raw Data'!B649</f>
        <v>26</v>
      </c>
      <c r="C649" s="20" t="str">
        <f aca="false">'Raw Data'!C649</f>
        <v>female</v>
      </c>
      <c r="D649" s="20" t="n">
        <f aca="false">'Raw Data'!D649</f>
        <v>2</v>
      </c>
      <c r="E649" s="20" t="str">
        <f aca="false">'Raw Data'!E649</f>
        <v>own</v>
      </c>
      <c r="F649" s="20" t="str">
        <f aca="false">'Raw Data'!F649</f>
        <v>quite rich</v>
      </c>
      <c r="G649" s="20" t="str">
        <f aca="false">'Raw Data'!G649</f>
        <v>none</v>
      </c>
      <c r="H649" s="20" t="n">
        <f aca="false">'Raw Data'!H649</f>
        <v>1386</v>
      </c>
      <c r="I649" s="20" t="n">
        <f aca="false">'Raw Data'!I649</f>
        <v>12</v>
      </c>
      <c r="J649" s="20" t="str">
        <f aca="false">'Raw Data'!J649</f>
        <v>car</v>
      </c>
      <c r="K649" s="21" t="n">
        <f aca="false">H649/I649</f>
        <v>115.5</v>
      </c>
      <c r="L649" s="21" t="n">
        <f aca="false">100-MIN(K649/Assumptions!$B$14,1)*100</f>
        <v>71.125</v>
      </c>
      <c r="M649" s="21" t="n">
        <f aca="false">VLOOKUP(F649,Assumptions!$A$19:$B$23,2,0)</f>
        <v>75</v>
      </c>
      <c r="N649" s="21" t="n">
        <f aca="false">VLOOKUP(G649,Assumptions!$A$27:$B$30,2,0)</f>
        <v>50</v>
      </c>
      <c r="O649" s="21" t="n">
        <f aca="false">VLOOKUP(D649,Assumptions!$A$34:$B$37,2,0)</f>
        <v>66</v>
      </c>
      <c r="P649" s="21" t="n">
        <f aca="false">VLOOKUP(E649,Assumptions!$A$41:$B$43,2,0)</f>
        <v>100</v>
      </c>
      <c r="Q649" s="22" t="n">
        <f aca="false">L649*Assumptions!$B$7+M649*Assumptions!$B$8+N649*Assumptions!$B$9+O649*Assumptions!$B$10+P649*Assumptions!$B$11</f>
        <v>69.9875</v>
      </c>
      <c r="R649" s="11" t="str">
        <f aca="false">IF(Q649&lt;=33,"High Risk",IF(Q649&lt;=66,"Medium Risk","Low Risk"))</f>
        <v>Low Risk</v>
      </c>
    </row>
    <row r="650" customFormat="false" ht="15" hidden="false" customHeight="true" outlineLevel="0" collapsed="false">
      <c r="A650" s="20" t="n">
        <f aca="false">'Raw Data'!A650</f>
        <v>649</v>
      </c>
      <c r="B650" s="20" t="n">
        <f aca="false">'Raw Data'!B650</f>
        <v>38</v>
      </c>
      <c r="C650" s="20" t="str">
        <f aca="false">'Raw Data'!C650</f>
        <v>male</v>
      </c>
      <c r="D650" s="20" t="n">
        <f aca="false">'Raw Data'!D650</f>
        <v>2</v>
      </c>
      <c r="E650" s="20" t="str">
        <f aca="false">'Raw Data'!E650</f>
        <v>free</v>
      </c>
      <c r="F650" s="20" t="str">
        <f aca="false">'Raw Data'!F650</f>
        <v>little</v>
      </c>
      <c r="G650" s="20" t="str">
        <f aca="false">'Raw Data'!G650</f>
        <v>rich</v>
      </c>
      <c r="H650" s="20" t="n">
        <f aca="false">'Raw Data'!H650</f>
        <v>947</v>
      </c>
      <c r="I650" s="20" t="n">
        <f aca="false">'Raw Data'!I650</f>
        <v>24</v>
      </c>
      <c r="J650" s="20" t="str">
        <f aca="false">'Raw Data'!J650</f>
        <v>car</v>
      </c>
      <c r="K650" s="21" t="n">
        <f aca="false">H650/I650</f>
        <v>39.4583333333333</v>
      </c>
      <c r="L650" s="21" t="n">
        <f aca="false">100-MIN(K650/Assumptions!$B$14,1)*100</f>
        <v>90.1354166666667</v>
      </c>
      <c r="M650" s="21" t="n">
        <f aca="false">VLOOKUP(F650,Assumptions!$A$19:$B$23,2,0)</f>
        <v>25</v>
      </c>
      <c r="N650" s="21" t="n">
        <f aca="false">VLOOKUP(G650,Assumptions!$A$27:$B$30,2,0)</f>
        <v>100</v>
      </c>
      <c r="O650" s="21" t="n">
        <f aca="false">VLOOKUP(D650,Assumptions!$A$34:$B$37,2,0)</f>
        <v>66</v>
      </c>
      <c r="P650" s="21" t="n">
        <f aca="false">VLOOKUP(E650,Assumptions!$A$41:$B$43,2,0)</f>
        <v>60</v>
      </c>
      <c r="Q650" s="22" t="n">
        <f aca="false">L650*Assumptions!$B$7+M650*Assumptions!$B$8+N650*Assumptions!$B$9+O650*Assumptions!$B$10+P650*Assumptions!$B$11</f>
        <v>69.190625</v>
      </c>
      <c r="R650" s="11" t="str">
        <f aca="false">IF(Q650&lt;=33,"High Risk",IF(Q650&lt;=66,"Medium Risk","Low Risk"))</f>
        <v>Low Risk</v>
      </c>
    </row>
    <row r="651" customFormat="false" ht="15" hidden="false" customHeight="true" outlineLevel="0" collapsed="false">
      <c r="A651" s="20" t="n">
        <f aca="false">'Raw Data'!A651</f>
        <v>650</v>
      </c>
      <c r="B651" s="20" t="n">
        <f aca="false">'Raw Data'!B651</f>
        <v>40</v>
      </c>
      <c r="C651" s="20" t="str">
        <f aca="false">'Raw Data'!C651</f>
        <v>male</v>
      </c>
      <c r="D651" s="20" t="n">
        <f aca="false">'Raw Data'!D651</f>
        <v>1</v>
      </c>
      <c r="E651" s="20" t="str">
        <f aca="false">'Raw Data'!E651</f>
        <v>rent</v>
      </c>
      <c r="F651" s="20" t="str">
        <f aca="false">'Raw Data'!F651</f>
        <v>little</v>
      </c>
      <c r="G651" s="20" t="str">
        <f aca="false">'Raw Data'!G651</f>
        <v>little</v>
      </c>
      <c r="H651" s="20" t="n">
        <f aca="false">'Raw Data'!H651</f>
        <v>684</v>
      </c>
      <c r="I651" s="20" t="n">
        <f aca="false">'Raw Data'!I651</f>
        <v>12</v>
      </c>
      <c r="J651" s="20" t="str">
        <f aca="false">'Raw Data'!J651</f>
        <v>education</v>
      </c>
      <c r="K651" s="21" t="n">
        <f aca="false">H651/I651</f>
        <v>57</v>
      </c>
      <c r="L651" s="21" t="n">
        <f aca="false">100-MIN(K651/Assumptions!$B$14,1)*100</f>
        <v>85.75</v>
      </c>
      <c r="M651" s="21" t="n">
        <f aca="false">VLOOKUP(F651,Assumptions!$A$19:$B$23,2,0)</f>
        <v>25</v>
      </c>
      <c r="N651" s="21" t="n">
        <f aca="false">VLOOKUP(G651,Assumptions!$A$27:$B$30,2,0)</f>
        <v>25</v>
      </c>
      <c r="O651" s="21" t="n">
        <f aca="false">VLOOKUP(D651,Assumptions!$A$34:$B$37,2,0)</f>
        <v>33</v>
      </c>
      <c r="P651" s="21" t="n">
        <f aca="false">VLOOKUP(E651,Assumptions!$A$41:$B$43,2,0)</f>
        <v>30</v>
      </c>
      <c r="Q651" s="22" t="n">
        <f aca="false">L651*Assumptions!$B$7+M651*Assumptions!$B$8+N651*Assumptions!$B$9+O651*Assumptions!$B$10+P651*Assumptions!$B$11</f>
        <v>44.925</v>
      </c>
      <c r="R651" s="11" t="str">
        <f aca="false">IF(Q651&lt;=33,"High Risk",IF(Q651&lt;=66,"Medium Risk","Low Risk"))</f>
        <v>Medium Risk</v>
      </c>
    </row>
    <row r="652" customFormat="false" ht="15" hidden="false" customHeight="true" outlineLevel="0" collapsed="false">
      <c r="A652" s="20" t="n">
        <f aca="false">'Raw Data'!A652</f>
        <v>651</v>
      </c>
      <c r="B652" s="20" t="n">
        <f aca="false">'Raw Data'!B652</f>
        <v>50</v>
      </c>
      <c r="C652" s="20" t="str">
        <f aca="false">'Raw Data'!C652</f>
        <v>male</v>
      </c>
      <c r="D652" s="20" t="n">
        <f aca="false">'Raw Data'!D652</f>
        <v>3</v>
      </c>
      <c r="E652" s="20" t="str">
        <f aca="false">'Raw Data'!E652</f>
        <v>free</v>
      </c>
      <c r="F652" s="20" t="str">
        <f aca="false">'Raw Data'!F652</f>
        <v>little</v>
      </c>
      <c r="G652" s="20" t="str">
        <f aca="false">'Raw Data'!G652</f>
        <v>little</v>
      </c>
      <c r="H652" s="20" t="n">
        <f aca="false">'Raw Data'!H652</f>
        <v>7476</v>
      </c>
      <c r="I652" s="20" t="n">
        <f aca="false">'Raw Data'!I652</f>
        <v>48</v>
      </c>
      <c r="J652" s="20" t="str">
        <f aca="false">'Raw Data'!J652</f>
        <v>education</v>
      </c>
      <c r="K652" s="21" t="n">
        <f aca="false">H652/I652</f>
        <v>155.75</v>
      </c>
      <c r="L652" s="21" t="n">
        <f aca="false">100-MIN(K652/Assumptions!$B$14,1)*100</f>
        <v>61.0625</v>
      </c>
      <c r="M652" s="21" t="n">
        <f aca="false">VLOOKUP(F652,Assumptions!$A$19:$B$23,2,0)</f>
        <v>25</v>
      </c>
      <c r="N652" s="21" t="n">
        <f aca="false">VLOOKUP(G652,Assumptions!$A$27:$B$30,2,0)</f>
        <v>25</v>
      </c>
      <c r="O652" s="21" t="n">
        <f aca="false">VLOOKUP(D652,Assumptions!$A$34:$B$37,2,0)</f>
        <v>100</v>
      </c>
      <c r="P652" s="21" t="n">
        <f aca="false">VLOOKUP(E652,Assumptions!$A$41:$B$43,2,0)</f>
        <v>60</v>
      </c>
      <c r="Q652" s="22" t="n">
        <f aca="false">L652*Assumptions!$B$7+M652*Assumptions!$B$8+N652*Assumptions!$B$9+O652*Assumptions!$B$10+P652*Assumptions!$B$11</f>
        <v>50.56875</v>
      </c>
      <c r="R652" s="11" t="str">
        <f aca="false">IF(Q652&lt;=33,"High Risk",IF(Q652&lt;=66,"Medium Risk","Low Risk"))</f>
        <v>Medium Risk</v>
      </c>
    </row>
    <row r="653" customFormat="false" ht="15" hidden="false" customHeight="true" outlineLevel="0" collapsed="false">
      <c r="A653" s="20" t="n">
        <f aca="false">'Raw Data'!A653</f>
        <v>652</v>
      </c>
      <c r="B653" s="20" t="n">
        <f aca="false">'Raw Data'!B653</f>
        <v>37</v>
      </c>
      <c r="C653" s="20" t="str">
        <f aca="false">'Raw Data'!C653</f>
        <v>male</v>
      </c>
      <c r="D653" s="20" t="n">
        <f aca="false">'Raw Data'!D653</f>
        <v>1</v>
      </c>
      <c r="E653" s="20" t="str">
        <f aca="false">'Raw Data'!E653</f>
        <v>own</v>
      </c>
      <c r="F653" s="20" t="str">
        <f aca="false">'Raw Data'!F653</f>
        <v>little</v>
      </c>
      <c r="G653" s="20" t="str">
        <f aca="false">'Raw Data'!G653</f>
        <v>moderate</v>
      </c>
      <c r="H653" s="20" t="n">
        <f aca="false">'Raw Data'!H653</f>
        <v>1922</v>
      </c>
      <c r="I653" s="20" t="n">
        <f aca="false">'Raw Data'!I653</f>
        <v>12</v>
      </c>
      <c r="J653" s="20" t="str">
        <f aca="false">'Raw Data'!J653</f>
        <v>furniture/equipment</v>
      </c>
      <c r="K653" s="21" t="n">
        <f aca="false">H653/I653</f>
        <v>160.166666666667</v>
      </c>
      <c r="L653" s="21" t="n">
        <f aca="false">100-MIN(K653/Assumptions!$B$14,1)*100</f>
        <v>59.9583333333333</v>
      </c>
      <c r="M653" s="21" t="n">
        <f aca="false">VLOOKUP(F653,Assumptions!$A$19:$B$23,2,0)</f>
        <v>25</v>
      </c>
      <c r="N653" s="21" t="n">
        <f aca="false">VLOOKUP(G653,Assumptions!$A$27:$B$30,2,0)</f>
        <v>60</v>
      </c>
      <c r="O653" s="21" t="n">
        <f aca="false">VLOOKUP(D653,Assumptions!$A$34:$B$37,2,0)</f>
        <v>33</v>
      </c>
      <c r="P653" s="21" t="n">
        <f aca="false">VLOOKUP(E653,Assumptions!$A$41:$B$43,2,0)</f>
        <v>100</v>
      </c>
      <c r="Q653" s="22" t="n">
        <f aca="false">L653*Assumptions!$B$7+M653*Assumptions!$B$8+N653*Assumptions!$B$9+O653*Assumptions!$B$10+P653*Assumptions!$B$11</f>
        <v>51.1875</v>
      </c>
      <c r="R653" s="11" t="str">
        <f aca="false">IF(Q653&lt;=33,"High Risk",IF(Q653&lt;=66,"Medium Risk","Low Risk"))</f>
        <v>Medium Risk</v>
      </c>
    </row>
    <row r="654" customFormat="false" ht="15" hidden="false" customHeight="true" outlineLevel="0" collapsed="false">
      <c r="A654" s="20" t="n">
        <f aca="false">'Raw Data'!A654</f>
        <v>653</v>
      </c>
      <c r="B654" s="20" t="n">
        <f aca="false">'Raw Data'!B654</f>
        <v>45</v>
      </c>
      <c r="C654" s="20" t="str">
        <f aca="false">'Raw Data'!C654</f>
        <v>male</v>
      </c>
      <c r="D654" s="20" t="n">
        <f aca="false">'Raw Data'!D654</f>
        <v>2</v>
      </c>
      <c r="E654" s="20" t="str">
        <f aca="false">'Raw Data'!E654</f>
        <v>own</v>
      </c>
      <c r="F654" s="20" t="str">
        <f aca="false">'Raw Data'!F654</f>
        <v>little</v>
      </c>
      <c r="G654" s="20" t="str">
        <f aca="false">'Raw Data'!G654</f>
        <v>little</v>
      </c>
      <c r="H654" s="20" t="n">
        <f aca="false">'Raw Data'!H654</f>
        <v>2303</v>
      </c>
      <c r="I654" s="20" t="n">
        <f aca="false">'Raw Data'!I654</f>
        <v>24</v>
      </c>
      <c r="J654" s="20" t="str">
        <f aca="false">'Raw Data'!J654</f>
        <v>car</v>
      </c>
      <c r="K654" s="21" t="n">
        <f aca="false">H654/I654</f>
        <v>95.9583333333333</v>
      </c>
      <c r="L654" s="21" t="n">
        <f aca="false">100-MIN(K654/Assumptions!$B$14,1)*100</f>
        <v>76.0104166666667</v>
      </c>
      <c r="M654" s="21" t="n">
        <f aca="false">VLOOKUP(F654,Assumptions!$A$19:$B$23,2,0)</f>
        <v>25</v>
      </c>
      <c r="N654" s="21" t="n">
        <f aca="false">VLOOKUP(G654,Assumptions!$A$27:$B$30,2,0)</f>
        <v>25</v>
      </c>
      <c r="O654" s="21" t="n">
        <f aca="false">VLOOKUP(D654,Assumptions!$A$34:$B$37,2,0)</f>
        <v>66</v>
      </c>
      <c r="P654" s="21" t="n">
        <f aca="false">VLOOKUP(E654,Assumptions!$A$41:$B$43,2,0)</f>
        <v>100</v>
      </c>
      <c r="Q654" s="22" t="n">
        <f aca="false">L654*Assumptions!$B$7+M654*Assumptions!$B$8+N654*Assumptions!$B$9+O654*Assumptions!$B$10+P654*Assumptions!$B$11</f>
        <v>53.953125</v>
      </c>
      <c r="R654" s="11" t="str">
        <f aca="false">IF(Q654&lt;=33,"High Risk",IF(Q654&lt;=66,"Medium Risk","Low Risk"))</f>
        <v>Medium Risk</v>
      </c>
    </row>
    <row r="655" customFormat="false" ht="15" hidden="false" customHeight="true" outlineLevel="0" collapsed="false">
      <c r="A655" s="20" t="n">
        <f aca="false">'Raw Data'!A655</f>
        <v>654</v>
      </c>
      <c r="B655" s="20" t="n">
        <f aca="false">'Raw Data'!B655</f>
        <v>42</v>
      </c>
      <c r="C655" s="20" t="str">
        <f aca="false">'Raw Data'!C655</f>
        <v>male</v>
      </c>
      <c r="D655" s="20" t="n">
        <f aca="false">'Raw Data'!D655</f>
        <v>3</v>
      </c>
      <c r="E655" s="20" t="str">
        <f aca="false">'Raw Data'!E655</f>
        <v>own</v>
      </c>
      <c r="F655" s="20" t="str">
        <f aca="false">'Raw Data'!F655</f>
        <v>moderate</v>
      </c>
      <c r="G655" s="20" t="str">
        <f aca="false">'Raw Data'!G655</f>
        <v>moderate</v>
      </c>
      <c r="H655" s="20" t="n">
        <f aca="false">'Raw Data'!H655</f>
        <v>8086</v>
      </c>
      <c r="I655" s="20" t="n">
        <f aca="false">'Raw Data'!I655</f>
        <v>36</v>
      </c>
      <c r="J655" s="20" t="str">
        <f aca="false">'Raw Data'!J655</f>
        <v>car</v>
      </c>
      <c r="K655" s="21" t="n">
        <f aca="false">H655/I655</f>
        <v>224.611111111111</v>
      </c>
      <c r="L655" s="21" t="n">
        <f aca="false">100-MIN(K655/Assumptions!$B$14,1)*100</f>
        <v>43.8472222222222</v>
      </c>
      <c r="M655" s="21" t="n">
        <f aca="false">VLOOKUP(F655,Assumptions!$A$19:$B$23,2,0)</f>
        <v>50</v>
      </c>
      <c r="N655" s="21" t="n">
        <f aca="false">VLOOKUP(G655,Assumptions!$A$27:$B$30,2,0)</f>
        <v>60</v>
      </c>
      <c r="O655" s="21" t="n">
        <f aca="false">VLOOKUP(D655,Assumptions!$A$34:$B$37,2,0)</f>
        <v>100</v>
      </c>
      <c r="P655" s="21" t="n">
        <f aca="false">VLOOKUP(E655,Assumptions!$A$41:$B$43,2,0)</f>
        <v>100</v>
      </c>
      <c r="Q655" s="22" t="n">
        <f aca="false">L655*Assumptions!$B$7+M655*Assumptions!$B$8+N655*Assumptions!$B$9+O655*Assumptions!$B$10+P655*Assumptions!$B$11</f>
        <v>62.6541666666667</v>
      </c>
      <c r="R655" s="11" t="str">
        <f aca="false">IF(Q655&lt;=33,"High Risk",IF(Q655&lt;=66,"Medium Risk","Low Risk"))</f>
        <v>Medium Risk</v>
      </c>
    </row>
    <row r="656" customFormat="false" ht="15" hidden="false" customHeight="true" outlineLevel="0" collapsed="false">
      <c r="A656" s="20" t="n">
        <f aca="false">'Raw Data'!A656</f>
        <v>655</v>
      </c>
      <c r="B656" s="20" t="n">
        <f aca="false">'Raw Data'!B656</f>
        <v>35</v>
      </c>
      <c r="C656" s="20" t="str">
        <f aca="false">'Raw Data'!C656</f>
        <v>male</v>
      </c>
      <c r="D656" s="20" t="n">
        <f aca="false">'Raw Data'!D656</f>
        <v>2</v>
      </c>
      <c r="E656" s="20" t="str">
        <f aca="false">'Raw Data'!E656</f>
        <v>own</v>
      </c>
      <c r="F656" s="20" t="str">
        <f aca="false">'Raw Data'!F656</f>
        <v>little</v>
      </c>
      <c r="G656" s="20" t="str">
        <f aca="false">'Raw Data'!G656</f>
        <v>none</v>
      </c>
      <c r="H656" s="20" t="n">
        <f aca="false">'Raw Data'!H656</f>
        <v>2346</v>
      </c>
      <c r="I656" s="20" t="n">
        <f aca="false">'Raw Data'!I656</f>
        <v>24</v>
      </c>
      <c r="J656" s="20" t="str">
        <f aca="false">'Raw Data'!J656</f>
        <v>car</v>
      </c>
      <c r="K656" s="21" t="n">
        <f aca="false">H656/I656</f>
        <v>97.75</v>
      </c>
      <c r="L656" s="21" t="n">
        <f aca="false">100-MIN(K656/Assumptions!$B$14,1)*100</f>
        <v>75.5625</v>
      </c>
      <c r="M656" s="21" t="n">
        <f aca="false">VLOOKUP(F656,Assumptions!$A$19:$B$23,2,0)</f>
        <v>25</v>
      </c>
      <c r="N656" s="21" t="n">
        <f aca="false">VLOOKUP(G656,Assumptions!$A$27:$B$30,2,0)</f>
        <v>50</v>
      </c>
      <c r="O656" s="21" t="n">
        <f aca="false">VLOOKUP(D656,Assumptions!$A$34:$B$37,2,0)</f>
        <v>66</v>
      </c>
      <c r="P656" s="21" t="n">
        <f aca="false">VLOOKUP(E656,Assumptions!$A$41:$B$43,2,0)</f>
        <v>100</v>
      </c>
      <c r="Q656" s="22" t="n">
        <f aca="false">L656*Assumptions!$B$7+M656*Assumptions!$B$8+N656*Assumptions!$B$9+O656*Assumptions!$B$10+P656*Assumptions!$B$11</f>
        <v>58.81875</v>
      </c>
      <c r="R656" s="11" t="str">
        <f aca="false">IF(Q656&lt;=33,"High Risk",IF(Q656&lt;=66,"Medium Risk","Low Risk"))</f>
        <v>Medium Risk</v>
      </c>
    </row>
    <row r="657" customFormat="false" ht="15" hidden="false" customHeight="true" outlineLevel="0" collapsed="false">
      <c r="A657" s="20" t="n">
        <f aca="false">'Raw Data'!A657</f>
        <v>656</v>
      </c>
      <c r="B657" s="20" t="n">
        <f aca="false">'Raw Data'!B657</f>
        <v>22</v>
      </c>
      <c r="C657" s="20" t="str">
        <f aca="false">'Raw Data'!C657</f>
        <v>male</v>
      </c>
      <c r="D657" s="20" t="n">
        <f aca="false">'Raw Data'!D657</f>
        <v>2</v>
      </c>
      <c r="E657" s="20" t="str">
        <f aca="false">'Raw Data'!E657</f>
        <v>free</v>
      </c>
      <c r="F657" s="20" t="str">
        <f aca="false">'Raw Data'!F657</f>
        <v>little</v>
      </c>
      <c r="G657" s="20" t="str">
        <f aca="false">'Raw Data'!G657</f>
        <v>little</v>
      </c>
      <c r="H657" s="20" t="n">
        <f aca="false">'Raw Data'!H657</f>
        <v>3973</v>
      </c>
      <c r="I657" s="20" t="n">
        <f aca="false">'Raw Data'!I657</f>
        <v>14</v>
      </c>
      <c r="J657" s="20" t="str">
        <f aca="false">'Raw Data'!J657</f>
        <v>car</v>
      </c>
      <c r="K657" s="21" t="n">
        <f aca="false">H657/I657</f>
        <v>283.785714285714</v>
      </c>
      <c r="L657" s="21" t="n">
        <f aca="false">100-MIN(K657/Assumptions!$B$14,1)*100</f>
        <v>29.0535714285714</v>
      </c>
      <c r="M657" s="21" t="n">
        <f aca="false">VLOOKUP(F657,Assumptions!$A$19:$B$23,2,0)</f>
        <v>25</v>
      </c>
      <c r="N657" s="21" t="n">
        <f aca="false">VLOOKUP(G657,Assumptions!$A$27:$B$30,2,0)</f>
        <v>25</v>
      </c>
      <c r="O657" s="21" t="n">
        <f aca="false">VLOOKUP(D657,Assumptions!$A$34:$B$37,2,0)</f>
        <v>66</v>
      </c>
      <c r="P657" s="21" t="n">
        <f aca="false">VLOOKUP(E657,Assumptions!$A$41:$B$43,2,0)</f>
        <v>60</v>
      </c>
      <c r="Q657" s="22" t="n">
        <f aca="false">L657*Assumptions!$B$7+M657*Assumptions!$B$8+N657*Assumptions!$B$9+O657*Assumptions!$B$10+P657*Assumptions!$B$11</f>
        <v>35.8660714285714</v>
      </c>
      <c r="R657" s="11" t="str">
        <f aca="false">IF(Q657&lt;=33,"High Risk",IF(Q657&lt;=66,"Medium Risk","Low Risk"))</f>
        <v>Medium Risk</v>
      </c>
    </row>
    <row r="658" customFormat="false" ht="15" hidden="false" customHeight="true" outlineLevel="0" collapsed="false">
      <c r="A658" s="20" t="n">
        <f aca="false">'Raw Data'!A658</f>
        <v>657</v>
      </c>
      <c r="B658" s="20" t="n">
        <f aca="false">'Raw Data'!B658</f>
        <v>41</v>
      </c>
      <c r="C658" s="20" t="str">
        <f aca="false">'Raw Data'!C658</f>
        <v>male</v>
      </c>
      <c r="D658" s="20" t="n">
        <f aca="false">'Raw Data'!D658</f>
        <v>1</v>
      </c>
      <c r="E658" s="20" t="str">
        <f aca="false">'Raw Data'!E658</f>
        <v>own</v>
      </c>
      <c r="F658" s="20" t="str">
        <f aca="false">'Raw Data'!F658</f>
        <v>little</v>
      </c>
      <c r="G658" s="20" t="str">
        <f aca="false">'Raw Data'!G658</f>
        <v>moderate</v>
      </c>
      <c r="H658" s="20" t="n">
        <f aca="false">'Raw Data'!H658</f>
        <v>888</v>
      </c>
      <c r="I658" s="20" t="n">
        <f aca="false">'Raw Data'!I658</f>
        <v>12</v>
      </c>
      <c r="J658" s="20" t="str">
        <f aca="false">'Raw Data'!J658</f>
        <v>car</v>
      </c>
      <c r="K658" s="21" t="n">
        <f aca="false">H658/I658</f>
        <v>74</v>
      </c>
      <c r="L658" s="21" t="n">
        <f aca="false">100-MIN(K658/Assumptions!$B$14,1)*100</f>
        <v>81.5</v>
      </c>
      <c r="M658" s="21" t="n">
        <f aca="false">VLOOKUP(F658,Assumptions!$A$19:$B$23,2,0)</f>
        <v>25</v>
      </c>
      <c r="N658" s="21" t="n">
        <f aca="false">VLOOKUP(G658,Assumptions!$A$27:$B$30,2,0)</f>
        <v>60</v>
      </c>
      <c r="O658" s="21" t="n">
        <f aca="false">VLOOKUP(D658,Assumptions!$A$34:$B$37,2,0)</f>
        <v>33</v>
      </c>
      <c r="P658" s="21" t="n">
        <f aca="false">VLOOKUP(E658,Assumptions!$A$41:$B$43,2,0)</f>
        <v>100</v>
      </c>
      <c r="Q658" s="22" t="n">
        <f aca="false">L658*Assumptions!$B$7+M658*Assumptions!$B$8+N658*Assumptions!$B$9+O658*Assumptions!$B$10+P658*Assumptions!$B$11</f>
        <v>57.65</v>
      </c>
      <c r="R658" s="11" t="str">
        <f aca="false">IF(Q658&lt;=33,"High Risk",IF(Q658&lt;=66,"Medium Risk","Low Risk"))</f>
        <v>Medium Risk</v>
      </c>
    </row>
    <row r="659" customFormat="false" ht="15" hidden="false" customHeight="true" outlineLevel="0" collapsed="false">
      <c r="A659" s="20" t="n">
        <f aca="false">'Raw Data'!A659</f>
        <v>658</v>
      </c>
      <c r="B659" s="20" t="n">
        <f aca="false">'Raw Data'!B659</f>
        <v>37</v>
      </c>
      <c r="C659" s="20" t="str">
        <f aca="false">'Raw Data'!C659</f>
        <v>male</v>
      </c>
      <c r="D659" s="20" t="n">
        <f aca="false">'Raw Data'!D659</f>
        <v>2</v>
      </c>
      <c r="E659" s="20" t="str">
        <f aca="false">'Raw Data'!E659</f>
        <v>own</v>
      </c>
      <c r="F659" s="20" t="str">
        <f aca="false">'Raw Data'!F659</f>
        <v>none</v>
      </c>
      <c r="G659" s="20" t="str">
        <f aca="false">'Raw Data'!G659</f>
        <v>none</v>
      </c>
      <c r="H659" s="20" t="n">
        <f aca="false">'Raw Data'!H659</f>
        <v>10222</v>
      </c>
      <c r="I659" s="20" t="n">
        <f aca="false">'Raw Data'!I659</f>
        <v>48</v>
      </c>
      <c r="J659" s="20" t="str">
        <f aca="false">'Raw Data'!J659</f>
        <v>radio/TV</v>
      </c>
      <c r="K659" s="21" t="n">
        <f aca="false">H659/I659</f>
        <v>212.958333333333</v>
      </c>
      <c r="L659" s="21" t="n">
        <f aca="false">100-MIN(K659/Assumptions!$B$14,1)*100</f>
        <v>46.7604166666667</v>
      </c>
      <c r="M659" s="21" t="n">
        <f aca="false">VLOOKUP(F659,Assumptions!$A$19:$B$23,2,0)</f>
        <v>40</v>
      </c>
      <c r="N659" s="21" t="n">
        <f aca="false">VLOOKUP(G659,Assumptions!$A$27:$B$30,2,0)</f>
        <v>50</v>
      </c>
      <c r="O659" s="21" t="n">
        <f aca="false">VLOOKUP(D659,Assumptions!$A$34:$B$37,2,0)</f>
        <v>66</v>
      </c>
      <c r="P659" s="21" t="n">
        <f aca="false">VLOOKUP(E659,Assumptions!$A$41:$B$43,2,0)</f>
        <v>100</v>
      </c>
      <c r="Q659" s="22" t="n">
        <f aca="false">L659*Assumptions!$B$7+M659*Assumptions!$B$8+N659*Assumptions!$B$9+O659*Assumptions!$B$10+P659*Assumptions!$B$11</f>
        <v>53.928125</v>
      </c>
      <c r="R659" s="11" t="str">
        <f aca="false">IF(Q659&lt;=33,"High Risk",IF(Q659&lt;=66,"Medium Risk","Low Risk"))</f>
        <v>Medium Risk</v>
      </c>
    </row>
    <row r="660" customFormat="false" ht="15" hidden="false" customHeight="true" outlineLevel="0" collapsed="false">
      <c r="A660" s="20" t="n">
        <f aca="false">'Raw Data'!A660</f>
        <v>659</v>
      </c>
      <c r="B660" s="20" t="n">
        <f aca="false">'Raw Data'!B660</f>
        <v>28</v>
      </c>
      <c r="C660" s="20" t="str">
        <f aca="false">'Raw Data'!C660</f>
        <v>female</v>
      </c>
      <c r="D660" s="20" t="n">
        <f aca="false">'Raw Data'!D660</f>
        <v>2</v>
      </c>
      <c r="E660" s="20" t="str">
        <f aca="false">'Raw Data'!E660</f>
        <v>own</v>
      </c>
      <c r="F660" s="20" t="str">
        <f aca="false">'Raw Data'!F660</f>
        <v>little</v>
      </c>
      <c r="G660" s="20" t="str">
        <f aca="false">'Raw Data'!G660</f>
        <v>moderate</v>
      </c>
      <c r="H660" s="20" t="n">
        <f aca="false">'Raw Data'!H660</f>
        <v>4221</v>
      </c>
      <c r="I660" s="20" t="n">
        <f aca="false">'Raw Data'!I660</f>
        <v>30</v>
      </c>
      <c r="J660" s="20" t="str">
        <f aca="false">'Raw Data'!J660</f>
        <v>business</v>
      </c>
      <c r="K660" s="21" t="n">
        <f aca="false">H660/I660</f>
        <v>140.7</v>
      </c>
      <c r="L660" s="21" t="n">
        <f aca="false">100-MIN(K660/Assumptions!$B$14,1)*100</f>
        <v>64.825</v>
      </c>
      <c r="M660" s="21" t="n">
        <f aca="false">VLOOKUP(F660,Assumptions!$A$19:$B$23,2,0)</f>
        <v>25</v>
      </c>
      <c r="N660" s="21" t="n">
        <f aca="false">VLOOKUP(G660,Assumptions!$A$27:$B$30,2,0)</f>
        <v>60</v>
      </c>
      <c r="O660" s="21" t="n">
        <f aca="false">VLOOKUP(D660,Assumptions!$A$34:$B$37,2,0)</f>
        <v>66</v>
      </c>
      <c r="P660" s="21" t="n">
        <f aca="false">VLOOKUP(E660,Assumptions!$A$41:$B$43,2,0)</f>
        <v>100</v>
      </c>
      <c r="Q660" s="22" t="n">
        <f aca="false">L660*Assumptions!$B$7+M660*Assumptions!$B$8+N660*Assumptions!$B$9+O660*Assumptions!$B$10+P660*Assumptions!$B$11</f>
        <v>57.5975</v>
      </c>
      <c r="R660" s="11" t="str">
        <f aca="false">IF(Q660&lt;=33,"High Risk",IF(Q660&lt;=66,"Medium Risk","Low Risk"))</f>
        <v>Medium Risk</v>
      </c>
    </row>
    <row r="661" customFormat="false" ht="15" hidden="false" customHeight="true" outlineLevel="0" collapsed="false">
      <c r="A661" s="20" t="n">
        <f aca="false">'Raw Data'!A661</f>
        <v>660</v>
      </c>
      <c r="B661" s="20" t="n">
        <f aca="false">'Raw Data'!B661</f>
        <v>41</v>
      </c>
      <c r="C661" s="20" t="str">
        <f aca="false">'Raw Data'!C661</f>
        <v>male</v>
      </c>
      <c r="D661" s="20" t="n">
        <f aca="false">'Raw Data'!D661</f>
        <v>2</v>
      </c>
      <c r="E661" s="20" t="str">
        <f aca="false">'Raw Data'!E661</f>
        <v>own</v>
      </c>
      <c r="F661" s="20" t="str">
        <f aca="false">'Raw Data'!F661</f>
        <v>little</v>
      </c>
      <c r="G661" s="20" t="str">
        <f aca="false">'Raw Data'!G661</f>
        <v>moderate</v>
      </c>
      <c r="H661" s="20" t="n">
        <f aca="false">'Raw Data'!H661</f>
        <v>6361</v>
      </c>
      <c r="I661" s="20" t="n">
        <f aca="false">'Raw Data'!I661</f>
        <v>18</v>
      </c>
      <c r="J661" s="20" t="str">
        <f aca="false">'Raw Data'!J661</f>
        <v>furniture/equipment</v>
      </c>
      <c r="K661" s="21" t="n">
        <f aca="false">H661/I661</f>
        <v>353.388888888889</v>
      </c>
      <c r="L661" s="21" t="n">
        <f aca="false">100-MIN(K661/Assumptions!$B$14,1)*100</f>
        <v>11.6527777777778</v>
      </c>
      <c r="M661" s="21" t="n">
        <f aca="false">VLOOKUP(F661,Assumptions!$A$19:$B$23,2,0)</f>
        <v>25</v>
      </c>
      <c r="N661" s="21" t="n">
        <f aca="false">VLOOKUP(G661,Assumptions!$A$27:$B$30,2,0)</f>
        <v>60</v>
      </c>
      <c r="O661" s="21" t="n">
        <f aca="false">VLOOKUP(D661,Assumptions!$A$34:$B$37,2,0)</f>
        <v>66</v>
      </c>
      <c r="P661" s="21" t="n">
        <f aca="false">VLOOKUP(E661,Assumptions!$A$41:$B$43,2,0)</f>
        <v>100</v>
      </c>
      <c r="Q661" s="22" t="n">
        <f aca="false">L661*Assumptions!$B$7+M661*Assumptions!$B$8+N661*Assumptions!$B$9+O661*Assumptions!$B$10+P661*Assumptions!$B$11</f>
        <v>41.6458333333333</v>
      </c>
      <c r="R661" s="11" t="str">
        <f aca="false">IF(Q661&lt;=33,"High Risk",IF(Q661&lt;=66,"Medium Risk","Low Risk"))</f>
        <v>Medium Risk</v>
      </c>
    </row>
    <row r="662" customFormat="false" ht="15" hidden="false" customHeight="true" outlineLevel="0" collapsed="false">
      <c r="A662" s="20" t="n">
        <f aca="false">'Raw Data'!A662</f>
        <v>661</v>
      </c>
      <c r="B662" s="20" t="n">
        <f aca="false">'Raw Data'!B662</f>
        <v>23</v>
      </c>
      <c r="C662" s="20" t="str">
        <f aca="false">'Raw Data'!C662</f>
        <v>male</v>
      </c>
      <c r="D662" s="20" t="n">
        <f aca="false">'Raw Data'!D662</f>
        <v>2</v>
      </c>
      <c r="E662" s="20" t="str">
        <f aca="false">'Raw Data'!E662</f>
        <v>rent</v>
      </c>
      <c r="F662" s="20" t="str">
        <f aca="false">'Raw Data'!F662</f>
        <v>little</v>
      </c>
      <c r="G662" s="20" t="str">
        <f aca="false">'Raw Data'!G662</f>
        <v>rich</v>
      </c>
      <c r="H662" s="20" t="n">
        <f aca="false">'Raw Data'!H662</f>
        <v>1297</v>
      </c>
      <c r="I662" s="20" t="n">
        <f aca="false">'Raw Data'!I662</f>
        <v>12</v>
      </c>
      <c r="J662" s="20" t="str">
        <f aca="false">'Raw Data'!J662</f>
        <v>radio/TV</v>
      </c>
      <c r="K662" s="21" t="n">
        <f aca="false">H662/I662</f>
        <v>108.083333333333</v>
      </c>
      <c r="L662" s="21" t="n">
        <f aca="false">100-MIN(K662/Assumptions!$B$14,1)*100</f>
        <v>72.9791666666667</v>
      </c>
      <c r="M662" s="21" t="n">
        <f aca="false">VLOOKUP(F662,Assumptions!$A$19:$B$23,2,0)</f>
        <v>25</v>
      </c>
      <c r="N662" s="21" t="n">
        <f aca="false">VLOOKUP(G662,Assumptions!$A$27:$B$30,2,0)</f>
        <v>100</v>
      </c>
      <c r="O662" s="21" t="n">
        <f aca="false">VLOOKUP(D662,Assumptions!$A$34:$B$37,2,0)</f>
        <v>66</v>
      </c>
      <c r="P662" s="21" t="n">
        <f aca="false">VLOOKUP(E662,Assumptions!$A$41:$B$43,2,0)</f>
        <v>30</v>
      </c>
      <c r="Q662" s="22" t="n">
        <f aca="false">L662*Assumptions!$B$7+M662*Assumptions!$B$8+N662*Assumptions!$B$9+O662*Assumptions!$B$10+P662*Assumptions!$B$11</f>
        <v>61.04375</v>
      </c>
      <c r="R662" s="11" t="str">
        <f aca="false">IF(Q662&lt;=33,"High Risk",IF(Q662&lt;=66,"Medium Risk","Low Risk"))</f>
        <v>Medium Risk</v>
      </c>
    </row>
    <row r="663" customFormat="false" ht="15" hidden="false" customHeight="true" outlineLevel="0" collapsed="false">
      <c r="A663" s="20" t="n">
        <f aca="false">'Raw Data'!A663</f>
        <v>662</v>
      </c>
      <c r="B663" s="20" t="n">
        <f aca="false">'Raw Data'!B663</f>
        <v>23</v>
      </c>
      <c r="C663" s="20" t="str">
        <f aca="false">'Raw Data'!C663</f>
        <v>male</v>
      </c>
      <c r="D663" s="20" t="n">
        <f aca="false">'Raw Data'!D663</f>
        <v>2</v>
      </c>
      <c r="E663" s="20" t="str">
        <f aca="false">'Raw Data'!E663</f>
        <v>own</v>
      </c>
      <c r="F663" s="20" t="str">
        <f aca="false">'Raw Data'!F663</f>
        <v>none</v>
      </c>
      <c r="G663" s="20" t="str">
        <f aca="false">'Raw Data'!G663</f>
        <v>little</v>
      </c>
      <c r="H663" s="20" t="n">
        <f aca="false">'Raw Data'!H663</f>
        <v>900</v>
      </c>
      <c r="I663" s="20" t="n">
        <f aca="false">'Raw Data'!I663</f>
        <v>12</v>
      </c>
      <c r="J663" s="20" t="str">
        <f aca="false">'Raw Data'!J663</f>
        <v>car</v>
      </c>
      <c r="K663" s="21" t="n">
        <f aca="false">H663/I663</f>
        <v>75</v>
      </c>
      <c r="L663" s="21" t="n">
        <f aca="false">100-MIN(K663/Assumptions!$B$14,1)*100</f>
        <v>81.25</v>
      </c>
      <c r="M663" s="21" t="n">
        <f aca="false">VLOOKUP(F663,Assumptions!$A$19:$B$23,2,0)</f>
        <v>40</v>
      </c>
      <c r="N663" s="21" t="n">
        <f aca="false">VLOOKUP(G663,Assumptions!$A$27:$B$30,2,0)</f>
        <v>25</v>
      </c>
      <c r="O663" s="21" t="n">
        <f aca="false">VLOOKUP(D663,Assumptions!$A$34:$B$37,2,0)</f>
        <v>66</v>
      </c>
      <c r="P663" s="21" t="n">
        <f aca="false">VLOOKUP(E663,Assumptions!$A$41:$B$43,2,0)</f>
        <v>100</v>
      </c>
      <c r="Q663" s="22" t="n">
        <f aca="false">L663*Assumptions!$B$7+M663*Assumptions!$B$8+N663*Assumptions!$B$9+O663*Assumptions!$B$10+P663*Assumptions!$B$11</f>
        <v>59.275</v>
      </c>
      <c r="R663" s="11" t="str">
        <f aca="false">IF(Q663&lt;=33,"High Risk",IF(Q663&lt;=66,"Medium Risk","Low Risk"))</f>
        <v>Medium Risk</v>
      </c>
    </row>
    <row r="664" customFormat="false" ht="15" hidden="false" customHeight="true" outlineLevel="0" collapsed="false">
      <c r="A664" s="20" t="n">
        <f aca="false">'Raw Data'!A664</f>
        <v>663</v>
      </c>
      <c r="B664" s="20" t="n">
        <f aca="false">'Raw Data'!B664</f>
        <v>50</v>
      </c>
      <c r="C664" s="20" t="str">
        <f aca="false">'Raw Data'!C664</f>
        <v>male</v>
      </c>
      <c r="D664" s="20" t="n">
        <f aca="false">'Raw Data'!D664</f>
        <v>2</v>
      </c>
      <c r="E664" s="20" t="str">
        <f aca="false">'Raw Data'!E664</f>
        <v>own</v>
      </c>
      <c r="F664" s="20" t="str">
        <f aca="false">'Raw Data'!F664</f>
        <v>little</v>
      </c>
      <c r="G664" s="20" t="str">
        <f aca="false">'Raw Data'!G664</f>
        <v>none</v>
      </c>
      <c r="H664" s="20" t="n">
        <f aca="false">'Raw Data'!H664</f>
        <v>2241</v>
      </c>
      <c r="I664" s="20" t="n">
        <f aca="false">'Raw Data'!I664</f>
        <v>21</v>
      </c>
      <c r="J664" s="20" t="str">
        <f aca="false">'Raw Data'!J664</f>
        <v>furniture/equipment</v>
      </c>
      <c r="K664" s="21" t="n">
        <f aca="false">H664/I664</f>
        <v>106.714285714286</v>
      </c>
      <c r="L664" s="21" t="n">
        <f aca="false">100-MIN(K664/Assumptions!$B$14,1)*100</f>
        <v>73.3214285714286</v>
      </c>
      <c r="M664" s="21" t="n">
        <f aca="false">VLOOKUP(F664,Assumptions!$A$19:$B$23,2,0)</f>
        <v>25</v>
      </c>
      <c r="N664" s="21" t="n">
        <f aca="false">VLOOKUP(G664,Assumptions!$A$27:$B$30,2,0)</f>
        <v>50</v>
      </c>
      <c r="O664" s="21" t="n">
        <f aca="false">VLOOKUP(D664,Assumptions!$A$34:$B$37,2,0)</f>
        <v>66</v>
      </c>
      <c r="P664" s="21" t="n">
        <f aca="false">VLOOKUP(E664,Assumptions!$A$41:$B$43,2,0)</f>
        <v>100</v>
      </c>
      <c r="Q664" s="22" t="n">
        <f aca="false">L664*Assumptions!$B$7+M664*Assumptions!$B$8+N664*Assumptions!$B$9+O664*Assumptions!$B$10+P664*Assumptions!$B$11</f>
        <v>58.1464285714286</v>
      </c>
      <c r="R664" s="11" t="str">
        <f aca="false">IF(Q664&lt;=33,"High Risk",IF(Q664&lt;=66,"Medium Risk","Low Risk"))</f>
        <v>Medium Risk</v>
      </c>
    </row>
    <row r="665" customFormat="false" ht="15" hidden="false" customHeight="true" outlineLevel="0" collapsed="false">
      <c r="A665" s="20" t="n">
        <f aca="false">'Raw Data'!A665</f>
        <v>664</v>
      </c>
      <c r="B665" s="20" t="n">
        <f aca="false">'Raw Data'!B665</f>
        <v>35</v>
      </c>
      <c r="C665" s="20" t="str">
        <f aca="false">'Raw Data'!C665</f>
        <v>male</v>
      </c>
      <c r="D665" s="20" t="n">
        <f aca="false">'Raw Data'!D665</f>
        <v>3</v>
      </c>
      <c r="E665" s="20" t="str">
        <f aca="false">'Raw Data'!E665</f>
        <v>own</v>
      </c>
      <c r="F665" s="20" t="str">
        <f aca="false">'Raw Data'!F665</f>
        <v>little</v>
      </c>
      <c r="G665" s="20" t="str">
        <f aca="false">'Raw Data'!G665</f>
        <v>moderate</v>
      </c>
      <c r="H665" s="20" t="n">
        <f aca="false">'Raw Data'!H665</f>
        <v>1050</v>
      </c>
      <c r="I665" s="20" t="n">
        <f aca="false">'Raw Data'!I665</f>
        <v>6</v>
      </c>
      <c r="J665" s="20" t="str">
        <f aca="false">'Raw Data'!J665</f>
        <v>furniture/equipment</v>
      </c>
      <c r="K665" s="21" t="n">
        <f aca="false">H665/I665</f>
        <v>175</v>
      </c>
      <c r="L665" s="21" t="n">
        <f aca="false">100-MIN(K665/Assumptions!$B$14,1)*100</f>
        <v>56.25</v>
      </c>
      <c r="M665" s="21" t="n">
        <f aca="false">VLOOKUP(F665,Assumptions!$A$19:$B$23,2,0)</f>
        <v>25</v>
      </c>
      <c r="N665" s="21" t="n">
        <f aca="false">VLOOKUP(G665,Assumptions!$A$27:$B$30,2,0)</f>
        <v>60</v>
      </c>
      <c r="O665" s="21" t="n">
        <f aca="false">VLOOKUP(D665,Assumptions!$A$34:$B$37,2,0)</f>
        <v>100</v>
      </c>
      <c r="P665" s="21" t="n">
        <f aca="false">VLOOKUP(E665,Assumptions!$A$41:$B$43,2,0)</f>
        <v>100</v>
      </c>
      <c r="Q665" s="22" t="n">
        <f aca="false">L665*Assumptions!$B$7+M665*Assumptions!$B$8+N665*Assumptions!$B$9+O665*Assumptions!$B$10+P665*Assumptions!$B$11</f>
        <v>60.125</v>
      </c>
      <c r="R665" s="11" t="str">
        <f aca="false">IF(Q665&lt;=33,"High Risk",IF(Q665&lt;=66,"Medium Risk","Low Risk"))</f>
        <v>Medium Risk</v>
      </c>
    </row>
    <row r="666" customFormat="false" ht="15" hidden="false" customHeight="true" outlineLevel="0" collapsed="false">
      <c r="A666" s="20" t="n">
        <f aca="false">'Raw Data'!A666</f>
        <v>665</v>
      </c>
      <c r="B666" s="20" t="n">
        <f aca="false">'Raw Data'!B666</f>
        <v>50</v>
      </c>
      <c r="C666" s="20" t="str">
        <f aca="false">'Raw Data'!C666</f>
        <v>female</v>
      </c>
      <c r="D666" s="20" t="n">
        <f aca="false">'Raw Data'!D666</f>
        <v>1</v>
      </c>
      <c r="E666" s="20" t="str">
        <f aca="false">'Raw Data'!E666</f>
        <v>own</v>
      </c>
      <c r="F666" s="20" t="str">
        <f aca="false">'Raw Data'!F666</f>
        <v>little</v>
      </c>
      <c r="G666" s="20" t="str">
        <f aca="false">'Raw Data'!G666</f>
        <v>rich</v>
      </c>
      <c r="H666" s="20" t="n">
        <f aca="false">'Raw Data'!H666</f>
        <v>1047</v>
      </c>
      <c r="I666" s="20" t="n">
        <f aca="false">'Raw Data'!I666</f>
        <v>6</v>
      </c>
      <c r="J666" s="20" t="str">
        <f aca="false">'Raw Data'!J666</f>
        <v>education</v>
      </c>
      <c r="K666" s="21" t="n">
        <f aca="false">H666/I666</f>
        <v>174.5</v>
      </c>
      <c r="L666" s="21" t="n">
        <f aca="false">100-MIN(K666/Assumptions!$B$14,1)*100</f>
        <v>56.375</v>
      </c>
      <c r="M666" s="21" t="n">
        <f aca="false">VLOOKUP(F666,Assumptions!$A$19:$B$23,2,0)</f>
        <v>25</v>
      </c>
      <c r="N666" s="21" t="n">
        <f aca="false">VLOOKUP(G666,Assumptions!$A$27:$B$30,2,0)</f>
        <v>100</v>
      </c>
      <c r="O666" s="21" t="n">
        <f aca="false">VLOOKUP(D666,Assumptions!$A$34:$B$37,2,0)</f>
        <v>33</v>
      </c>
      <c r="P666" s="21" t="n">
        <f aca="false">VLOOKUP(E666,Assumptions!$A$41:$B$43,2,0)</f>
        <v>100</v>
      </c>
      <c r="Q666" s="22" t="n">
        <f aca="false">L666*Assumptions!$B$7+M666*Assumptions!$B$8+N666*Assumptions!$B$9+O666*Assumptions!$B$10+P666*Assumptions!$B$11</f>
        <v>58.1125</v>
      </c>
      <c r="R666" s="11" t="str">
        <f aca="false">IF(Q666&lt;=33,"High Risk",IF(Q666&lt;=66,"Medium Risk","Low Risk"))</f>
        <v>Medium Risk</v>
      </c>
    </row>
    <row r="667" customFormat="false" ht="15" hidden="false" customHeight="true" outlineLevel="0" collapsed="false">
      <c r="A667" s="20" t="n">
        <f aca="false">'Raw Data'!A667</f>
        <v>666</v>
      </c>
      <c r="B667" s="20" t="n">
        <f aca="false">'Raw Data'!B667</f>
        <v>27</v>
      </c>
      <c r="C667" s="20" t="str">
        <f aca="false">'Raw Data'!C667</f>
        <v>male</v>
      </c>
      <c r="D667" s="20" t="n">
        <f aca="false">'Raw Data'!D667</f>
        <v>3</v>
      </c>
      <c r="E667" s="20" t="str">
        <f aca="false">'Raw Data'!E667</f>
        <v>own</v>
      </c>
      <c r="F667" s="20" t="str">
        <f aca="false">'Raw Data'!F667</f>
        <v>little</v>
      </c>
      <c r="G667" s="20" t="str">
        <f aca="false">'Raw Data'!G667</f>
        <v>none</v>
      </c>
      <c r="H667" s="20" t="n">
        <f aca="false">'Raw Data'!H667</f>
        <v>6314</v>
      </c>
      <c r="I667" s="20" t="n">
        <f aca="false">'Raw Data'!I667</f>
        <v>24</v>
      </c>
      <c r="J667" s="20" t="str">
        <f aca="false">'Raw Data'!J667</f>
        <v>vacation/others</v>
      </c>
      <c r="K667" s="21" t="n">
        <f aca="false">H667/I667</f>
        <v>263.083333333333</v>
      </c>
      <c r="L667" s="21" t="n">
        <f aca="false">100-MIN(K667/Assumptions!$B$14,1)*100</f>
        <v>34.2291666666667</v>
      </c>
      <c r="M667" s="21" t="n">
        <f aca="false">VLOOKUP(F667,Assumptions!$A$19:$B$23,2,0)</f>
        <v>25</v>
      </c>
      <c r="N667" s="21" t="n">
        <f aca="false">VLOOKUP(G667,Assumptions!$A$27:$B$30,2,0)</f>
        <v>50</v>
      </c>
      <c r="O667" s="21" t="n">
        <f aca="false">VLOOKUP(D667,Assumptions!$A$34:$B$37,2,0)</f>
        <v>100</v>
      </c>
      <c r="P667" s="21" t="n">
        <f aca="false">VLOOKUP(E667,Assumptions!$A$41:$B$43,2,0)</f>
        <v>100</v>
      </c>
      <c r="Q667" s="22" t="n">
        <f aca="false">L667*Assumptions!$B$7+M667*Assumptions!$B$8+N667*Assumptions!$B$9+O667*Assumptions!$B$10+P667*Assumptions!$B$11</f>
        <v>51.51875</v>
      </c>
      <c r="R667" s="11" t="str">
        <f aca="false">IF(Q667&lt;=33,"High Risk",IF(Q667&lt;=66,"Medium Risk","Low Risk"))</f>
        <v>Medium Risk</v>
      </c>
    </row>
    <row r="668" customFormat="false" ht="15" hidden="false" customHeight="true" outlineLevel="0" collapsed="false">
      <c r="A668" s="20" t="n">
        <f aca="false">'Raw Data'!A668</f>
        <v>667</v>
      </c>
      <c r="B668" s="20" t="n">
        <f aca="false">'Raw Data'!B668</f>
        <v>34</v>
      </c>
      <c r="C668" s="20" t="str">
        <f aca="false">'Raw Data'!C668</f>
        <v>male</v>
      </c>
      <c r="D668" s="20" t="n">
        <f aca="false">'Raw Data'!D668</f>
        <v>2</v>
      </c>
      <c r="E668" s="20" t="str">
        <f aca="false">'Raw Data'!E668</f>
        <v>own</v>
      </c>
      <c r="F668" s="20" t="str">
        <f aca="false">'Raw Data'!F668</f>
        <v>rich</v>
      </c>
      <c r="G668" s="20" t="str">
        <f aca="false">'Raw Data'!G668</f>
        <v>moderate</v>
      </c>
      <c r="H668" s="20" t="n">
        <f aca="false">'Raw Data'!H668</f>
        <v>3496</v>
      </c>
      <c r="I668" s="20" t="n">
        <f aca="false">'Raw Data'!I668</f>
        <v>30</v>
      </c>
      <c r="J668" s="20" t="str">
        <f aca="false">'Raw Data'!J668</f>
        <v>furniture/equipment</v>
      </c>
      <c r="K668" s="21" t="n">
        <f aca="false">H668/I668</f>
        <v>116.533333333333</v>
      </c>
      <c r="L668" s="21" t="n">
        <f aca="false">100-MIN(K668/Assumptions!$B$14,1)*100</f>
        <v>70.8666666666667</v>
      </c>
      <c r="M668" s="21" t="n">
        <f aca="false">VLOOKUP(F668,Assumptions!$A$19:$B$23,2,0)</f>
        <v>100</v>
      </c>
      <c r="N668" s="21" t="n">
        <f aca="false">VLOOKUP(G668,Assumptions!$A$27:$B$30,2,0)</f>
        <v>60</v>
      </c>
      <c r="O668" s="21" t="n">
        <f aca="false">VLOOKUP(D668,Assumptions!$A$34:$B$37,2,0)</f>
        <v>66</v>
      </c>
      <c r="P668" s="21" t="n">
        <f aca="false">VLOOKUP(E668,Assumptions!$A$41:$B$43,2,0)</f>
        <v>100</v>
      </c>
      <c r="Q668" s="22" t="n">
        <f aca="false">L668*Assumptions!$B$7+M668*Assumptions!$B$8+N668*Assumptions!$B$9+O668*Assumptions!$B$10+P668*Assumptions!$B$11</f>
        <v>78.16</v>
      </c>
      <c r="R668" s="11" t="str">
        <f aca="false">IF(Q668&lt;=33,"High Risk",IF(Q668&lt;=66,"Medium Risk","Low Risk"))</f>
        <v>Low Risk</v>
      </c>
    </row>
    <row r="669" customFormat="false" ht="15" hidden="false" customHeight="true" outlineLevel="0" collapsed="false">
      <c r="A669" s="20" t="n">
        <f aca="false">'Raw Data'!A669</f>
        <v>668</v>
      </c>
      <c r="B669" s="20" t="n">
        <f aca="false">'Raw Data'!B669</f>
        <v>27</v>
      </c>
      <c r="C669" s="20" t="str">
        <f aca="false">'Raw Data'!C669</f>
        <v>female</v>
      </c>
      <c r="D669" s="20" t="n">
        <f aca="false">'Raw Data'!D669</f>
        <v>2</v>
      </c>
      <c r="E669" s="20" t="str">
        <f aca="false">'Raw Data'!E669</f>
        <v>own</v>
      </c>
      <c r="F669" s="20" t="str">
        <f aca="false">'Raw Data'!F669</f>
        <v>little</v>
      </c>
      <c r="G669" s="20" t="str">
        <f aca="false">'Raw Data'!G669</f>
        <v>none</v>
      </c>
      <c r="H669" s="20" t="n">
        <f aca="false">'Raw Data'!H669</f>
        <v>3609</v>
      </c>
      <c r="I669" s="20" t="n">
        <f aca="false">'Raw Data'!I669</f>
        <v>48</v>
      </c>
      <c r="J669" s="20" t="str">
        <f aca="false">'Raw Data'!J669</f>
        <v>business</v>
      </c>
      <c r="K669" s="21" t="n">
        <f aca="false">H669/I669</f>
        <v>75.1875</v>
      </c>
      <c r="L669" s="21" t="n">
        <f aca="false">100-MIN(K669/Assumptions!$B$14,1)*100</f>
        <v>81.203125</v>
      </c>
      <c r="M669" s="21" t="n">
        <f aca="false">VLOOKUP(F669,Assumptions!$A$19:$B$23,2,0)</f>
        <v>25</v>
      </c>
      <c r="N669" s="21" t="n">
        <f aca="false">VLOOKUP(G669,Assumptions!$A$27:$B$30,2,0)</f>
        <v>50</v>
      </c>
      <c r="O669" s="21" t="n">
        <f aca="false">VLOOKUP(D669,Assumptions!$A$34:$B$37,2,0)</f>
        <v>66</v>
      </c>
      <c r="P669" s="21" t="n">
        <f aca="false">VLOOKUP(E669,Assumptions!$A$41:$B$43,2,0)</f>
        <v>100</v>
      </c>
      <c r="Q669" s="22" t="n">
        <f aca="false">L669*Assumptions!$B$7+M669*Assumptions!$B$8+N669*Assumptions!$B$9+O669*Assumptions!$B$10+P669*Assumptions!$B$11</f>
        <v>60.5109375</v>
      </c>
      <c r="R669" s="11" t="str">
        <f aca="false">IF(Q669&lt;=33,"High Risk",IF(Q669&lt;=66,"Medium Risk","Low Risk"))</f>
        <v>Medium Risk</v>
      </c>
    </row>
    <row r="670" customFormat="false" ht="15" hidden="false" customHeight="true" outlineLevel="0" collapsed="false">
      <c r="A670" s="20" t="n">
        <f aca="false">'Raw Data'!A670</f>
        <v>669</v>
      </c>
      <c r="B670" s="20" t="n">
        <f aca="false">'Raw Data'!B670</f>
        <v>43</v>
      </c>
      <c r="C670" s="20" t="str">
        <f aca="false">'Raw Data'!C670</f>
        <v>male</v>
      </c>
      <c r="D670" s="20" t="n">
        <f aca="false">'Raw Data'!D670</f>
        <v>2</v>
      </c>
      <c r="E670" s="20" t="str">
        <f aca="false">'Raw Data'!E670</f>
        <v>rent</v>
      </c>
      <c r="F670" s="20" t="str">
        <f aca="false">'Raw Data'!F670</f>
        <v>little</v>
      </c>
      <c r="G670" s="20" t="str">
        <f aca="false">'Raw Data'!G670</f>
        <v>little</v>
      </c>
      <c r="H670" s="20" t="n">
        <f aca="false">'Raw Data'!H670</f>
        <v>4843</v>
      </c>
      <c r="I670" s="20" t="n">
        <f aca="false">'Raw Data'!I670</f>
        <v>12</v>
      </c>
      <c r="J670" s="20" t="str">
        <f aca="false">'Raw Data'!J670</f>
        <v>car</v>
      </c>
      <c r="K670" s="21" t="n">
        <f aca="false">H670/I670</f>
        <v>403.583333333333</v>
      </c>
      <c r="L670" s="21" t="n">
        <f aca="false">100-MIN(K670/Assumptions!$B$14,1)*100</f>
        <v>0</v>
      </c>
      <c r="M670" s="21" t="n">
        <f aca="false">VLOOKUP(F670,Assumptions!$A$19:$B$23,2,0)</f>
        <v>25</v>
      </c>
      <c r="N670" s="21" t="n">
        <f aca="false">VLOOKUP(G670,Assumptions!$A$27:$B$30,2,0)</f>
        <v>25</v>
      </c>
      <c r="O670" s="21" t="n">
        <f aca="false">VLOOKUP(D670,Assumptions!$A$34:$B$37,2,0)</f>
        <v>66</v>
      </c>
      <c r="P670" s="21" t="n">
        <f aca="false">VLOOKUP(E670,Assumptions!$A$41:$B$43,2,0)</f>
        <v>30</v>
      </c>
      <c r="Q670" s="22" t="n">
        <f aca="false">L670*Assumptions!$B$7+M670*Assumptions!$B$8+N670*Assumptions!$B$9+O670*Assumptions!$B$10+P670*Assumptions!$B$11</f>
        <v>24.15</v>
      </c>
      <c r="R670" s="11" t="str">
        <f aca="false">IF(Q670&lt;=33,"High Risk",IF(Q670&lt;=66,"Medium Risk","Low Risk"))</f>
        <v>High Risk</v>
      </c>
    </row>
    <row r="671" customFormat="false" ht="15" hidden="false" customHeight="true" outlineLevel="0" collapsed="false">
      <c r="A671" s="20" t="n">
        <f aca="false">'Raw Data'!A671</f>
        <v>670</v>
      </c>
      <c r="B671" s="20" t="n">
        <f aca="false">'Raw Data'!B671</f>
        <v>47</v>
      </c>
      <c r="C671" s="20" t="str">
        <f aca="false">'Raw Data'!C671</f>
        <v>male</v>
      </c>
      <c r="D671" s="20" t="n">
        <f aca="false">'Raw Data'!D671</f>
        <v>2</v>
      </c>
      <c r="E671" s="20" t="str">
        <f aca="false">'Raw Data'!E671</f>
        <v>own</v>
      </c>
      <c r="F671" s="20" t="str">
        <f aca="false">'Raw Data'!F671</f>
        <v>little</v>
      </c>
      <c r="G671" s="20" t="str">
        <f aca="false">'Raw Data'!G671</f>
        <v>rich</v>
      </c>
      <c r="H671" s="20" t="n">
        <f aca="false">'Raw Data'!H671</f>
        <v>3017</v>
      </c>
      <c r="I671" s="20" t="n">
        <f aca="false">'Raw Data'!I671</f>
        <v>30</v>
      </c>
      <c r="J671" s="20" t="str">
        <f aca="false">'Raw Data'!J671</f>
        <v>radio/TV</v>
      </c>
      <c r="K671" s="21" t="n">
        <f aca="false">H671/I671</f>
        <v>100.566666666667</v>
      </c>
      <c r="L671" s="21" t="n">
        <f aca="false">100-MIN(K671/Assumptions!$B$14,1)*100</f>
        <v>74.8583333333333</v>
      </c>
      <c r="M671" s="21" t="n">
        <f aca="false">VLOOKUP(F671,Assumptions!$A$19:$B$23,2,0)</f>
        <v>25</v>
      </c>
      <c r="N671" s="21" t="n">
        <f aca="false">VLOOKUP(G671,Assumptions!$A$27:$B$30,2,0)</f>
        <v>100</v>
      </c>
      <c r="O671" s="21" t="n">
        <f aca="false">VLOOKUP(D671,Assumptions!$A$34:$B$37,2,0)</f>
        <v>66</v>
      </c>
      <c r="P671" s="21" t="n">
        <f aca="false">VLOOKUP(E671,Assumptions!$A$41:$B$43,2,0)</f>
        <v>100</v>
      </c>
      <c r="Q671" s="22" t="n">
        <f aca="false">L671*Assumptions!$B$7+M671*Assumptions!$B$8+N671*Assumptions!$B$9+O671*Assumptions!$B$10+P671*Assumptions!$B$11</f>
        <v>68.6075</v>
      </c>
      <c r="R671" s="11" t="str">
        <f aca="false">IF(Q671&lt;=33,"High Risk",IF(Q671&lt;=66,"Medium Risk","Low Risk"))</f>
        <v>Low Risk</v>
      </c>
    </row>
    <row r="672" customFormat="false" ht="15" hidden="false" customHeight="true" outlineLevel="0" collapsed="false">
      <c r="A672" s="20" t="n">
        <f aca="false">'Raw Data'!A672</f>
        <v>671</v>
      </c>
      <c r="B672" s="20" t="n">
        <f aca="false">'Raw Data'!B672</f>
        <v>27</v>
      </c>
      <c r="C672" s="20" t="str">
        <f aca="false">'Raw Data'!C672</f>
        <v>male</v>
      </c>
      <c r="D672" s="20" t="n">
        <f aca="false">'Raw Data'!D672</f>
        <v>1</v>
      </c>
      <c r="E672" s="20" t="str">
        <f aca="false">'Raw Data'!E672</f>
        <v>own</v>
      </c>
      <c r="F672" s="20" t="str">
        <f aca="false">'Raw Data'!F672</f>
        <v>moderate</v>
      </c>
      <c r="G672" s="20" t="str">
        <f aca="false">'Raw Data'!G672</f>
        <v>none</v>
      </c>
      <c r="H672" s="20" t="n">
        <f aca="false">'Raw Data'!H672</f>
        <v>4139</v>
      </c>
      <c r="I672" s="20" t="n">
        <f aca="false">'Raw Data'!I672</f>
        <v>24</v>
      </c>
      <c r="J672" s="20" t="str">
        <f aca="false">'Raw Data'!J672</f>
        <v>business</v>
      </c>
      <c r="K672" s="21" t="n">
        <f aca="false">H672/I672</f>
        <v>172.458333333333</v>
      </c>
      <c r="L672" s="21" t="n">
        <f aca="false">100-MIN(K672/Assumptions!$B$14,1)*100</f>
        <v>56.8854166666667</v>
      </c>
      <c r="M672" s="21" t="n">
        <f aca="false">VLOOKUP(F672,Assumptions!$A$19:$B$23,2,0)</f>
        <v>50</v>
      </c>
      <c r="N672" s="21" t="n">
        <f aca="false">VLOOKUP(G672,Assumptions!$A$27:$B$30,2,0)</f>
        <v>50</v>
      </c>
      <c r="O672" s="21" t="n">
        <f aca="false">VLOOKUP(D672,Assumptions!$A$34:$B$37,2,0)</f>
        <v>33</v>
      </c>
      <c r="P672" s="21" t="n">
        <f aca="false">VLOOKUP(E672,Assumptions!$A$41:$B$43,2,0)</f>
        <v>100</v>
      </c>
      <c r="Q672" s="22" t="n">
        <f aca="false">L672*Assumptions!$B$7+M672*Assumptions!$B$8+N672*Assumptions!$B$9+O672*Assumptions!$B$10+P672*Assumptions!$B$11</f>
        <v>54.515625</v>
      </c>
      <c r="R672" s="11" t="str">
        <f aca="false">IF(Q672&lt;=33,"High Risk",IF(Q672&lt;=66,"Medium Risk","Low Risk"))</f>
        <v>Medium Risk</v>
      </c>
    </row>
    <row r="673" customFormat="false" ht="15" hidden="false" customHeight="true" outlineLevel="0" collapsed="false">
      <c r="A673" s="20" t="n">
        <f aca="false">'Raw Data'!A673</f>
        <v>672</v>
      </c>
      <c r="B673" s="20" t="n">
        <f aca="false">'Raw Data'!B673</f>
        <v>31</v>
      </c>
      <c r="C673" s="20" t="str">
        <f aca="false">'Raw Data'!C673</f>
        <v>male</v>
      </c>
      <c r="D673" s="20" t="n">
        <f aca="false">'Raw Data'!D673</f>
        <v>2</v>
      </c>
      <c r="E673" s="20" t="str">
        <f aca="false">'Raw Data'!E673</f>
        <v>own</v>
      </c>
      <c r="F673" s="20" t="str">
        <f aca="false">'Raw Data'!F673</f>
        <v>moderate</v>
      </c>
      <c r="G673" s="20" t="str">
        <f aca="false">'Raw Data'!G673</f>
        <v>none</v>
      </c>
      <c r="H673" s="20" t="n">
        <f aca="false">'Raw Data'!H673</f>
        <v>5742</v>
      </c>
      <c r="I673" s="20" t="n">
        <f aca="false">'Raw Data'!I673</f>
        <v>36</v>
      </c>
      <c r="J673" s="20" t="str">
        <f aca="false">'Raw Data'!J673</f>
        <v>business</v>
      </c>
      <c r="K673" s="21" t="n">
        <f aca="false">H673/I673</f>
        <v>159.5</v>
      </c>
      <c r="L673" s="21" t="n">
        <f aca="false">100-MIN(K673/Assumptions!$B$14,1)*100</f>
        <v>60.125</v>
      </c>
      <c r="M673" s="21" t="n">
        <f aca="false">VLOOKUP(F673,Assumptions!$A$19:$B$23,2,0)</f>
        <v>50</v>
      </c>
      <c r="N673" s="21" t="n">
        <f aca="false">VLOOKUP(G673,Assumptions!$A$27:$B$30,2,0)</f>
        <v>50</v>
      </c>
      <c r="O673" s="21" t="n">
        <f aca="false">VLOOKUP(D673,Assumptions!$A$34:$B$37,2,0)</f>
        <v>66</v>
      </c>
      <c r="P673" s="21" t="n">
        <f aca="false">VLOOKUP(E673,Assumptions!$A$41:$B$43,2,0)</f>
        <v>100</v>
      </c>
      <c r="Q673" s="22" t="n">
        <f aca="false">L673*Assumptions!$B$7+M673*Assumptions!$B$8+N673*Assumptions!$B$9+O673*Assumptions!$B$10+P673*Assumptions!$B$11</f>
        <v>60.4375</v>
      </c>
      <c r="R673" s="11" t="str">
        <f aca="false">IF(Q673&lt;=33,"High Risk",IF(Q673&lt;=66,"Medium Risk","Low Risk"))</f>
        <v>Medium Risk</v>
      </c>
    </row>
    <row r="674" customFormat="false" ht="15" hidden="false" customHeight="true" outlineLevel="0" collapsed="false">
      <c r="A674" s="20" t="n">
        <f aca="false">'Raw Data'!A674</f>
        <v>673</v>
      </c>
      <c r="B674" s="20" t="n">
        <f aca="false">'Raw Data'!B674</f>
        <v>42</v>
      </c>
      <c r="C674" s="20" t="str">
        <f aca="false">'Raw Data'!C674</f>
        <v>male</v>
      </c>
      <c r="D674" s="20" t="n">
        <f aca="false">'Raw Data'!D674</f>
        <v>3</v>
      </c>
      <c r="E674" s="20" t="str">
        <f aca="false">'Raw Data'!E674</f>
        <v>own</v>
      </c>
      <c r="F674" s="20" t="str">
        <f aca="false">'Raw Data'!F674</f>
        <v>little</v>
      </c>
      <c r="G674" s="20" t="str">
        <f aca="false">'Raw Data'!G674</f>
        <v>none</v>
      </c>
      <c r="H674" s="20" t="n">
        <f aca="false">'Raw Data'!H674</f>
        <v>10366</v>
      </c>
      <c r="I674" s="20" t="n">
        <f aca="false">'Raw Data'!I674</f>
        <v>60</v>
      </c>
      <c r="J674" s="20" t="str">
        <f aca="false">'Raw Data'!J674</f>
        <v>car</v>
      </c>
      <c r="K674" s="21" t="n">
        <f aca="false">H674/I674</f>
        <v>172.766666666667</v>
      </c>
      <c r="L674" s="21" t="n">
        <f aca="false">100-MIN(K674/Assumptions!$B$14,1)*100</f>
        <v>56.8083333333333</v>
      </c>
      <c r="M674" s="21" t="n">
        <f aca="false">VLOOKUP(F674,Assumptions!$A$19:$B$23,2,0)</f>
        <v>25</v>
      </c>
      <c r="N674" s="21" t="n">
        <f aca="false">VLOOKUP(G674,Assumptions!$A$27:$B$30,2,0)</f>
        <v>50</v>
      </c>
      <c r="O674" s="21" t="n">
        <f aca="false">VLOOKUP(D674,Assumptions!$A$34:$B$37,2,0)</f>
        <v>100</v>
      </c>
      <c r="P674" s="21" t="n">
        <f aca="false">VLOOKUP(E674,Assumptions!$A$41:$B$43,2,0)</f>
        <v>100</v>
      </c>
      <c r="Q674" s="22" t="n">
        <f aca="false">L674*Assumptions!$B$7+M674*Assumptions!$B$8+N674*Assumptions!$B$9+O674*Assumptions!$B$10+P674*Assumptions!$B$11</f>
        <v>58.2925</v>
      </c>
      <c r="R674" s="11" t="str">
        <f aca="false">IF(Q674&lt;=33,"High Risk",IF(Q674&lt;=66,"Medium Risk","Low Risk"))</f>
        <v>Medium Risk</v>
      </c>
    </row>
    <row r="675" customFormat="false" ht="15" hidden="false" customHeight="true" outlineLevel="0" collapsed="false">
      <c r="A675" s="20" t="n">
        <f aca="false">'Raw Data'!A675</f>
        <v>674</v>
      </c>
      <c r="B675" s="20" t="n">
        <f aca="false">'Raw Data'!B675</f>
        <v>24</v>
      </c>
      <c r="C675" s="20" t="str">
        <f aca="false">'Raw Data'!C675</f>
        <v>male</v>
      </c>
      <c r="D675" s="20" t="n">
        <f aca="false">'Raw Data'!D675</f>
        <v>2</v>
      </c>
      <c r="E675" s="20" t="str">
        <f aca="false">'Raw Data'!E675</f>
        <v>own</v>
      </c>
      <c r="F675" s="20" t="str">
        <f aca="false">'Raw Data'!F675</f>
        <v>quite rich</v>
      </c>
      <c r="G675" s="20" t="str">
        <f aca="false">'Raw Data'!G675</f>
        <v>none</v>
      </c>
      <c r="H675" s="20" t="n">
        <f aca="false">'Raw Data'!H675</f>
        <v>2080</v>
      </c>
      <c r="I675" s="20" t="n">
        <f aca="false">'Raw Data'!I675</f>
        <v>6</v>
      </c>
      <c r="J675" s="20" t="str">
        <f aca="false">'Raw Data'!J675</f>
        <v>car</v>
      </c>
      <c r="K675" s="21" t="n">
        <f aca="false">H675/I675</f>
        <v>346.666666666667</v>
      </c>
      <c r="L675" s="21" t="n">
        <f aca="false">100-MIN(K675/Assumptions!$B$14,1)*100</f>
        <v>13.3333333333333</v>
      </c>
      <c r="M675" s="21" t="n">
        <f aca="false">VLOOKUP(F675,Assumptions!$A$19:$B$23,2,0)</f>
        <v>75</v>
      </c>
      <c r="N675" s="21" t="n">
        <f aca="false">VLOOKUP(G675,Assumptions!$A$27:$B$30,2,0)</f>
        <v>50</v>
      </c>
      <c r="O675" s="21" t="n">
        <f aca="false">VLOOKUP(D675,Assumptions!$A$34:$B$37,2,0)</f>
        <v>66</v>
      </c>
      <c r="P675" s="21" t="n">
        <f aca="false">VLOOKUP(E675,Assumptions!$A$41:$B$43,2,0)</f>
        <v>100</v>
      </c>
      <c r="Q675" s="22" t="n">
        <f aca="false">L675*Assumptions!$B$7+M675*Assumptions!$B$8+N675*Assumptions!$B$9+O675*Assumptions!$B$10+P675*Assumptions!$B$11</f>
        <v>52.65</v>
      </c>
      <c r="R675" s="11" t="str">
        <f aca="false">IF(Q675&lt;=33,"High Risk",IF(Q675&lt;=66,"Medium Risk","Low Risk"))</f>
        <v>Medium Risk</v>
      </c>
    </row>
    <row r="676" customFormat="false" ht="15" hidden="false" customHeight="true" outlineLevel="0" collapsed="false">
      <c r="A676" s="20" t="n">
        <f aca="false">'Raw Data'!A676</f>
        <v>675</v>
      </c>
      <c r="B676" s="20" t="n">
        <f aca="false">'Raw Data'!B676</f>
        <v>41</v>
      </c>
      <c r="C676" s="20" t="str">
        <f aca="false">'Raw Data'!C676</f>
        <v>male</v>
      </c>
      <c r="D676" s="20" t="n">
        <f aca="false">'Raw Data'!D676</f>
        <v>1</v>
      </c>
      <c r="E676" s="20" t="str">
        <f aca="false">'Raw Data'!E676</f>
        <v>own</v>
      </c>
      <c r="F676" s="20" t="str">
        <f aca="false">'Raw Data'!F676</f>
        <v>quite rich</v>
      </c>
      <c r="G676" s="20" t="str">
        <f aca="false">'Raw Data'!G676</f>
        <v>none</v>
      </c>
      <c r="H676" s="20" t="n">
        <f aca="false">'Raw Data'!H676</f>
        <v>2580</v>
      </c>
      <c r="I676" s="20" t="n">
        <f aca="false">'Raw Data'!I676</f>
        <v>21</v>
      </c>
      <c r="J676" s="20" t="str">
        <f aca="false">'Raw Data'!J676</f>
        <v>business</v>
      </c>
      <c r="K676" s="21" t="n">
        <f aca="false">H676/I676</f>
        <v>122.857142857143</v>
      </c>
      <c r="L676" s="21" t="n">
        <f aca="false">100-MIN(K676/Assumptions!$B$14,1)*100</f>
        <v>69.2857142857143</v>
      </c>
      <c r="M676" s="21" t="n">
        <f aca="false">VLOOKUP(F676,Assumptions!$A$19:$B$23,2,0)</f>
        <v>75</v>
      </c>
      <c r="N676" s="21" t="n">
        <f aca="false">VLOOKUP(G676,Assumptions!$A$27:$B$30,2,0)</f>
        <v>50</v>
      </c>
      <c r="O676" s="21" t="n">
        <f aca="false">VLOOKUP(D676,Assumptions!$A$34:$B$37,2,0)</f>
        <v>33</v>
      </c>
      <c r="P676" s="21" t="n">
        <f aca="false">VLOOKUP(E676,Assumptions!$A$41:$B$43,2,0)</f>
        <v>100</v>
      </c>
      <c r="Q676" s="22" t="n">
        <f aca="false">L676*Assumptions!$B$7+M676*Assumptions!$B$8+N676*Assumptions!$B$9+O676*Assumptions!$B$10+P676*Assumptions!$B$11</f>
        <v>64.4857142857143</v>
      </c>
      <c r="R676" s="11" t="str">
        <f aca="false">IF(Q676&lt;=33,"High Risk",IF(Q676&lt;=66,"Medium Risk","Low Risk"))</f>
        <v>Medium Risk</v>
      </c>
    </row>
    <row r="677" customFormat="false" ht="15" hidden="false" customHeight="true" outlineLevel="0" collapsed="false">
      <c r="A677" s="20" t="n">
        <f aca="false">'Raw Data'!A677</f>
        <v>676</v>
      </c>
      <c r="B677" s="20" t="n">
        <f aca="false">'Raw Data'!B677</f>
        <v>26</v>
      </c>
      <c r="C677" s="20" t="str">
        <f aca="false">'Raw Data'!C677</f>
        <v>female</v>
      </c>
      <c r="D677" s="20" t="n">
        <f aca="false">'Raw Data'!D677</f>
        <v>3</v>
      </c>
      <c r="E677" s="20" t="str">
        <f aca="false">'Raw Data'!E677</f>
        <v>rent</v>
      </c>
      <c r="F677" s="20" t="str">
        <f aca="false">'Raw Data'!F677</f>
        <v>little</v>
      </c>
      <c r="G677" s="20" t="str">
        <f aca="false">'Raw Data'!G677</f>
        <v>none</v>
      </c>
      <c r="H677" s="20" t="n">
        <f aca="false">'Raw Data'!H677</f>
        <v>4530</v>
      </c>
      <c r="I677" s="20" t="n">
        <f aca="false">'Raw Data'!I677</f>
        <v>30</v>
      </c>
      <c r="J677" s="20" t="str">
        <f aca="false">'Raw Data'!J677</f>
        <v>radio/TV</v>
      </c>
      <c r="K677" s="21" t="n">
        <f aca="false">H677/I677</f>
        <v>151</v>
      </c>
      <c r="L677" s="21" t="n">
        <f aca="false">100-MIN(K677/Assumptions!$B$14,1)*100</f>
        <v>62.25</v>
      </c>
      <c r="M677" s="21" t="n">
        <f aca="false">VLOOKUP(F677,Assumptions!$A$19:$B$23,2,0)</f>
        <v>25</v>
      </c>
      <c r="N677" s="21" t="n">
        <f aca="false">VLOOKUP(G677,Assumptions!$A$27:$B$30,2,0)</f>
        <v>50</v>
      </c>
      <c r="O677" s="21" t="n">
        <f aca="false">VLOOKUP(D677,Assumptions!$A$34:$B$37,2,0)</f>
        <v>100</v>
      </c>
      <c r="P677" s="21" t="n">
        <f aca="false">VLOOKUP(E677,Assumptions!$A$41:$B$43,2,0)</f>
        <v>30</v>
      </c>
      <c r="Q677" s="22" t="n">
        <f aca="false">L677*Assumptions!$B$7+M677*Assumptions!$B$8+N677*Assumptions!$B$9+O677*Assumptions!$B$10+P677*Assumptions!$B$11</f>
        <v>52.925</v>
      </c>
      <c r="R677" s="11" t="str">
        <f aca="false">IF(Q677&lt;=33,"High Risk",IF(Q677&lt;=66,"Medium Risk","Low Risk"))</f>
        <v>Medium Risk</v>
      </c>
    </row>
    <row r="678" customFormat="false" ht="15" hidden="false" customHeight="true" outlineLevel="0" collapsed="false">
      <c r="A678" s="20" t="n">
        <f aca="false">'Raw Data'!A678</f>
        <v>677</v>
      </c>
      <c r="B678" s="20" t="n">
        <f aca="false">'Raw Data'!B678</f>
        <v>33</v>
      </c>
      <c r="C678" s="20" t="str">
        <f aca="false">'Raw Data'!C678</f>
        <v>male</v>
      </c>
      <c r="D678" s="20" t="n">
        <f aca="false">'Raw Data'!D678</f>
        <v>2</v>
      </c>
      <c r="E678" s="20" t="str">
        <f aca="false">'Raw Data'!E678</f>
        <v>own</v>
      </c>
      <c r="F678" s="20" t="str">
        <f aca="false">'Raw Data'!F678</f>
        <v>little</v>
      </c>
      <c r="G678" s="20" t="str">
        <f aca="false">'Raw Data'!G678</f>
        <v>none</v>
      </c>
      <c r="H678" s="20" t="n">
        <f aca="false">'Raw Data'!H678</f>
        <v>5150</v>
      </c>
      <c r="I678" s="20" t="n">
        <f aca="false">'Raw Data'!I678</f>
        <v>24</v>
      </c>
      <c r="J678" s="20" t="str">
        <f aca="false">'Raw Data'!J678</f>
        <v>furniture/equipment</v>
      </c>
      <c r="K678" s="21" t="n">
        <f aca="false">H678/I678</f>
        <v>214.583333333333</v>
      </c>
      <c r="L678" s="21" t="n">
        <f aca="false">100-MIN(K678/Assumptions!$B$14,1)*100</f>
        <v>46.3541666666667</v>
      </c>
      <c r="M678" s="21" t="n">
        <f aca="false">VLOOKUP(F678,Assumptions!$A$19:$B$23,2,0)</f>
        <v>25</v>
      </c>
      <c r="N678" s="21" t="n">
        <f aca="false">VLOOKUP(G678,Assumptions!$A$27:$B$30,2,0)</f>
        <v>50</v>
      </c>
      <c r="O678" s="21" t="n">
        <f aca="false">VLOOKUP(D678,Assumptions!$A$34:$B$37,2,0)</f>
        <v>66</v>
      </c>
      <c r="P678" s="21" t="n">
        <f aca="false">VLOOKUP(E678,Assumptions!$A$41:$B$43,2,0)</f>
        <v>100</v>
      </c>
      <c r="Q678" s="22" t="n">
        <f aca="false">L678*Assumptions!$B$7+M678*Assumptions!$B$8+N678*Assumptions!$B$9+O678*Assumptions!$B$10+P678*Assumptions!$B$11</f>
        <v>50.05625</v>
      </c>
      <c r="R678" s="11" t="str">
        <f aca="false">IF(Q678&lt;=33,"High Risk",IF(Q678&lt;=66,"Medium Risk","Low Risk"))</f>
        <v>Medium Risk</v>
      </c>
    </row>
    <row r="679" customFormat="false" ht="15" hidden="false" customHeight="true" outlineLevel="0" collapsed="false">
      <c r="A679" s="20" t="n">
        <f aca="false">'Raw Data'!A679</f>
        <v>678</v>
      </c>
      <c r="B679" s="20" t="n">
        <f aca="false">'Raw Data'!B679</f>
        <v>24</v>
      </c>
      <c r="C679" s="20" t="str">
        <f aca="false">'Raw Data'!C679</f>
        <v>male</v>
      </c>
      <c r="D679" s="20" t="n">
        <f aca="false">'Raw Data'!D679</f>
        <v>2</v>
      </c>
      <c r="E679" s="20" t="str">
        <f aca="false">'Raw Data'!E679</f>
        <v>own</v>
      </c>
      <c r="F679" s="20" t="str">
        <f aca="false">'Raw Data'!F679</f>
        <v>moderate</v>
      </c>
      <c r="G679" s="20" t="str">
        <f aca="false">'Raw Data'!G679</f>
        <v>moderate</v>
      </c>
      <c r="H679" s="20" t="n">
        <f aca="false">'Raw Data'!H679</f>
        <v>5595</v>
      </c>
      <c r="I679" s="20" t="n">
        <f aca="false">'Raw Data'!I679</f>
        <v>72</v>
      </c>
      <c r="J679" s="20" t="str">
        <f aca="false">'Raw Data'!J679</f>
        <v>radio/TV</v>
      </c>
      <c r="K679" s="21" t="n">
        <f aca="false">H679/I679</f>
        <v>77.7083333333333</v>
      </c>
      <c r="L679" s="21" t="n">
        <f aca="false">100-MIN(K679/Assumptions!$B$14,1)*100</f>
        <v>80.5729166666667</v>
      </c>
      <c r="M679" s="21" t="n">
        <f aca="false">VLOOKUP(F679,Assumptions!$A$19:$B$23,2,0)</f>
        <v>50</v>
      </c>
      <c r="N679" s="21" t="n">
        <f aca="false">VLOOKUP(G679,Assumptions!$A$27:$B$30,2,0)</f>
        <v>60</v>
      </c>
      <c r="O679" s="21" t="n">
        <f aca="false">VLOOKUP(D679,Assumptions!$A$34:$B$37,2,0)</f>
        <v>66</v>
      </c>
      <c r="P679" s="21" t="n">
        <f aca="false">VLOOKUP(E679,Assumptions!$A$41:$B$43,2,0)</f>
        <v>100</v>
      </c>
      <c r="Q679" s="22" t="n">
        <f aca="false">L679*Assumptions!$B$7+M679*Assumptions!$B$8+N679*Assumptions!$B$9+O679*Assumptions!$B$10+P679*Assumptions!$B$11</f>
        <v>68.571875</v>
      </c>
      <c r="R679" s="11" t="str">
        <f aca="false">IF(Q679&lt;=33,"High Risk",IF(Q679&lt;=66,"Medium Risk","Low Risk"))</f>
        <v>Low Risk</v>
      </c>
    </row>
    <row r="680" customFormat="false" ht="15" hidden="false" customHeight="true" outlineLevel="0" collapsed="false">
      <c r="A680" s="20" t="n">
        <f aca="false">'Raw Data'!A680</f>
        <v>679</v>
      </c>
      <c r="B680" s="20" t="n">
        <f aca="false">'Raw Data'!B680</f>
        <v>64</v>
      </c>
      <c r="C680" s="20" t="str">
        <f aca="false">'Raw Data'!C680</f>
        <v>male</v>
      </c>
      <c r="D680" s="20" t="n">
        <f aca="false">'Raw Data'!D680</f>
        <v>1</v>
      </c>
      <c r="E680" s="20" t="str">
        <f aca="false">'Raw Data'!E680</f>
        <v>rent</v>
      </c>
      <c r="F680" s="20" t="str">
        <f aca="false">'Raw Data'!F680</f>
        <v>little</v>
      </c>
      <c r="G680" s="20" t="str">
        <f aca="false">'Raw Data'!G680</f>
        <v>little</v>
      </c>
      <c r="H680" s="20" t="n">
        <f aca="false">'Raw Data'!H680</f>
        <v>2384</v>
      </c>
      <c r="I680" s="20" t="n">
        <f aca="false">'Raw Data'!I680</f>
        <v>24</v>
      </c>
      <c r="J680" s="20" t="str">
        <f aca="false">'Raw Data'!J680</f>
        <v>radio/TV</v>
      </c>
      <c r="K680" s="21" t="n">
        <f aca="false">H680/I680</f>
        <v>99.3333333333333</v>
      </c>
      <c r="L680" s="21" t="n">
        <f aca="false">100-MIN(K680/Assumptions!$B$14,1)*100</f>
        <v>75.1666666666667</v>
      </c>
      <c r="M680" s="21" t="n">
        <f aca="false">VLOOKUP(F680,Assumptions!$A$19:$B$23,2,0)</f>
        <v>25</v>
      </c>
      <c r="N680" s="21" t="n">
        <f aca="false">VLOOKUP(G680,Assumptions!$A$27:$B$30,2,0)</f>
        <v>25</v>
      </c>
      <c r="O680" s="21" t="n">
        <f aca="false">VLOOKUP(D680,Assumptions!$A$34:$B$37,2,0)</f>
        <v>33</v>
      </c>
      <c r="P680" s="21" t="n">
        <f aca="false">VLOOKUP(E680,Assumptions!$A$41:$B$43,2,0)</f>
        <v>30</v>
      </c>
      <c r="Q680" s="22" t="n">
        <f aca="false">L680*Assumptions!$B$7+M680*Assumptions!$B$8+N680*Assumptions!$B$9+O680*Assumptions!$B$10+P680*Assumptions!$B$11</f>
        <v>41.75</v>
      </c>
      <c r="R680" s="11" t="str">
        <f aca="false">IF(Q680&lt;=33,"High Risk",IF(Q680&lt;=66,"Medium Risk","Low Risk"))</f>
        <v>Medium Risk</v>
      </c>
    </row>
    <row r="681" customFormat="false" ht="15" hidden="false" customHeight="true" outlineLevel="0" collapsed="false">
      <c r="A681" s="20" t="n">
        <f aca="false">'Raw Data'!A681</f>
        <v>680</v>
      </c>
      <c r="B681" s="20" t="n">
        <f aca="false">'Raw Data'!B681</f>
        <v>26</v>
      </c>
      <c r="C681" s="20" t="str">
        <f aca="false">'Raw Data'!C681</f>
        <v>female</v>
      </c>
      <c r="D681" s="20" t="n">
        <f aca="false">'Raw Data'!D681</f>
        <v>2</v>
      </c>
      <c r="E681" s="20" t="str">
        <f aca="false">'Raw Data'!E681</f>
        <v>own</v>
      </c>
      <c r="F681" s="20" t="str">
        <f aca="false">'Raw Data'!F681</f>
        <v>little</v>
      </c>
      <c r="G681" s="20" t="str">
        <f aca="false">'Raw Data'!G681</f>
        <v>none</v>
      </c>
      <c r="H681" s="20" t="n">
        <f aca="false">'Raw Data'!H681</f>
        <v>1453</v>
      </c>
      <c r="I681" s="20" t="n">
        <f aca="false">'Raw Data'!I681</f>
        <v>18</v>
      </c>
      <c r="J681" s="20" t="str">
        <f aca="false">'Raw Data'!J681</f>
        <v>radio/TV</v>
      </c>
      <c r="K681" s="21" t="n">
        <f aca="false">H681/I681</f>
        <v>80.7222222222222</v>
      </c>
      <c r="L681" s="21" t="n">
        <f aca="false">100-MIN(K681/Assumptions!$B$14,1)*100</f>
        <v>79.8194444444444</v>
      </c>
      <c r="M681" s="21" t="n">
        <f aca="false">VLOOKUP(F681,Assumptions!$A$19:$B$23,2,0)</f>
        <v>25</v>
      </c>
      <c r="N681" s="21" t="n">
        <f aca="false">VLOOKUP(G681,Assumptions!$A$27:$B$30,2,0)</f>
        <v>50</v>
      </c>
      <c r="O681" s="21" t="n">
        <f aca="false">VLOOKUP(D681,Assumptions!$A$34:$B$37,2,0)</f>
        <v>66</v>
      </c>
      <c r="P681" s="21" t="n">
        <f aca="false">VLOOKUP(E681,Assumptions!$A$41:$B$43,2,0)</f>
        <v>100</v>
      </c>
      <c r="Q681" s="22" t="n">
        <f aca="false">L681*Assumptions!$B$7+M681*Assumptions!$B$8+N681*Assumptions!$B$9+O681*Assumptions!$B$10+P681*Assumptions!$B$11</f>
        <v>60.0958333333333</v>
      </c>
      <c r="R681" s="11" t="str">
        <f aca="false">IF(Q681&lt;=33,"High Risk",IF(Q681&lt;=66,"Medium Risk","Low Risk"))</f>
        <v>Medium Risk</v>
      </c>
    </row>
    <row r="682" customFormat="false" ht="15" hidden="false" customHeight="true" outlineLevel="0" collapsed="false">
      <c r="A682" s="20" t="n">
        <f aca="false">'Raw Data'!A682</f>
        <v>681</v>
      </c>
      <c r="B682" s="20" t="n">
        <f aca="false">'Raw Data'!B682</f>
        <v>56</v>
      </c>
      <c r="C682" s="20" t="str">
        <f aca="false">'Raw Data'!C682</f>
        <v>female</v>
      </c>
      <c r="D682" s="20" t="n">
        <f aca="false">'Raw Data'!D682</f>
        <v>2</v>
      </c>
      <c r="E682" s="20" t="str">
        <f aca="false">'Raw Data'!E682</f>
        <v>own</v>
      </c>
      <c r="F682" s="20" t="str">
        <f aca="false">'Raw Data'!F682</f>
        <v>little</v>
      </c>
      <c r="G682" s="20" t="str">
        <f aca="false">'Raw Data'!G682</f>
        <v>none</v>
      </c>
      <c r="H682" s="20" t="n">
        <f aca="false">'Raw Data'!H682</f>
        <v>1538</v>
      </c>
      <c r="I682" s="20" t="n">
        <f aca="false">'Raw Data'!I682</f>
        <v>6</v>
      </c>
      <c r="J682" s="20" t="str">
        <f aca="false">'Raw Data'!J682</f>
        <v>education</v>
      </c>
      <c r="K682" s="21" t="n">
        <f aca="false">H682/I682</f>
        <v>256.333333333333</v>
      </c>
      <c r="L682" s="21" t="n">
        <f aca="false">100-MIN(K682/Assumptions!$B$14,1)*100</f>
        <v>35.9166666666667</v>
      </c>
      <c r="M682" s="21" t="n">
        <f aca="false">VLOOKUP(F682,Assumptions!$A$19:$B$23,2,0)</f>
        <v>25</v>
      </c>
      <c r="N682" s="21" t="n">
        <f aca="false">VLOOKUP(G682,Assumptions!$A$27:$B$30,2,0)</f>
        <v>50</v>
      </c>
      <c r="O682" s="21" t="n">
        <f aca="false">VLOOKUP(D682,Assumptions!$A$34:$B$37,2,0)</f>
        <v>66</v>
      </c>
      <c r="P682" s="21" t="n">
        <f aca="false">VLOOKUP(E682,Assumptions!$A$41:$B$43,2,0)</f>
        <v>100</v>
      </c>
      <c r="Q682" s="22" t="n">
        <f aca="false">L682*Assumptions!$B$7+M682*Assumptions!$B$8+N682*Assumptions!$B$9+O682*Assumptions!$B$10+P682*Assumptions!$B$11</f>
        <v>46.925</v>
      </c>
      <c r="R682" s="11" t="str">
        <f aca="false">IF(Q682&lt;=33,"High Risk",IF(Q682&lt;=66,"Medium Risk","Low Risk"))</f>
        <v>Medium Risk</v>
      </c>
    </row>
    <row r="683" customFormat="false" ht="15" hidden="false" customHeight="true" outlineLevel="0" collapsed="false">
      <c r="A683" s="20" t="n">
        <f aca="false">'Raw Data'!A683</f>
        <v>682</v>
      </c>
      <c r="B683" s="20" t="n">
        <f aca="false">'Raw Data'!B683</f>
        <v>37</v>
      </c>
      <c r="C683" s="20" t="str">
        <f aca="false">'Raw Data'!C683</f>
        <v>male</v>
      </c>
      <c r="D683" s="20" t="n">
        <f aca="false">'Raw Data'!D683</f>
        <v>2</v>
      </c>
      <c r="E683" s="20" t="str">
        <f aca="false">'Raw Data'!E683</f>
        <v>free</v>
      </c>
      <c r="F683" s="20" t="str">
        <f aca="false">'Raw Data'!F683</f>
        <v>none</v>
      </c>
      <c r="G683" s="20" t="str">
        <f aca="false">'Raw Data'!G683</f>
        <v>none</v>
      </c>
      <c r="H683" s="20" t="n">
        <f aca="false">'Raw Data'!H683</f>
        <v>2279</v>
      </c>
      <c r="I683" s="20" t="n">
        <f aca="false">'Raw Data'!I683</f>
        <v>12</v>
      </c>
      <c r="J683" s="20" t="str">
        <f aca="false">'Raw Data'!J683</f>
        <v>radio/TV</v>
      </c>
      <c r="K683" s="21" t="n">
        <f aca="false">H683/I683</f>
        <v>189.916666666667</v>
      </c>
      <c r="L683" s="21" t="n">
        <f aca="false">100-MIN(K683/Assumptions!$B$14,1)*100</f>
        <v>52.5208333333333</v>
      </c>
      <c r="M683" s="21" t="n">
        <f aca="false">VLOOKUP(F683,Assumptions!$A$19:$B$23,2,0)</f>
        <v>40</v>
      </c>
      <c r="N683" s="21" t="n">
        <f aca="false">VLOOKUP(G683,Assumptions!$A$27:$B$30,2,0)</f>
        <v>50</v>
      </c>
      <c r="O683" s="21" t="n">
        <f aca="false">VLOOKUP(D683,Assumptions!$A$34:$B$37,2,0)</f>
        <v>66</v>
      </c>
      <c r="P683" s="21" t="n">
        <f aca="false">VLOOKUP(E683,Assumptions!$A$41:$B$43,2,0)</f>
        <v>60</v>
      </c>
      <c r="Q683" s="22" t="n">
        <f aca="false">L683*Assumptions!$B$7+M683*Assumptions!$B$8+N683*Assumptions!$B$9+O683*Assumptions!$B$10+P683*Assumptions!$B$11</f>
        <v>51.65625</v>
      </c>
      <c r="R683" s="11" t="str">
        <f aca="false">IF(Q683&lt;=33,"High Risk",IF(Q683&lt;=66,"Medium Risk","Low Risk"))</f>
        <v>Medium Risk</v>
      </c>
    </row>
    <row r="684" customFormat="false" ht="15" hidden="false" customHeight="true" outlineLevel="0" collapsed="false">
      <c r="A684" s="20" t="n">
        <f aca="false">'Raw Data'!A684</f>
        <v>683</v>
      </c>
      <c r="B684" s="20" t="n">
        <f aca="false">'Raw Data'!B684</f>
        <v>33</v>
      </c>
      <c r="C684" s="20" t="str">
        <f aca="false">'Raw Data'!C684</f>
        <v>male</v>
      </c>
      <c r="D684" s="20" t="n">
        <f aca="false">'Raw Data'!D684</f>
        <v>2</v>
      </c>
      <c r="E684" s="20" t="str">
        <f aca="false">'Raw Data'!E684</f>
        <v>own</v>
      </c>
      <c r="F684" s="20" t="str">
        <f aca="false">'Raw Data'!F684</f>
        <v>little</v>
      </c>
      <c r="G684" s="20" t="str">
        <f aca="false">'Raw Data'!G684</f>
        <v>none</v>
      </c>
      <c r="H684" s="20" t="n">
        <f aca="false">'Raw Data'!H684</f>
        <v>1478</v>
      </c>
      <c r="I684" s="20" t="n">
        <f aca="false">'Raw Data'!I684</f>
        <v>15</v>
      </c>
      <c r="J684" s="20" t="str">
        <f aca="false">'Raw Data'!J684</f>
        <v>radio/TV</v>
      </c>
      <c r="K684" s="21" t="n">
        <f aca="false">H684/I684</f>
        <v>98.5333333333333</v>
      </c>
      <c r="L684" s="21" t="n">
        <f aca="false">100-MIN(K684/Assumptions!$B$14,1)*100</f>
        <v>75.3666666666667</v>
      </c>
      <c r="M684" s="21" t="n">
        <f aca="false">VLOOKUP(F684,Assumptions!$A$19:$B$23,2,0)</f>
        <v>25</v>
      </c>
      <c r="N684" s="21" t="n">
        <f aca="false">VLOOKUP(G684,Assumptions!$A$27:$B$30,2,0)</f>
        <v>50</v>
      </c>
      <c r="O684" s="21" t="n">
        <f aca="false">VLOOKUP(D684,Assumptions!$A$34:$B$37,2,0)</f>
        <v>66</v>
      </c>
      <c r="P684" s="21" t="n">
        <f aca="false">VLOOKUP(E684,Assumptions!$A$41:$B$43,2,0)</f>
        <v>100</v>
      </c>
      <c r="Q684" s="22" t="n">
        <f aca="false">L684*Assumptions!$B$7+M684*Assumptions!$B$8+N684*Assumptions!$B$9+O684*Assumptions!$B$10+P684*Assumptions!$B$11</f>
        <v>58.76</v>
      </c>
      <c r="R684" s="11" t="str">
        <f aca="false">IF(Q684&lt;=33,"High Risk",IF(Q684&lt;=66,"Medium Risk","Low Risk"))</f>
        <v>Medium Risk</v>
      </c>
    </row>
    <row r="685" customFormat="false" ht="15" hidden="false" customHeight="true" outlineLevel="0" collapsed="false">
      <c r="A685" s="20" t="n">
        <f aca="false">'Raw Data'!A685</f>
        <v>684</v>
      </c>
      <c r="B685" s="20" t="n">
        <f aca="false">'Raw Data'!B685</f>
        <v>47</v>
      </c>
      <c r="C685" s="20" t="str">
        <f aca="false">'Raw Data'!C685</f>
        <v>male</v>
      </c>
      <c r="D685" s="20" t="n">
        <f aca="false">'Raw Data'!D685</f>
        <v>2</v>
      </c>
      <c r="E685" s="20" t="str">
        <f aca="false">'Raw Data'!E685</f>
        <v>free</v>
      </c>
      <c r="F685" s="20" t="str">
        <f aca="false">'Raw Data'!F685</f>
        <v>little</v>
      </c>
      <c r="G685" s="20" t="str">
        <f aca="false">'Raw Data'!G685</f>
        <v>none</v>
      </c>
      <c r="H685" s="20" t="n">
        <f aca="false">'Raw Data'!H685</f>
        <v>5103</v>
      </c>
      <c r="I685" s="20" t="n">
        <f aca="false">'Raw Data'!I685</f>
        <v>24</v>
      </c>
      <c r="J685" s="20" t="str">
        <f aca="false">'Raw Data'!J685</f>
        <v>radio/TV</v>
      </c>
      <c r="K685" s="21" t="n">
        <f aca="false">H685/I685</f>
        <v>212.625</v>
      </c>
      <c r="L685" s="21" t="n">
        <f aca="false">100-MIN(K685/Assumptions!$B$14,1)*100</f>
        <v>46.84375</v>
      </c>
      <c r="M685" s="21" t="n">
        <f aca="false">VLOOKUP(F685,Assumptions!$A$19:$B$23,2,0)</f>
        <v>25</v>
      </c>
      <c r="N685" s="21" t="n">
        <f aca="false">VLOOKUP(G685,Assumptions!$A$27:$B$30,2,0)</f>
        <v>50</v>
      </c>
      <c r="O685" s="21" t="n">
        <f aca="false">VLOOKUP(D685,Assumptions!$A$34:$B$37,2,0)</f>
        <v>66</v>
      </c>
      <c r="P685" s="21" t="n">
        <f aca="false">VLOOKUP(E685,Assumptions!$A$41:$B$43,2,0)</f>
        <v>60</v>
      </c>
      <c r="Q685" s="22" t="n">
        <f aca="false">L685*Assumptions!$B$7+M685*Assumptions!$B$8+N685*Assumptions!$B$9+O685*Assumptions!$B$10+P685*Assumptions!$B$11</f>
        <v>46.203125</v>
      </c>
      <c r="R685" s="11" t="str">
        <f aca="false">IF(Q685&lt;=33,"High Risk",IF(Q685&lt;=66,"Medium Risk","Low Risk"))</f>
        <v>Medium Risk</v>
      </c>
    </row>
    <row r="686" customFormat="false" ht="15" hidden="false" customHeight="true" outlineLevel="0" collapsed="false">
      <c r="A686" s="20" t="n">
        <f aca="false">'Raw Data'!A686</f>
        <v>685</v>
      </c>
      <c r="B686" s="20" t="n">
        <f aca="false">'Raw Data'!B686</f>
        <v>31</v>
      </c>
      <c r="C686" s="20" t="str">
        <f aca="false">'Raw Data'!C686</f>
        <v>male</v>
      </c>
      <c r="D686" s="20" t="n">
        <f aca="false">'Raw Data'!D686</f>
        <v>1</v>
      </c>
      <c r="E686" s="20" t="str">
        <f aca="false">'Raw Data'!E686</f>
        <v>own</v>
      </c>
      <c r="F686" s="20" t="str">
        <f aca="false">'Raw Data'!F686</f>
        <v>moderate</v>
      </c>
      <c r="G686" s="20" t="str">
        <f aca="false">'Raw Data'!G686</f>
        <v>moderate</v>
      </c>
      <c r="H686" s="20" t="n">
        <f aca="false">'Raw Data'!H686</f>
        <v>9857</v>
      </c>
      <c r="I686" s="20" t="n">
        <f aca="false">'Raw Data'!I686</f>
        <v>36</v>
      </c>
      <c r="J686" s="20" t="str">
        <f aca="false">'Raw Data'!J686</f>
        <v>business</v>
      </c>
      <c r="K686" s="21" t="n">
        <f aca="false">H686/I686</f>
        <v>273.805555555556</v>
      </c>
      <c r="L686" s="21" t="n">
        <f aca="false">100-MIN(K686/Assumptions!$B$14,1)*100</f>
        <v>31.5486111111111</v>
      </c>
      <c r="M686" s="21" t="n">
        <f aca="false">VLOOKUP(F686,Assumptions!$A$19:$B$23,2,0)</f>
        <v>50</v>
      </c>
      <c r="N686" s="21" t="n">
        <f aca="false">VLOOKUP(G686,Assumptions!$A$27:$B$30,2,0)</f>
        <v>60</v>
      </c>
      <c r="O686" s="21" t="n">
        <f aca="false">VLOOKUP(D686,Assumptions!$A$34:$B$37,2,0)</f>
        <v>33</v>
      </c>
      <c r="P686" s="21" t="n">
        <f aca="false">VLOOKUP(E686,Assumptions!$A$41:$B$43,2,0)</f>
        <v>100</v>
      </c>
      <c r="Q686" s="22" t="n">
        <f aca="false">L686*Assumptions!$B$7+M686*Assumptions!$B$8+N686*Assumptions!$B$9+O686*Assumptions!$B$10+P686*Assumptions!$B$11</f>
        <v>48.9145833333333</v>
      </c>
      <c r="R686" s="11" t="str">
        <f aca="false">IF(Q686&lt;=33,"High Risk",IF(Q686&lt;=66,"Medium Risk","Low Risk"))</f>
        <v>Medium Risk</v>
      </c>
    </row>
    <row r="687" customFormat="false" ht="15" hidden="false" customHeight="true" outlineLevel="0" collapsed="false">
      <c r="A687" s="20" t="n">
        <f aca="false">'Raw Data'!A687</f>
        <v>686</v>
      </c>
      <c r="B687" s="20" t="n">
        <f aca="false">'Raw Data'!B687</f>
        <v>34</v>
      </c>
      <c r="C687" s="20" t="str">
        <f aca="false">'Raw Data'!C687</f>
        <v>male</v>
      </c>
      <c r="D687" s="20" t="n">
        <f aca="false">'Raw Data'!D687</f>
        <v>2</v>
      </c>
      <c r="E687" s="20" t="str">
        <f aca="false">'Raw Data'!E687</f>
        <v>free</v>
      </c>
      <c r="F687" s="20" t="str">
        <f aca="false">'Raw Data'!F687</f>
        <v>none</v>
      </c>
      <c r="G687" s="20" t="str">
        <f aca="false">'Raw Data'!G687</f>
        <v>none</v>
      </c>
      <c r="H687" s="20" t="n">
        <f aca="false">'Raw Data'!H687</f>
        <v>6527</v>
      </c>
      <c r="I687" s="20" t="n">
        <f aca="false">'Raw Data'!I687</f>
        <v>60</v>
      </c>
      <c r="J687" s="20" t="str">
        <f aca="false">'Raw Data'!J687</f>
        <v>car</v>
      </c>
      <c r="K687" s="21" t="n">
        <f aca="false">H687/I687</f>
        <v>108.783333333333</v>
      </c>
      <c r="L687" s="21" t="n">
        <f aca="false">100-MIN(K687/Assumptions!$B$14,1)*100</f>
        <v>72.8041666666667</v>
      </c>
      <c r="M687" s="21" t="n">
        <f aca="false">VLOOKUP(F687,Assumptions!$A$19:$B$23,2,0)</f>
        <v>40</v>
      </c>
      <c r="N687" s="21" t="n">
        <f aca="false">VLOOKUP(G687,Assumptions!$A$27:$B$30,2,0)</f>
        <v>50</v>
      </c>
      <c r="O687" s="21" t="n">
        <f aca="false">VLOOKUP(D687,Assumptions!$A$34:$B$37,2,0)</f>
        <v>66</v>
      </c>
      <c r="P687" s="21" t="n">
        <f aca="false">VLOOKUP(E687,Assumptions!$A$41:$B$43,2,0)</f>
        <v>60</v>
      </c>
      <c r="Q687" s="22" t="n">
        <f aca="false">L687*Assumptions!$B$7+M687*Assumptions!$B$8+N687*Assumptions!$B$9+O687*Assumptions!$B$10+P687*Assumptions!$B$11</f>
        <v>57.74125</v>
      </c>
      <c r="R687" s="11" t="str">
        <f aca="false">IF(Q687&lt;=33,"High Risk",IF(Q687&lt;=66,"Medium Risk","Low Risk"))</f>
        <v>Medium Risk</v>
      </c>
    </row>
    <row r="688" customFormat="false" ht="15" hidden="false" customHeight="true" outlineLevel="0" collapsed="false">
      <c r="A688" s="20" t="n">
        <f aca="false">'Raw Data'!A688</f>
        <v>687</v>
      </c>
      <c r="B688" s="20" t="n">
        <f aca="false">'Raw Data'!B688</f>
        <v>27</v>
      </c>
      <c r="C688" s="20" t="str">
        <f aca="false">'Raw Data'!C688</f>
        <v>male</v>
      </c>
      <c r="D688" s="20" t="n">
        <f aca="false">'Raw Data'!D688</f>
        <v>2</v>
      </c>
      <c r="E688" s="20" t="str">
        <f aca="false">'Raw Data'!E688</f>
        <v>own</v>
      </c>
      <c r="F688" s="20" t="str">
        <f aca="false">'Raw Data'!F688</f>
        <v>none</v>
      </c>
      <c r="G688" s="20" t="str">
        <f aca="false">'Raw Data'!G688</f>
        <v>rich</v>
      </c>
      <c r="H688" s="20" t="n">
        <f aca="false">'Raw Data'!H688</f>
        <v>1347</v>
      </c>
      <c r="I688" s="20" t="n">
        <f aca="false">'Raw Data'!I688</f>
        <v>10</v>
      </c>
      <c r="J688" s="20" t="str">
        <f aca="false">'Raw Data'!J688</f>
        <v>radio/TV</v>
      </c>
      <c r="K688" s="21" t="n">
        <f aca="false">H688/I688</f>
        <v>134.7</v>
      </c>
      <c r="L688" s="21" t="n">
        <f aca="false">100-MIN(K688/Assumptions!$B$14,1)*100</f>
        <v>66.325</v>
      </c>
      <c r="M688" s="21" t="n">
        <f aca="false">VLOOKUP(F688,Assumptions!$A$19:$B$23,2,0)</f>
        <v>40</v>
      </c>
      <c r="N688" s="21" t="n">
        <f aca="false">VLOOKUP(G688,Assumptions!$A$27:$B$30,2,0)</f>
        <v>100</v>
      </c>
      <c r="O688" s="21" t="n">
        <f aca="false">VLOOKUP(D688,Assumptions!$A$34:$B$37,2,0)</f>
        <v>66</v>
      </c>
      <c r="P688" s="21" t="n">
        <f aca="false">VLOOKUP(E688,Assumptions!$A$41:$B$43,2,0)</f>
        <v>100</v>
      </c>
      <c r="Q688" s="22" t="n">
        <f aca="false">L688*Assumptions!$B$7+M688*Assumptions!$B$8+N688*Assumptions!$B$9+O688*Assumptions!$B$10+P688*Assumptions!$B$11</f>
        <v>69.7975</v>
      </c>
      <c r="R688" s="11" t="str">
        <f aca="false">IF(Q688&lt;=33,"High Risk",IF(Q688&lt;=66,"Medium Risk","Low Risk"))</f>
        <v>Low Risk</v>
      </c>
    </row>
    <row r="689" customFormat="false" ht="15" hidden="false" customHeight="true" outlineLevel="0" collapsed="false">
      <c r="A689" s="20" t="n">
        <f aca="false">'Raw Data'!A689</f>
        <v>688</v>
      </c>
      <c r="B689" s="20" t="n">
        <f aca="false">'Raw Data'!B689</f>
        <v>30</v>
      </c>
      <c r="C689" s="20" t="str">
        <f aca="false">'Raw Data'!C689</f>
        <v>male</v>
      </c>
      <c r="D689" s="20" t="n">
        <f aca="false">'Raw Data'!D689</f>
        <v>2</v>
      </c>
      <c r="E689" s="20" t="str">
        <f aca="false">'Raw Data'!E689</f>
        <v>free</v>
      </c>
      <c r="F689" s="20" t="str">
        <f aca="false">'Raw Data'!F689</f>
        <v>moderate</v>
      </c>
      <c r="G689" s="20" t="str">
        <f aca="false">'Raw Data'!G689</f>
        <v>moderate</v>
      </c>
      <c r="H689" s="20" t="n">
        <f aca="false">'Raw Data'!H689</f>
        <v>2862</v>
      </c>
      <c r="I689" s="20" t="n">
        <f aca="false">'Raw Data'!I689</f>
        <v>36</v>
      </c>
      <c r="J689" s="20" t="str">
        <f aca="false">'Raw Data'!J689</f>
        <v>car</v>
      </c>
      <c r="K689" s="21" t="n">
        <f aca="false">H689/I689</f>
        <v>79.5</v>
      </c>
      <c r="L689" s="21" t="n">
        <f aca="false">100-MIN(K689/Assumptions!$B$14,1)*100</f>
        <v>80.125</v>
      </c>
      <c r="M689" s="21" t="n">
        <f aca="false">VLOOKUP(F689,Assumptions!$A$19:$B$23,2,0)</f>
        <v>50</v>
      </c>
      <c r="N689" s="21" t="n">
        <f aca="false">VLOOKUP(G689,Assumptions!$A$27:$B$30,2,0)</f>
        <v>60</v>
      </c>
      <c r="O689" s="21" t="n">
        <f aca="false">VLOOKUP(D689,Assumptions!$A$34:$B$37,2,0)</f>
        <v>66</v>
      </c>
      <c r="P689" s="21" t="n">
        <f aca="false">VLOOKUP(E689,Assumptions!$A$41:$B$43,2,0)</f>
        <v>60</v>
      </c>
      <c r="Q689" s="22" t="n">
        <f aca="false">L689*Assumptions!$B$7+M689*Assumptions!$B$8+N689*Assumptions!$B$9+O689*Assumptions!$B$10+P689*Assumptions!$B$11</f>
        <v>64.4375</v>
      </c>
      <c r="R689" s="11" t="str">
        <f aca="false">IF(Q689&lt;=33,"High Risk",IF(Q689&lt;=66,"Medium Risk","Low Risk"))</f>
        <v>Medium Risk</v>
      </c>
    </row>
    <row r="690" customFormat="false" ht="15" hidden="false" customHeight="true" outlineLevel="0" collapsed="false">
      <c r="A690" s="20" t="n">
        <f aca="false">'Raw Data'!A690</f>
        <v>689</v>
      </c>
      <c r="B690" s="20" t="n">
        <f aca="false">'Raw Data'!B690</f>
        <v>35</v>
      </c>
      <c r="C690" s="20" t="str">
        <f aca="false">'Raw Data'!C690</f>
        <v>male</v>
      </c>
      <c r="D690" s="20" t="n">
        <f aca="false">'Raw Data'!D690</f>
        <v>2</v>
      </c>
      <c r="E690" s="20" t="str">
        <f aca="false">'Raw Data'!E690</f>
        <v>own</v>
      </c>
      <c r="F690" s="20" t="str">
        <f aca="false">'Raw Data'!F690</f>
        <v>moderate</v>
      </c>
      <c r="G690" s="20" t="str">
        <f aca="false">'Raw Data'!G690</f>
        <v>none</v>
      </c>
      <c r="H690" s="20" t="n">
        <f aca="false">'Raw Data'!H690</f>
        <v>2753</v>
      </c>
      <c r="I690" s="20" t="n">
        <f aca="false">'Raw Data'!I690</f>
        <v>9</v>
      </c>
      <c r="J690" s="20" t="str">
        <f aca="false">'Raw Data'!J690</f>
        <v>radio/TV</v>
      </c>
      <c r="K690" s="21" t="n">
        <f aca="false">H690/I690</f>
        <v>305.888888888889</v>
      </c>
      <c r="L690" s="21" t="n">
        <f aca="false">100-MIN(K690/Assumptions!$B$14,1)*100</f>
        <v>23.5277777777778</v>
      </c>
      <c r="M690" s="21" t="n">
        <f aca="false">VLOOKUP(F690,Assumptions!$A$19:$B$23,2,0)</f>
        <v>50</v>
      </c>
      <c r="N690" s="21" t="n">
        <f aca="false">VLOOKUP(G690,Assumptions!$A$27:$B$30,2,0)</f>
        <v>50</v>
      </c>
      <c r="O690" s="21" t="n">
        <f aca="false">VLOOKUP(D690,Assumptions!$A$34:$B$37,2,0)</f>
        <v>66</v>
      </c>
      <c r="P690" s="21" t="n">
        <f aca="false">VLOOKUP(E690,Assumptions!$A$41:$B$43,2,0)</f>
        <v>100</v>
      </c>
      <c r="Q690" s="22" t="n">
        <f aca="false">L690*Assumptions!$B$7+M690*Assumptions!$B$8+N690*Assumptions!$B$9+O690*Assumptions!$B$10+P690*Assumptions!$B$11</f>
        <v>49.4583333333333</v>
      </c>
      <c r="R690" s="11" t="str">
        <f aca="false">IF(Q690&lt;=33,"High Risk",IF(Q690&lt;=66,"Medium Risk","Low Risk"))</f>
        <v>Medium Risk</v>
      </c>
    </row>
    <row r="691" customFormat="false" ht="15" hidden="false" customHeight="true" outlineLevel="0" collapsed="false">
      <c r="A691" s="20" t="n">
        <f aca="false">'Raw Data'!A691</f>
        <v>690</v>
      </c>
      <c r="B691" s="20" t="n">
        <f aca="false">'Raw Data'!B691</f>
        <v>31</v>
      </c>
      <c r="C691" s="20" t="str">
        <f aca="false">'Raw Data'!C691</f>
        <v>male</v>
      </c>
      <c r="D691" s="20" t="n">
        <f aca="false">'Raw Data'!D691</f>
        <v>2</v>
      </c>
      <c r="E691" s="20" t="str">
        <f aca="false">'Raw Data'!E691</f>
        <v>own</v>
      </c>
      <c r="F691" s="20" t="str">
        <f aca="false">'Raw Data'!F691</f>
        <v>rich</v>
      </c>
      <c r="G691" s="20" t="str">
        <f aca="false">'Raw Data'!G691</f>
        <v>little</v>
      </c>
      <c r="H691" s="20" t="n">
        <f aca="false">'Raw Data'!H691</f>
        <v>3651</v>
      </c>
      <c r="I691" s="20" t="n">
        <f aca="false">'Raw Data'!I691</f>
        <v>12</v>
      </c>
      <c r="J691" s="20" t="str">
        <f aca="false">'Raw Data'!J691</f>
        <v>car</v>
      </c>
      <c r="K691" s="21" t="n">
        <f aca="false">H691/I691</f>
        <v>304.25</v>
      </c>
      <c r="L691" s="21" t="n">
        <f aca="false">100-MIN(K691/Assumptions!$B$14,1)*100</f>
        <v>23.9375</v>
      </c>
      <c r="M691" s="21" t="n">
        <f aca="false">VLOOKUP(F691,Assumptions!$A$19:$B$23,2,0)</f>
        <v>100</v>
      </c>
      <c r="N691" s="21" t="n">
        <f aca="false">VLOOKUP(G691,Assumptions!$A$27:$B$30,2,0)</f>
        <v>25</v>
      </c>
      <c r="O691" s="21" t="n">
        <f aca="false">VLOOKUP(D691,Assumptions!$A$34:$B$37,2,0)</f>
        <v>66</v>
      </c>
      <c r="P691" s="21" t="n">
        <f aca="false">VLOOKUP(E691,Assumptions!$A$41:$B$43,2,0)</f>
        <v>100</v>
      </c>
      <c r="Q691" s="22" t="n">
        <f aca="false">L691*Assumptions!$B$7+M691*Assumptions!$B$8+N691*Assumptions!$B$9+O691*Assumptions!$B$10+P691*Assumptions!$B$11</f>
        <v>57.08125</v>
      </c>
      <c r="R691" s="11" t="str">
        <f aca="false">IF(Q691&lt;=33,"High Risk",IF(Q691&lt;=66,"Medium Risk","Low Risk"))</f>
        <v>Medium Risk</v>
      </c>
    </row>
    <row r="692" customFormat="false" ht="15" hidden="false" customHeight="true" outlineLevel="0" collapsed="false">
      <c r="A692" s="20" t="n">
        <f aca="false">'Raw Data'!A692</f>
        <v>691</v>
      </c>
      <c r="B692" s="20" t="n">
        <f aca="false">'Raw Data'!B692</f>
        <v>25</v>
      </c>
      <c r="C692" s="20" t="str">
        <f aca="false">'Raw Data'!C692</f>
        <v>male</v>
      </c>
      <c r="D692" s="20" t="n">
        <f aca="false">'Raw Data'!D692</f>
        <v>2</v>
      </c>
      <c r="E692" s="20" t="str">
        <f aca="false">'Raw Data'!E692</f>
        <v>own</v>
      </c>
      <c r="F692" s="20" t="str">
        <f aca="false">'Raw Data'!F692</f>
        <v>little</v>
      </c>
      <c r="G692" s="20" t="str">
        <f aca="false">'Raw Data'!G692</f>
        <v>little</v>
      </c>
      <c r="H692" s="20" t="n">
        <f aca="false">'Raw Data'!H692</f>
        <v>975</v>
      </c>
      <c r="I692" s="20" t="n">
        <f aca="false">'Raw Data'!I692</f>
        <v>15</v>
      </c>
      <c r="J692" s="20" t="str">
        <f aca="false">'Raw Data'!J692</f>
        <v>furniture/equipment</v>
      </c>
      <c r="K692" s="21" t="n">
        <f aca="false">H692/I692</f>
        <v>65</v>
      </c>
      <c r="L692" s="21" t="n">
        <f aca="false">100-MIN(K692/Assumptions!$B$14,1)*100</f>
        <v>83.75</v>
      </c>
      <c r="M692" s="21" t="n">
        <f aca="false">VLOOKUP(F692,Assumptions!$A$19:$B$23,2,0)</f>
        <v>25</v>
      </c>
      <c r="N692" s="21" t="n">
        <f aca="false">VLOOKUP(G692,Assumptions!$A$27:$B$30,2,0)</f>
        <v>25</v>
      </c>
      <c r="O692" s="21" t="n">
        <f aca="false">VLOOKUP(D692,Assumptions!$A$34:$B$37,2,0)</f>
        <v>66</v>
      </c>
      <c r="P692" s="21" t="n">
        <f aca="false">VLOOKUP(E692,Assumptions!$A$41:$B$43,2,0)</f>
        <v>100</v>
      </c>
      <c r="Q692" s="22" t="n">
        <f aca="false">L692*Assumptions!$B$7+M692*Assumptions!$B$8+N692*Assumptions!$B$9+O692*Assumptions!$B$10+P692*Assumptions!$B$11</f>
        <v>56.275</v>
      </c>
      <c r="R692" s="11" t="str">
        <f aca="false">IF(Q692&lt;=33,"High Risk",IF(Q692&lt;=66,"Medium Risk","Low Risk"))</f>
        <v>Medium Risk</v>
      </c>
    </row>
    <row r="693" customFormat="false" ht="15" hidden="false" customHeight="true" outlineLevel="0" collapsed="false">
      <c r="A693" s="20" t="n">
        <f aca="false">'Raw Data'!A693</f>
        <v>692</v>
      </c>
      <c r="B693" s="20" t="n">
        <f aca="false">'Raw Data'!B693</f>
        <v>25</v>
      </c>
      <c r="C693" s="20" t="str">
        <f aca="false">'Raw Data'!C693</f>
        <v>female</v>
      </c>
      <c r="D693" s="20" t="n">
        <f aca="false">'Raw Data'!D693</f>
        <v>1</v>
      </c>
      <c r="E693" s="20" t="str">
        <f aca="false">'Raw Data'!E693</f>
        <v>own</v>
      </c>
      <c r="F693" s="20" t="str">
        <f aca="false">'Raw Data'!F693</f>
        <v>moderate</v>
      </c>
      <c r="G693" s="20" t="str">
        <f aca="false">'Raw Data'!G693</f>
        <v>moderate</v>
      </c>
      <c r="H693" s="20" t="n">
        <f aca="false">'Raw Data'!H693</f>
        <v>2631</v>
      </c>
      <c r="I693" s="20" t="n">
        <f aca="false">'Raw Data'!I693</f>
        <v>15</v>
      </c>
      <c r="J693" s="20" t="str">
        <f aca="false">'Raw Data'!J693</f>
        <v>repairs</v>
      </c>
      <c r="K693" s="21" t="n">
        <f aca="false">H693/I693</f>
        <v>175.4</v>
      </c>
      <c r="L693" s="21" t="n">
        <f aca="false">100-MIN(K693/Assumptions!$B$14,1)*100</f>
        <v>56.15</v>
      </c>
      <c r="M693" s="21" t="n">
        <f aca="false">VLOOKUP(F693,Assumptions!$A$19:$B$23,2,0)</f>
        <v>50</v>
      </c>
      <c r="N693" s="21" t="n">
        <f aca="false">VLOOKUP(G693,Assumptions!$A$27:$B$30,2,0)</f>
        <v>60</v>
      </c>
      <c r="O693" s="21" t="n">
        <f aca="false">VLOOKUP(D693,Assumptions!$A$34:$B$37,2,0)</f>
        <v>33</v>
      </c>
      <c r="P693" s="21" t="n">
        <f aca="false">VLOOKUP(E693,Assumptions!$A$41:$B$43,2,0)</f>
        <v>100</v>
      </c>
      <c r="Q693" s="22" t="n">
        <f aca="false">L693*Assumptions!$B$7+M693*Assumptions!$B$8+N693*Assumptions!$B$9+O693*Assumptions!$B$10+P693*Assumptions!$B$11</f>
        <v>56.295</v>
      </c>
      <c r="R693" s="11" t="str">
        <f aca="false">IF(Q693&lt;=33,"High Risk",IF(Q693&lt;=66,"Medium Risk","Low Risk"))</f>
        <v>Medium Risk</v>
      </c>
    </row>
    <row r="694" customFormat="false" ht="15" hidden="false" customHeight="true" outlineLevel="0" collapsed="false">
      <c r="A694" s="20" t="n">
        <f aca="false">'Raw Data'!A694</f>
        <v>693</v>
      </c>
      <c r="B694" s="20" t="n">
        <f aca="false">'Raw Data'!B694</f>
        <v>29</v>
      </c>
      <c r="C694" s="20" t="str">
        <f aca="false">'Raw Data'!C694</f>
        <v>male</v>
      </c>
      <c r="D694" s="20" t="n">
        <f aca="false">'Raw Data'!D694</f>
        <v>2</v>
      </c>
      <c r="E694" s="20" t="str">
        <f aca="false">'Raw Data'!E694</f>
        <v>own</v>
      </c>
      <c r="F694" s="20" t="str">
        <f aca="false">'Raw Data'!F694</f>
        <v>moderate</v>
      </c>
      <c r="G694" s="20" t="str">
        <f aca="false">'Raw Data'!G694</f>
        <v>moderate</v>
      </c>
      <c r="H694" s="20" t="n">
        <f aca="false">'Raw Data'!H694</f>
        <v>2896</v>
      </c>
      <c r="I694" s="20" t="n">
        <f aca="false">'Raw Data'!I694</f>
        <v>24</v>
      </c>
      <c r="J694" s="20" t="str">
        <f aca="false">'Raw Data'!J694</f>
        <v>radio/TV</v>
      </c>
      <c r="K694" s="21" t="n">
        <f aca="false">H694/I694</f>
        <v>120.666666666667</v>
      </c>
      <c r="L694" s="21" t="n">
        <f aca="false">100-MIN(K694/Assumptions!$B$14,1)*100</f>
        <v>69.8333333333333</v>
      </c>
      <c r="M694" s="21" t="n">
        <f aca="false">VLOOKUP(F694,Assumptions!$A$19:$B$23,2,0)</f>
        <v>50</v>
      </c>
      <c r="N694" s="21" t="n">
        <f aca="false">VLOOKUP(G694,Assumptions!$A$27:$B$30,2,0)</f>
        <v>60</v>
      </c>
      <c r="O694" s="21" t="n">
        <f aca="false">VLOOKUP(D694,Assumptions!$A$34:$B$37,2,0)</f>
        <v>66</v>
      </c>
      <c r="P694" s="21" t="n">
        <f aca="false">VLOOKUP(E694,Assumptions!$A$41:$B$43,2,0)</f>
        <v>100</v>
      </c>
      <c r="Q694" s="22" t="n">
        <f aca="false">L694*Assumptions!$B$7+M694*Assumptions!$B$8+N694*Assumptions!$B$9+O694*Assumptions!$B$10+P694*Assumptions!$B$11</f>
        <v>65.35</v>
      </c>
      <c r="R694" s="11" t="str">
        <f aca="false">IF(Q694&lt;=33,"High Risk",IF(Q694&lt;=66,"Medium Risk","Low Risk"))</f>
        <v>Medium Risk</v>
      </c>
    </row>
    <row r="695" customFormat="false" ht="15" hidden="false" customHeight="true" outlineLevel="0" collapsed="false">
      <c r="A695" s="20" t="n">
        <f aca="false">'Raw Data'!A695</f>
        <v>694</v>
      </c>
      <c r="B695" s="20" t="n">
        <f aca="false">'Raw Data'!B695</f>
        <v>44</v>
      </c>
      <c r="C695" s="20" t="str">
        <f aca="false">'Raw Data'!C695</f>
        <v>male</v>
      </c>
      <c r="D695" s="20" t="n">
        <f aca="false">'Raw Data'!D695</f>
        <v>1</v>
      </c>
      <c r="E695" s="20" t="str">
        <f aca="false">'Raw Data'!E695</f>
        <v>own</v>
      </c>
      <c r="F695" s="20" t="str">
        <f aca="false">'Raw Data'!F695</f>
        <v>none</v>
      </c>
      <c r="G695" s="20" t="str">
        <f aca="false">'Raw Data'!G695</f>
        <v>little</v>
      </c>
      <c r="H695" s="20" t="n">
        <f aca="false">'Raw Data'!H695</f>
        <v>4716</v>
      </c>
      <c r="I695" s="20" t="n">
        <f aca="false">'Raw Data'!I695</f>
        <v>6</v>
      </c>
      <c r="J695" s="20" t="str">
        <f aca="false">'Raw Data'!J695</f>
        <v>car</v>
      </c>
      <c r="K695" s="21" t="n">
        <f aca="false">H695/I695</f>
        <v>786</v>
      </c>
      <c r="L695" s="21" t="n">
        <f aca="false">100-MIN(K695/Assumptions!$B$14,1)*100</f>
        <v>0</v>
      </c>
      <c r="M695" s="21" t="n">
        <f aca="false">VLOOKUP(F695,Assumptions!$A$19:$B$23,2,0)</f>
        <v>40</v>
      </c>
      <c r="N695" s="21" t="n">
        <f aca="false">VLOOKUP(G695,Assumptions!$A$27:$B$30,2,0)</f>
        <v>25</v>
      </c>
      <c r="O695" s="21" t="n">
        <f aca="false">VLOOKUP(D695,Assumptions!$A$34:$B$37,2,0)</f>
        <v>33</v>
      </c>
      <c r="P695" s="21" t="n">
        <f aca="false">VLOOKUP(E695,Assumptions!$A$41:$B$43,2,0)</f>
        <v>100</v>
      </c>
      <c r="Q695" s="22" t="n">
        <f aca="false">L695*Assumptions!$B$7+M695*Assumptions!$B$8+N695*Assumptions!$B$9+O695*Assumptions!$B$10+P695*Assumptions!$B$11</f>
        <v>29.95</v>
      </c>
      <c r="R695" s="11" t="str">
        <f aca="false">IF(Q695&lt;=33,"High Risk",IF(Q695&lt;=66,"Medium Risk","Low Risk"))</f>
        <v>High Risk</v>
      </c>
    </row>
    <row r="696" customFormat="false" ht="15" hidden="false" customHeight="true" outlineLevel="0" collapsed="false">
      <c r="A696" s="20" t="n">
        <f aca="false">'Raw Data'!A696</f>
        <v>695</v>
      </c>
      <c r="B696" s="20" t="n">
        <f aca="false">'Raw Data'!B696</f>
        <v>28</v>
      </c>
      <c r="C696" s="20" t="str">
        <f aca="false">'Raw Data'!C696</f>
        <v>male</v>
      </c>
      <c r="D696" s="20" t="n">
        <f aca="false">'Raw Data'!D696</f>
        <v>2</v>
      </c>
      <c r="E696" s="20" t="str">
        <f aca="false">'Raw Data'!E696</f>
        <v>own</v>
      </c>
      <c r="F696" s="20" t="str">
        <f aca="false">'Raw Data'!F696</f>
        <v>little</v>
      </c>
      <c r="G696" s="20" t="str">
        <f aca="false">'Raw Data'!G696</f>
        <v>none</v>
      </c>
      <c r="H696" s="20" t="n">
        <f aca="false">'Raw Data'!H696</f>
        <v>2284</v>
      </c>
      <c r="I696" s="20" t="n">
        <f aca="false">'Raw Data'!I696</f>
        <v>24</v>
      </c>
      <c r="J696" s="20" t="str">
        <f aca="false">'Raw Data'!J696</f>
        <v>radio/TV</v>
      </c>
      <c r="K696" s="21" t="n">
        <f aca="false">H696/I696</f>
        <v>95.1666666666667</v>
      </c>
      <c r="L696" s="21" t="n">
        <f aca="false">100-MIN(K696/Assumptions!$B$14,1)*100</f>
        <v>76.2083333333333</v>
      </c>
      <c r="M696" s="21" t="n">
        <f aca="false">VLOOKUP(F696,Assumptions!$A$19:$B$23,2,0)</f>
        <v>25</v>
      </c>
      <c r="N696" s="21" t="n">
        <f aca="false">VLOOKUP(G696,Assumptions!$A$27:$B$30,2,0)</f>
        <v>50</v>
      </c>
      <c r="O696" s="21" t="n">
        <f aca="false">VLOOKUP(D696,Assumptions!$A$34:$B$37,2,0)</f>
        <v>66</v>
      </c>
      <c r="P696" s="21" t="n">
        <f aca="false">VLOOKUP(E696,Assumptions!$A$41:$B$43,2,0)</f>
        <v>100</v>
      </c>
      <c r="Q696" s="22" t="n">
        <f aca="false">L696*Assumptions!$B$7+M696*Assumptions!$B$8+N696*Assumptions!$B$9+O696*Assumptions!$B$10+P696*Assumptions!$B$11</f>
        <v>59.0125</v>
      </c>
      <c r="R696" s="11" t="str">
        <f aca="false">IF(Q696&lt;=33,"High Risk",IF(Q696&lt;=66,"Medium Risk","Low Risk"))</f>
        <v>Medium Risk</v>
      </c>
    </row>
    <row r="697" customFormat="false" ht="15" hidden="false" customHeight="true" outlineLevel="0" collapsed="false">
      <c r="A697" s="20" t="n">
        <f aca="false">'Raw Data'!A697</f>
        <v>696</v>
      </c>
      <c r="B697" s="20" t="n">
        <f aca="false">'Raw Data'!B697</f>
        <v>50</v>
      </c>
      <c r="C697" s="20" t="str">
        <f aca="false">'Raw Data'!C697</f>
        <v>male</v>
      </c>
      <c r="D697" s="20" t="n">
        <f aca="false">'Raw Data'!D697</f>
        <v>2</v>
      </c>
      <c r="E697" s="20" t="str">
        <f aca="false">'Raw Data'!E697</f>
        <v>rent</v>
      </c>
      <c r="F697" s="20" t="str">
        <f aca="false">'Raw Data'!F697</f>
        <v>quite rich</v>
      </c>
      <c r="G697" s="20" t="str">
        <f aca="false">'Raw Data'!G697</f>
        <v>none</v>
      </c>
      <c r="H697" s="20" t="n">
        <f aca="false">'Raw Data'!H697</f>
        <v>1236</v>
      </c>
      <c r="I697" s="20" t="n">
        <f aca="false">'Raw Data'!I697</f>
        <v>6</v>
      </c>
      <c r="J697" s="20" t="str">
        <f aca="false">'Raw Data'!J697</f>
        <v>car</v>
      </c>
      <c r="K697" s="21" t="n">
        <f aca="false">H697/I697</f>
        <v>206</v>
      </c>
      <c r="L697" s="21" t="n">
        <f aca="false">100-MIN(K697/Assumptions!$B$14,1)*100</f>
        <v>48.5</v>
      </c>
      <c r="M697" s="21" t="n">
        <f aca="false">VLOOKUP(F697,Assumptions!$A$19:$B$23,2,0)</f>
        <v>75</v>
      </c>
      <c r="N697" s="21" t="n">
        <f aca="false">VLOOKUP(G697,Assumptions!$A$27:$B$30,2,0)</f>
        <v>50</v>
      </c>
      <c r="O697" s="21" t="n">
        <f aca="false">VLOOKUP(D697,Assumptions!$A$34:$B$37,2,0)</f>
        <v>66</v>
      </c>
      <c r="P697" s="21" t="n">
        <f aca="false">VLOOKUP(E697,Assumptions!$A$41:$B$43,2,0)</f>
        <v>30</v>
      </c>
      <c r="Q697" s="22" t="n">
        <f aca="false">L697*Assumptions!$B$7+M697*Assumptions!$B$8+N697*Assumptions!$B$9+O697*Assumptions!$B$10+P697*Assumptions!$B$11</f>
        <v>56.2</v>
      </c>
      <c r="R697" s="11" t="str">
        <f aca="false">IF(Q697&lt;=33,"High Risk",IF(Q697&lt;=66,"Medium Risk","Low Risk"))</f>
        <v>Medium Risk</v>
      </c>
    </row>
    <row r="698" customFormat="false" ht="15" hidden="false" customHeight="true" outlineLevel="0" collapsed="false">
      <c r="A698" s="20" t="n">
        <f aca="false">'Raw Data'!A698</f>
        <v>697</v>
      </c>
      <c r="B698" s="20" t="n">
        <f aca="false">'Raw Data'!B698</f>
        <v>29</v>
      </c>
      <c r="C698" s="20" t="str">
        <f aca="false">'Raw Data'!C698</f>
        <v>male</v>
      </c>
      <c r="D698" s="20" t="n">
        <f aca="false">'Raw Data'!D698</f>
        <v>2</v>
      </c>
      <c r="E698" s="20" t="str">
        <f aca="false">'Raw Data'!E698</f>
        <v>own</v>
      </c>
      <c r="F698" s="20" t="str">
        <f aca="false">'Raw Data'!F698</f>
        <v>little</v>
      </c>
      <c r="G698" s="20" t="str">
        <f aca="false">'Raw Data'!G698</f>
        <v>moderate</v>
      </c>
      <c r="H698" s="20" t="n">
        <f aca="false">'Raw Data'!H698</f>
        <v>1103</v>
      </c>
      <c r="I698" s="20" t="n">
        <f aca="false">'Raw Data'!I698</f>
        <v>12</v>
      </c>
      <c r="J698" s="20" t="str">
        <f aca="false">'Raw Data'!J698</f>
        <v>radio/TV</v>
      </c>
      <c r="K698" s="21" t="n">
        <f aca="false">H698/I698</f>
        <v>91.9166666666667</v>
      </c>
      <c r="L698" s="21" t="n">
        <f aca="false">100-MIN(K698/Assumptions!$B$14,1)*100</f>
        <v>77.0208333333333</v>
      </c>
      <c r="M698" s="21" t="n">
        <f aca="false">VLOOKUP(F698,Assumptions!$A$19:$B$23,2,0)</f>
        <v>25</v>
      </c>
      <c r="N698" s="21" t="n">
        <f aca="false">VLOOKUP(G698,Assumptions!$A$27:$B$30,2,0)</f>
        <v>60</v>
      </c>
      <c r="O698" s="21" t="n">
        <f aca="false">VLOOKUP(D698,Assumptions!$A$34:$B$37,2,0)</f>
        <v>66</v>
      </c>
      <c r="P698" s="21" t="n">
        <f aca="false">VLOOKUP(E698,Assumptions!$A$41:$B$43,2,0)</f>
        <v>100</v>
      </c>
      <c r="Q698" s="22" t="n">
        <f aca="false">L698*Assumptions!$B$7+M698*Assumptions!$B$8+N698*Assumptions!$B$9+O698*Assumptions!$B$10+P698*Assumptions!$B$11</f>
        <v>61.25625</v>
      </c>
      <c r="R698" s="11" t="str">
        <f aca="false">IF(Q698&lt;=33,"High Risk",IF(Q698&lt;=66,"Medium Risk","Low Risk"))</f>
        <v>Medium Risk</v>
      </c>
    </row>
    <row r="699" customFormat="false" ht="15" hidden="false" customHeight="true" outlineLevel="0" collapsed="false">
      <c r="A699" s="20" t="n">
        <f aca="false">'Raw Data'!A699</f>
        <v>698</v>
      </c>
      <c r="B699" s="20" t="n">
        <f aca="false">'Raw Data'!B699</f>
        <v>38</v>
      </c>
      <c r="C699" s="20" t="str">
        <f aca="false">'Raw Data'!C699</f>
        <v>female</v>
      </c>
      <c r="D699" s="20" t="n">
        <f aca="false">'Raw Data'!D699</f>
        <v>0</v>
      </c>
      <c r="E699" s="20" t="str">
        <f aca="false">'Raw Data'!E699</f>
        <v>own</v>
      </c>
      <c r="F699" s="20" t="str">
        <f aca="false">'Raw Data'!F699</f>
        <v>little</v>
      </c>
      <c r="G699" s="20" t="str">
        <f aca="false">'Raw Data'!G699</f>
        <v>none</v>
      </c>
      <c r="H699" s="20" t="n">
        <f aca="false">'Raw Data'!H699</f>
        <v>926</v>
      </c>
      <c r="I699" s="20" t="n">
        <f aca="false">'Raw Data'!I699</f>
        <v>12</v>
      </c>
      <c r="J699" s="20" t="str">
        <f aca="false">'Raw Data'!J699</f>
        <v>car</v>
      </c>
      <c r="K699" s="21" t="n">
        <f aca="false">H699/I699</f>
        <v>77.1666666666667</v>
      </c>
      <c r="L699" s="21" t="n">
        <f aca="false">100-MIN(K699/Assumptions!$B$14,1)*100</f>
        <v>80.7083333333333</v>
      </c>
      <c r="M699" s="21" t="n">
        <f aca="false">VLOOKUP(F699,Assumptions!$A$19:$B$23,2,0)</f>
        <v>25</v>
      </c>
      <c r="N699" s="21" t="n">
        <f aca="false">VLOOKUP(G699,Assumptions!$A$27:$B$30,2,0)</f>
        <v>50</v>
      </c>
      <c r="O699" s="21" t="n">
        <f aca="false">VLOOKUP(D699,Assumptions!$A$34:$B$37,2,0)</f>
        <v>0</v>
      </c>
      <c r="P699" s="21" t="n">
        <f aca="false">VLOOKUP(E699,Assumptions!$A$41:$B$43,2,0)</f>
        <v>100</v>
      </c>
      <c r="Q699" s="22" t="n">
        <f aca="false">L699*Assumptions!$B$7+M699*Assumptions!$B$8+N699*Assumptions!$B$9+O699*Assumptions!$B$10+P699*Assumptions!$B$11</f>
        <v>50.4625</v>
      </c>
      <c r="R699" s="11" t="str">
        <f aca="false">IF(Q699&lt;=33,"High Risk",IF(Q699&lt;=66,"Medium Risk","Low Risk"))</f>
        <v>Medium Risk</v>
      </c>
    </row>
    <row r="700" customFormat="false" ht="15" hidden="false" customHeight="true" outlineLevel="0" collapsed="false">
      <c r="A700" s="20" t="n">
        <f aca="false">'Raw Data'!A700</f>
        <v>699</v>
      </c>
      <c r="B700" s="20" t="n">
        <f aca="false">'Raw Data'!B700</f>
        <v>24</v>
      </c>
      <c r="C700" s="20" t="str">
        <f aca="false">'Raw Data'!C700</f>
        <v>male</v>
      </c>
      <c r="D700" s="20" t="n">
        <f aca="false">'Raw Data'!D700</f>
        <v>2</v>
      </c>
      <c r="E700" s="20" t="str">
        <f aca="false">'Raw Data'!E700</f>
        <v>own</v>
      </c>
      <c r="F700" s="20" t="str">
        <f aca="false">'Raw Data'!F700</f>
        <v>little</v>
      </c>
      <c r="G700" s="20" t="str">
        <f aca="false">'Raw Data'!G700</f>
        <v>none</v>
      </c>
      <c r="H700" s="20" t="n">
        <f aca="false">'Raw Data'!H700</f>
        <v>1800</v>
      </c>
      <c r="I700" s="20" t="n">
        <f aca="false">'Raw Data'!I700</f>
        <v>18</v>
      </c>
      <c r="J700" s="20" t="str">
        <f aca="false">'Raw Data'!J700</f>
        <v>radio/TV</v>
      </c>
      <c r="K700" s="21" t="n">
        <f aca="false">H700/I700</f>
        <v>100</v>
      </c>
      <c r="L700" s="21" t="n">
        <f aca="false">100-MIN(K700/Assumptions!$B$14,1)*100</f>
        <v>75</v>
      </c>
      <c r="M700" s="21" t="n">
        <f aca="false">VLOOKUP(F700,Assumptions!$A$19:$B$23,2,0)</f>
        <v>25</v>
      </c>
      <c r="N700" s="21" t="n">
        <f aca="false">VLOOKUP(G700,Assumptions!$A$27:$B$30,2,0)</f>
        <v>50</v>
      </c>
      <c r="O700" s="21" t="n">
        <f aca="false">VLOOKUP(D700,Assumptions!$A$34:$B$37,2,0)</f>
        <v>66</v>
      </c>
      <c r="P700" s="21" t="n">
        <f aca="false">VLOOKUP(E700,Assumptions!$A$41:$B$43,2,0)</f>
        <v>100</v>
      </c>
      <c r="Q700" s="22" t="n">
        <f aca="false">L700*Assumptions!$B$7+M700*Assumptions!$B$8+N700*Assumptions!$B$9+O700*Assumptions!$B$10+P700*Assumptions!$B$11</f>
        <v>58.65</v>
      </c>
      <c r="R700" s="11" t="str">
        <f aca="false">IF(Q700&lt;=33,"High Risk",IF(Q700&lt;=66,"Medium Risk","Low Risk"))</f>
        <v>Medium Risk</v>
      </c>
    </row>
    <row r="701" customFormat="false" ht="15" hidden="false" customHeight="true" outlineLevel="0" collapsed="false">
      <c r="A701" s="20" t="n">
        <f aca="false">'Raw Data'!A701</f>
        <v>700</v>
      </c>
      <c r="B701" s="20" t="n">
        <f aca="false">'Raw Data'!B701</f>
        <v>40</v>
      </c>
      <c r="C701" s="20" t="str">
        <f aca="false">'Raw Data'!C701</f>
        <v>male</v>
      </c>
      <c r="D701" s="20" t="n">
        <f aca="false">'Raw Data'!D701</f>
        <v>3</v>
      </c>
      <c r="E701" s="20" t="str">
        <f aca="false">'Raw Data'!E701</f>
        <v>rent</v>
      </c>
      <c r="F701" s="20" t="str">
        <f aca="false">'Raw Data'!F701</f>
        <v>little</v>
      </c>
      <c r="G701" s="20" t="str">
        <f aca="false">'Raw Data'!G701</f>
        <v>rich</v>
      </c>
      <c r="H701" s="20" t="n">
        <f aca="false">'Raw Data'!H701</f>
        <v>1905</v>
      </c>
      <c r="I701" s="20" t="n">
        <f aca="false">'Raw Data'!I701</f>
        <v>15</v>
      </c>
      <c r="J701" s="20" t="str">
        <f aca="false">'Raw Data'!J701</f>
        <v>education</v>
      </c>
      <c r="K701" s="21" t="n">
        <f aca="false">H701/I701</f>
        <v>127</v>
      </c>
      <c r="L701" s="21" t="n">
        <f aca="false">100-MIN(K701/Assumptions!$B$14,1)*100</f>
        <v>68.25</v>
      </c>
      <c r="M701" s="21" t="n">
        <f aca="false">VLOOKUP(F701,Assumptions!$A$19:$B$23,2,0)</f>
        <v>25</v>
      </c>
      <c r="N701" s="21" t="n">
        <f aca="false">VLOOKUP(G701,Assumptions!$A$27:$B$30,2,0)</f>
        <v>100</v>
      </c>
      <c r="O701" s="21" t="n">
        <f aca="false">VLOOKUP(D701,Assumptions!$A$34:$B$37,2,0)</f>
        <v>100</v>
      </c>
      <c r="P701" s="21" t="n">
        <f aca="false">VLOOKUP(E701,Assumptions!$A$41:$B$43,2,0)</f>
        <v>30</v>
      </c>
      <c r="Q701" s="22" t="n">
        <f aca="false">L701*Assumptions!$B$7+M701*Assumptions!$B$8+N701*Assumptions!$B$9+O701*Assumptions!$B$10+P701*Assumptions!$B$11</f>
        <v>64.725</v>
      </c>
      <c r="R701" s="11" t="str">
        <f aca="false">IF(Q701&lt;=33,"High Risk",IF(Q701&lt;=66,"Medium Risk","Low Risk"))</f>
        <v>Medium Risk</v>
      </c>
    </row>
    <row r="702" customFormat="false" ht="15" hidden="false" customHeight="true" outlineLevel="0" collapsed="false">
      <c r="A702" s="20" t="n">
        <f aca="false">'Raw Data'!A702</f>
        <v>701</v>
      </c>
      <c r="B702" s="20" t="n">
        <f aca="false">'Raw Data'!B702</f>
        <v>29</v>
      </c>
      <c r="C702" s="20" t="str">
        <f aca="false">'Raw Data'!C702</f>
        <v>female</v>
      </c>
      <c r="D702" s="20" t="n">
        <f aca="false">'Raw Data'!D702</f>
        <v>1</v>
      </c>
      <c r="E702" s="20" t="str">
        <f aca="false">'Raw Data'!E702</f>
        <v>rent</v>
      </c>
      <c r="F702" s="20" t="str">
        <f aca="false">'Raw Data'!F702</f>
        <v>quite rich</v>
      </c>
      <c r="G702" s="20" t="str">
        <f aca="false">'Raw Data'!G702</f>
        <v>none</v>
      </c>
      <c r="H702" s="20" t="n">
        <f aca="false">'Raw Data'!H702</f>
        <v>1123</v>
      </c>
      <c r="I702" s="20" t="n">
        <f aca="false">'Raw Data'!I702</f>
        <v>12</v>
      </c>
      <c r="J702" s="20" t="str">
        <f aca="false">'Raw Data'!J702</f>
        <v>furniture/equipment</v>
      </c>
      <c r="K702" s="21" t="n">
        <f aca="false">H702/I702</f>
        <v>93.5833333333333</v>
      </c>
      <c r="L702" s="21" t="n">
        <f aca="false">100-MIN(K702/Assumptions!$B$14,1)*100</f>
        <v>76.6041666666667</v>
      </c>
      <c r="M702" s="21" t="n">
        <f aca="false">VLOOKUP(F702,Assumptions!$A$19:$B$23,2,0)</f>
        <v>75</v>
      </c>
      <c r="N702" s="21" t="n">
        <f aca="false">VLOOKUP(G702,Assumptions!$A$27:$B$30,2,0)</f>
        <v>50</v>
      </c>
      <c r="O702" s="21" t="n">
        <f aca="false">VLOOKUP(D702,Assumptions!$A$34:$B$37,2,0)</f>
        <v>33</v>
      </c>
      <c r="P702" s="21" t="n">
        <f aca="false">VLOOKUP(E702,Assumptions!$A$41:$B$43,2,0)</f>
        <v>30</v>
      </c>
      <c r="Q702" s="22" t="n">
        <f aca="false">L702*Assumptions!$B$7+M702*Assumptions!$B$8+N702*Assumptions!$B$9+O702*Assumptions!$B$10+P702*Assumptions!$B$11</f>
        <v>59.68125</v>
      </c>
      <c r="R702" s="11" t="str">
        <f aca="false">IF(Q702&lt;=33,"High Risk",IF(Q702&lt;=66,"Medium Risk","Low Risk"))</f>
        <v>Medium Risk</v>
      </c>
    </row>
    <row r="703" customFormat="false" ht="15" hidden="false" customHeight="true" outlineLevel="0" collapsed="false">
      <c r="A703" s="20" t="n">
        <f aca="false">'Raw Data'!A703</f>
        <v>702</v>
      </c>
      <c r="B703" s="20" t="n">
        <f aca="false">'Raw Data'!B703</f>
        <v>46</v>
      </c>
      <c r="C703" s="20" t="str">
        <f aca="false">'Raw Data'!C703</f>
        <v>male</v>
      </c>
      <c r="D703" s="20" t="n">
        <f aca="false">'Raw Data'!D703</f>
        <v>2</v>
      </c>
      <c r="E703" s="20" t="str">
        <f aca="false">'Raw Data'!E703</f>
        <v>free</v>
      </c>
      <c r="F703" s="20" t="str">
        <f aca="false">'Raw Data'!F703</f>
        <v>little</v>
      </c>
      <c r="G703" s="20" t="str">
        <f aca="false">'Raw Data'!G703</f>
        <v>little</v>
      </c>
      <c r="H703" s="20" t="n">
        <f aca="false">'Raw Data'!H703</f>
        <v>6331</v>
      </c>
      <c r="I703" s="20" t="n">
        <f aca="false">'Raw Data'!I703</f>
        <v>48</v>
      </c>
      <c r="J703" s="20" t="str">
        <f aca="false">'Raw Data'!J703</f>
        <v>car</v>
      </c>
      <c r="K703" s="21" t="n">
        <f aca="false">H703/I703</f>
        <v>131.895833333333</v>
      </c>
      <c r="L703" s="21" t="n">
        <f aca="false">100-MIN(K703/Assumptions!$B$14,1)*100</f>
        <v>67.0260416666667</v>
      </c>
      <c r="M703" s="21" t="n">
        <f aca="false">VLOOKUP(F703,Assumptions!$A$19:$B$23,2,0)</f>
        <v>25</v>
      </c>
      <c r="N703" s="21" t="n">
        <f aca="false">VLOOKUP(G703,Assumptions!$A$27:$B$30,2,0)</f>
        <v>25</v>
      </c>
      <c r="O703" s="21" t="n">
        <f aca="false">VLOOKUP(D703,Assumptions!$A$34:$B$37,2,0)</f>
        <v>66</v>
      </c>
      <c r="P703" s="21" t="n">
        <f aca="false">VLOOKUP(E703,Assumptions!$A$41:$B$43,2,0)</f>
        <v>60</v>
      </c>
      <c r="Q703" s="22" t="n">
        <f aca="false">L703*Assumptions!$B$7+M703*Assumptions!$B$8+N703*Assumptions!$B$9+O703*Assumptions!$B$10+P703*Assumptions!$B$11</f>
        <v>47.2578125</v>
      </c>
      <c r="R703" s="11" t="str">
        <f aca="false">IF(Q703&lt;=33,"High Risk",IF(Q703&lt;=66,"Medium Risk","Low Risk"))</f>
        <v>Medium Risk</v>
      </c>
    </row>
    <row r="704" customFormat="false" ht="15" hidden="false" customHeight="true" outlineLevel="0" collapsed="false">
      <c r="A704" s="20" t="n">
        <f aca="false">'Raw Data'!A704</f>
        <v>703</v>
      </c>
      <c r="B704" s="20" t="n">
        <f aca="false">'Raw Data'!B704</f>
        <v>47</v>
      </c>
      <c r="C704" s="20" t="str">
        <f aca="false">'Raw Data'!C704</f>
        <v>female</v>
      </c>
      <c r="D704" s="20" t="n">
        <f aca="false">'Raw Data'!D704</f>
        <v>2</v>
      </c>
      <c r="E704" s="20" t="str">
        <f aca="false">'Raw Data'!E704</f>
        <v>free</v>
      </c>
      <c r="F704" s="20" t="str">
        <f aca="false">'Raw Data'!F704</f>
        <v>moderate</v>
      </c>
      <c r="G704" s="20" t="str">
        <f aca="false">'Raw Data'!G704</f>
        <v>rich</v>
      </c>
      <c r="H704" s="20" t="n">
        <f aca="false">'Raw Data'!H704</f>
        <v>1377</v>
      </c>
      <c r="I704" s="20" t="n">
        <f aca="false">'Raw Data'!I704</f>
        <v>24</v>
      </c>
      <c r="J704" s="20" t="str">
        <f aca="false">'Raw Data'!J704</f>
        <v>radio/TV</v>
      </c>
      <c r="K704" s="21" t="n">
        <f aca="false">H704/I704</f>
        <v>57.375</v>
      </c>
      <c r="L704" s="21" t="n">
        <f aca="false">100-MIN(K704/Assumptions!$B$14,1)*100</f>
        <v>85.65625</v>
      </c>
      <c r="M704" s="21" t="n">
        <f aca="false">VLOOKUP(F704,Assumptions!$A$19:$B$23,2,0)</f>
        <v>50</v>
      </c>
      <c r="N704" s="21" t="n">
        <f aca="false">VLOOKUP(G704,Assumptions!$A$27:$B$30,2,0)</f>
        <v>100</v>
      </c>
      <c r="O704" s="21" t="n">
        <f aca="false">VLOOKUP(D704,Assumptions!$A$34:$B$37,2,0)</f>
        <v>66</v>
      </c>
      <c r="P704" s="21" t="n">
        <f aca="false">VLOOKUP(E704,Assumptions!$A$41:$B$43,2,0)</f>
        <v>60</v>
      </c>
      <c r="Q704" s="22" t="n">
        <f aca="false">L704*Assumptions!$B$7+M704*Assumptions!$B$8+N704*Assumptions!$B$9+O704*Assumptions!$B$10+P704*Assumptions!$B$11</f>
        <v>74.096875</v>
      </c>
      <c r="R704" s="11" t="str">
        <f aca="false">IF(Q704&lt;=33,"High Risk",IF(Q704&lt;=66,"Medium Risk","Low Risk"))</f>
        <v>Low Risk</v>
      </c>
    </row>
    <row r="705" customFormat="false" ht="15" hidden="false" customHeight="true" outlineLevel="0" collapsed="false">
      <c r="A705" s="20" t="n">
        <f aca="false">'Raw Data'!A705</f>
        <v>704</v>
      </c>
      <c r="B705" s="20" t="n">
        <f aca="false">'Raw Data'!B705</f>
        <v>41</v>
      </c>
      <c r="C705" s="20" t="str">
        <f aca="false">'Raw Data'!C705</f>
        <v>male</v>
      </c>
      <c r="D705" s="20" t="n">
        <f aca="false">'Raw Data'!D705</f>
        <v>2</v>
      </c>
      <c r="E705" s="20" t="str">
        <f aca="false">'Raw Data'!E705</f>
        <v>own</v>
      </c>
      <c r="F705" s="20" t="str">
        <f aca="false">'Raw Data'!F705</f>
        <v>moderate</v>
      </c>
      <c r="G705" s="20" t="str">
        <f aca="false">'Raw Data'!G705</f>
        <v>moderate</v>
      </c>
      <c r="H705" s="20" t="n">
        <f aca="false">'Raw Data'!H705</f>
        <v>2503</v>
      </c>
      <c r="I705" s="20" t="n">
        <f aca="false">'Raw Data'!I705</f>
        <v>30</v>
      </c>
      <c r="J705" s="20" t="str">
        <f aca="false">'Raw Data'!J705</f>
        <v>business</v>
      </c>
      <c r="K705" s="21" t="n">
        <f aca="false">H705/I705</f>
        <v>83.4333333333333</v>
      </c>
      <c r="L705" s="21" t="n">
        <f aca="false">100-MIN(K705/Assumptions!$B$14,1)*100</f>
        <v>79.1416666666667</v>
      </c>
      <c r="M705" s="21" t="n">
        <f aca="false">VLOOKUP(F705,Assumptions!$A$19:$B$23,2,0)</f>
        <v>50</v>
      </c>
      <c r="N705" s="21" t="n">
        <f aca="false">VLOOKUP(G705,Assumptions!$A$27:$B$30,2,0)</f>
        <v>60</v>
      </c>
      <c r="O705" s="21" t="n">
        <f aca="false">VLOOKUP(D705,Assumptions!$A$34:$B$37,2,0)</f>
        <v>66</v>
      </c>
      <c r="P705" s="21" t="n">
        <f aca="false">VLOOKUP(E705,Assumptions!$A$41:$B$43,2,0)</f>
        <v>100</v>
      </c>
      <c r="Q705" s="22" t="n">
        <f aca="false">L705*Assumptions!$B$7+M705*Assumptions!$B$8+N705*Assumptions!$B$9+O705*Assumptions!$B$10+P705*Assumptions!$B$11</f>
        <v>68.1425</v>
      </c>
      <c r="R705" s="11" t="str">
        <f aca="false">IF(Q705&lt;=33,"High Risk",IF(Q705&lt;=66,"Medium Risk","Low Risk"))</f>
        <v>Low Risk</v>
      </c>
    </row>
    <row r="706" customFormat="false" ht="15" hidden="false" customHeight="true" outlineLevel="0" collapsed="false">
      <c r="A706" s="20" t="n">
        <f aca="false">'Raw Data'!A706</f>
        <v>705</v>
      </c>
      <c r="B706" s="20" t="n">
        <f aca="false">'Raw Data'!B706</f>
        <v>32</v>
      </c>
      <c r="C706" s="20" t="str">
        <f aca="false">'Raw Data'!C706</f>
        <v>female</v>
      </c>
      <c r="D706" s="20" t="n">
        <f aca="false">'Raw Data'!D706</f>
        <v>2</v>
      </c>
      <c r="E706" s="20" t="str">
        <f aca="false">'Raw Data'!E706</f>
        <v>own</v>
      </c>
      <c r="F706" s="20" t="str">
        <f aca="false">'Raw Data'!F706</f>
        <v>little</v>
      </c>
      <c r="G706" s="20" t="str">
        <f aca="false">'Raw Data'!G706</f>
        <v>moderate</v>
      </c>
      <c r="H706" s="20" t="n">
        <f aca="false">'Raw Data'!H706</f>
        <v>2528</v>
      </c>
      <c r="I706" s="20" t="n">
        <f aca="false">'Raw Data'!I706</f>
        <v>27</v>
      </c>
      <c r="J706" s="20" t="str">
        <f aca="false">'Raw Data'!J706</f>
        <v>business</v>
      </c>
      <c r="K706" s="21" t="n">
        <f aca="false">H706/I706</f>
        <v>93.6296296296296</v>
      </c>
      <c r="L706" s="21" t="n">
        <f aca="false">100-MIN(K706/Assumptions!$B$14,1)*100</f>
        <v>76.5925925925926</v>
      </c>
      <c r="M706" s="21" t="n">
        <f aca="false">VLOOKUP(F706,Assumptions!$A$19:$B$23,2,0)</f>
        <v>25</v>
      </c>
      <c r="N706" s="21" t="n">
        <f aca="false">VLOOKUP(G706,Assumptions!$A$27:$B$30,2,0)</f>
        <v>60</v>
      </c>
      <c r="O706" s="21" t="n">
        <f aca="false">VLOOKUP(D706,Assumptions!$A$34:$B$37,2,0)</f>
        <v>66</v>
      </c>
      <c r="P706" s="21" t="n">
        <f aca="false">VLOOKUP(E706,Assumptions!$A$41:$B$43,2,0)</f>
        <v>100</v>
      </c>
      <c r="Q706" s="22" t="n">
        <f aca="false">L706*Assumptions!$B$7+M706*Assumptions!$B$8+N706*Assumptions!$B$9+O706*Assumptions!$B$10+P706*Assumptions!$B$11</f>
        <v>61.1277777777778</v>
      </c>
      <c r="R706" s="11" t="str">
        <f aca="false">IF(Q706&lt;=33,"High Risk",IF(Q706&lt;=66,"Medium Risk","Low Risk"))</f>
        <v>Medium Risk</v>
      </c>
    </row>
    <row r="707" customFormat="false" ht="15" hidden="false" customHeight="true" outlineLevel="0" collapsed="false">
      <c r="A707" s="20" t="n">
        <f aca="false">'Raw Data'!A707</f>
        <v>706</v>
      </c>
      <c r="B707" s="20" t="n">
        <f aca="false">'Raw Data'!B707</f>
        <v>35</v>
      </c>
      <c r="C707" s="20" t="str">
        <f aca="false">'Raw Data'!C707</f>
        <v>female</v>
      </c>
      <c r="D707" s="20" t="n">
        <f aca="false">'Raw Data'!D707</f>
        <v>2</v>
      </c>
      <c r="E707" s="20" t="str">
        <f aca="false">'Raw Data'!E707</f>
        <v>free</v>
      </c>
      <c r="F707" s="20" t="str">
        <f aca="false">'Raw Data'!F707</f>
        <v>quite rich</v>
      </c>
      <c r="G707" s="20" t="str">
        <f aca="false">'Raw Data'!G707</f>
        <v>none</v>
      </c>
      <c r="H707" s="20" t="n">
        <f aca="false">'Raw Data'!H707</f>
        <v>5324</v>
      </c>
      <c r="I707" s="20" t="n">
        <f aca="false">'Raw Data'!I707</f>
        <v>15</v>
      </c>
      <c r="J707" s="20" t="str">
        <f aca="false">'Raw Data'!J707</f>
        <v>car</v>
      </c>
      <c r="K707" s="21" t="n">
        <f aca="false">H707/I707</f>
        <v>354.933333333333</v>
      </c>
      <c r="L707" s="21" t="n">
        <f aca="false">100-MIN(K707/Assumptions!$B$14,1)*100</f>
        <v>11.2666666666667</v>
      </c>
      <c r="M707" s="21" t="n">
        <f aca="false">VLOOKUP(F707,Assumptions!$A$19:$B$23,2,0)</f>
        <v>75</v>
      </c>
      <c r="N707" s="21" t="n">
        <f aca="false">VLOOKUP(G707,Assumptions!$A$27:$B$30,2,0)</f>
        <v>50</v>
      </c>
      <c r="O707" s="21" t="n">
        <f aca="false">VLOOKUP(D707,Assumptions!$A$34:$B$37,2,0)</f>
        <v>66</v>
      </c>
      <c r="P707" s="21" t="n">
        <f aca="false">VLOOKUP(E707,Assumptions!$A$41:$B$43,2,0)</f>
        <v>60</v>
      </c>
      <c r="Q707" s="22" t="n">
        <f aca="false">L707*Assumptions!$B$7+M707*Assumptions!$B$8+N707*Assumptions!$B$9+O707*Assumptions!$B$10+P707*Assumptions!$B$11</f>
        <v>48.03</v>
      </c>
      <c r="R707" s="11" t="str">
        <f aca="false">IF(Q707&lt;=33,"High Risk",IF(Q707&lt;=66,"Medium Risk","Low Risk"))</f>
        <v>Medium Risk</v>
      </c>
    </row>
    <row r="708" customFormat="false" ht="15" hidden="false" customHeight="true" outlineLevel="0" collapsed="false">
      <c r="A708" s="20" t="n">
        <f aca="false">'Raw Data'!A708</f>
        <v>707</v>
      </c>
      <c r="B708" s="20" t="n">
        <f aca="false">'Raw Data'!B708</f>
        <v>24</v>
      </c>
      <c r="C708" s="20" t="str">
        <f aca="false">'Raw Data'!C708</f>
        <v>male</v>
      </c>
      <c r="D708" s="20" t="n">
        <f aca="false">'Raw Data'!D708</f>
        <v>2</v>
      </c>
      <c r="E708" s="20" t="str">
        <f aca="false">'Raw Data'!E708</f>
        <v>own</v>
      </c>
      <c r="F708" s="20" t="str">
        <f aca="false">'Raw Data'!F708</f>
        <v>moderate</v>
      </c>
      <c r="G708" s="20" t="str">
        <f aca="false">'Raw Data'!G708</f>
        <v>moderate</v>
      </c>
      <c r="H708" s="20" t="n">
        <f aca="false">'Raw Data'!H708</f>
        <v>6560</v>
      </c>
      <c r="I708" s="20" t="n">
        <f aca="false">'Raw Data'!I708</f>
        <v>48</v>
      </c>
      <c r="J708" s="20" t="str">
        <f aca="false">'Raw Data'!J708</f>
        <v>car</v>
      </c>
      <c r="K708" s="21" t="n">
        <f aca="false">H708/I708</f>
        <v>136.666666666667</v>
      </c>
      <c r="L708" s="21" t="n">
        <f aca="false">100-MIN(K708/Assumptions!$B$14,1)*100</f>
        <v>65.8333333333333</v>
      </c>
      <c r="M708" s="21" t="n">
        <f aca="false">VLOOKUP(F708,Assumptions!$A$19:$B$23,2,0)</f>
        <v>50</v>
      </c>
      <c r="N708" s="21" t="n">
        <f aca="false">VLOOKUP(G708,Assumptions!$A$27:$B$30,2,0)</f>
        <v>60</v>
      </c>
      <c r="O708" s="21" t="n">
        <f aca="false">VLOOKUP(D708,Assumptions!$A$34:$B$37,2,0)</f>
        <v>66</v>
      </c>
      <c r="P708" s="21" t="n">
        <f aca="false">VLOOKUP(E708,Assumptions!$A$41:$B$43,2,0)</f>
        <v>100</v>
      </c>
      <c r="Q708" s="22" t="n">
        <f aca="false">L708*Assumptions!$B$7+M708*Assumptions!$B$8+N708*Assumptions!$B$9+O708*Assumptions!$B$10+P708*Assumptions!$B$11</f>
        <v>64.15</v>
      </c>
      <c r="R708" s="11" t="str">
        <f aca="false">IF(Q708&lt;=33,"High Risk",IF(Q708&lt;=66,"Medium Risk","Low Risk"))</f>
        <v>Medium Risk</v>
      </c>
    </row>
    <row r="709" customFormat="false" ht="15" hidden="false" customHeight="true" outlineLevel="0" collapsed="false">
      <c r="A709" s="20" t="n">
        <f aca="false">'Raw Data'!A709</f>
        <v>708</v>
      </c>
      <c r="B709" s="20" t="n">
        <f aca="false">'Raw Data'!B709</f>
        <v>25</v>
      </c>
      <c r="C709" s="20" t="str">
        <f aca="false">'Raw Data'!C709</f>
        <v>female</v>
      </c>
      <c r="D709" s="20" t="n">
        <f aca="false">'Raw Data'!D709</f>
        <v>2</v>
      </c>
      <c r="E709" s="20" t="str">
        <f aca="false">'Raw Data'!E709</f>
        <v>rent</v>
      </c>
      <c r="F709" s="20" t="str">
        <f aca="false">'Raw Data'!F709</f>
        <v>little</v>
      </c>
      <c r="G709" s="20" t="str">
        <f aca="false">'Raw Data'!G709</f>
        <v>moderate</v>
      </c>
      <c r="H709" s="20" t="n">
        <f aca="false">'Raw Data'!H709</f>
        <v>2969</v>
      </c>
      <c r="I709" s="20" t="n">
        <f aca="false">'Raw Data'!I709</f>
        <v>12</v>
      </c>
      <c r="J709" s="20" t="str">
        <f aca="false">'Raw Data'!J709</f>
        <v>furniture/equipment</v>
      </c>
      <c r="K709" s="21" t="n">
        <f aca="false">H709/I709</f>
        <v>247.416666666667</v>
      </c>
      <c r="L709" s="21" t="n">
        <f aca="false">100-MIN(K709/Assumptions!$B$14,1)*100</f>
        <v>38.1458333333333</v>
      </c>
      <c r="M709" s="21" t="n">
        <f aca="false">VLOOKUP(F709,Assumptions!$A$19:$B$23,2,0)</f>
        <v>25</v>
      </c>
      <c r="N709" s="21" t="n">
        <f aca="false">VLOOKUP(G709,Assumptions!$A$27:$B$30,2,0)</f>
        <v>60</v>
      </c>
      <c r="O709" s="21" t="n">
        <f aca="false">VLOOKUP(D709,Assumptions!$A$34:$B$37,2,0)</f>
        <v>66</v>
      </c>
      <c r="P709" s="21" t="n">
        <f aca="false">VLOOKUP(E709,Assumptions!$A$41:$B$43,2,0)</f>
        <v>30</v>
      </c>
      <c r="Q709" s="22" t="n">
        <f aca="false">L709*Assumptions!$B$7+M709*Assumptions!$B$8+N709*Assumptions!$B$9+O709*Assumptions!$B$10+P709*Assumptions!$B$11</f>
        <v>42.59375</v>
      </c>
      <c r="R709" s="11" t="str">
        <f aca="false">IF(Q709&lt;=33,"High Risk",IF(Q709&lt;=66,"Medium Risk","Low Risk"))</f>
        <v>Medium Risk</v>
      </c>
    </row>
    <row r="710" customFormat="false" ht="15" hidden="false" customHeight="true" outlineLevel="0" collapsed="false">
      <c r="A710" s="20" t="n">
        <f aca="false">'Raw Data'!A710</f>
        <v>709</v>
      </c>
      <c r="B710" s="20" t="n">
        <f aca="false">'Raw Data'!B710</f>
        <v>25</v>
      </c>
      <c r="C710" s="20" t="str">
        <f aca="false">'Raw Data'!C710</f>
        <v>female</v>
      </c>
      <c r="D710" s="20" t="n">
        <f aca="false">'Raw Data'!D710</f>
        <v>2</v>
      </c>
      <c r="E710" s="20" t="str">
        <f aca="false">'Raw Data'!E710</f>
        <v>own</v>
      </c>
      <c r="F710" s="20" t="str">
        <f aca="false">'Raw Data'!F710</f>
        <v>little</v>
      </c>
      <c r="G710" s="20" t="str">
        <f aca="false">'Raw Data'!G710</f>
        <v>moderate</v>
      </c>
      <c r="H710" s="20" t="n">
        <f aca="false">'Raw Data'!H710</f>
        <v>1206</v>
      </c>
      <c r="I710" s="20" t="n">
        <f aca="false">'Raw Data'!I710</f>
        <v>9</v>
      </c>
      <c r="J710" s="20" t="str">
        <f aca="false">'Raw Data'!J710</f>
        <v>radio/TV</v>
      </c>
      <c r="K710" s="21" t="n">
        <f aca="false">H710/I710</f>
        <v>134</v>
      </c>
      <c r="L710" s="21" t="n">
        <f aca="false">100-MIN(K710/Assumptions!$B$14,1)*100</f>
        <v>66.5</v>
      </c>
      <c r="M710" s="21" t="n">
        <f aca="false">VLOOKUP(F710,Assumptions!$A$19:$B$23,2,0)</f>
        <v>25</v>
      </c>
      <c r="N710" s="21" t="n">
        <f aca="false">VLOOKUP(G710,Assumptions!$A$27:$B$30,2,0)</f>
        <v>60</v>
      </c>
      <c r="O710" s="21" t="n">
        <f aca="false">VLOOKUP(D710,Assumptions!$A$34:$B$37,2,0)</f>
        <v>66</v>
      </c>
      <c r="P710" s="21" t="n">
        <f aca="false">VLOOKUP(E710,Assumptions!$A$41:$B$43,2,0)</f>
        <v>100</v>
      </c>
      <c r="Q710" s="22" t="n">
        <f aca="false">L710*Assumptions!$B$7+M710*Assumptions!$B$8+N710*Assumptions!$B$9+O710*Assumptions!$B$10+P710*Assumptions!$B$11</f>
        <v>58.1</v>
      </c>
      <c r="R710" s="11" t="str">
        <f aca="false">IF(Q710&lt;=33,"High Risk",IF(Q710&lt;=66,"Medium Risk","Low Risk"))</f>
        <v>Medium Risk</v>
      </c>
    </row>
    <row r="711" customFormat="false" ht="15" hidden="false" customHeight="true" outlineLevel="0" collapsed="false">
      <c r="A711" s="20" t="n">
        <f aca="false">'Raw Data'!A711</f>
        <v>710</v>
      </c>
      <c r="B711" s="20" t="n">
        <f aca="false">'Raw Data'!B711</f>
        <v>37</v>
      </c>
      <c r="C711" s="20" t="str">
        <f aca="false">'Raw Data'!C711</f>
        <v>male</v>
      </c>
      <c r="D711" s="20" t="n">
        <f aca="false">'Raw Data'!D711</f>
        <v>1</v>
      </c>
      <c r="E711" s="20" t="str">
        <f aca="false">'Raw Data'!E711</f>
        <v>own</v>
      </c>
      <c r="F711" s="20" t="str">
        <f aca="false">'Raw Data'!F711</f>
        <v>little</v>
      </c>
      <c r="G711" s="20" t="str">
        <f aca="false">'Raw Data'!G711</f>
        <v>moderate</v>
      </c>
      <c r="H711" s="20" t="n">
        <f aca="false">'Raw Data'!H711</f>
        <v>2118</v>
      </c>
      <c r="I711" s="20" t="n">
        <f aca="false">'Raw Data'!I711</f>
        <v>9</v>
      </c>
      <c r="J711" s="20" t="str">
        <f aca="false">'Raw Data'!J711</f>
        <v>radio/TV</v>
      </c>
      <c r="K711" s="21" t="n">
        <f aca="false">H711/I711</f>
        <v>235.333333333333</v>
      </c>
      <c r="L711" s="21" t="n">
        <f aca="false">100-MIN(K711/Assumptions!$B$14,1)*100</f>
        <v>41.1666666666667</v>
      </c>
      <c r="M711" s="21" t="n">
        <f aca="false">VLOOKUP(F711,Assumptions!$A$19:$B$23,2,0)</f>
        <v>25</v>
      </c>
      <c r="N711" s="21" t="n">
        <f aca="false">VLOOKUP(G711,Assumptions!$A$27:$B$30,2,0)</f>
        <v>60</v>
      </c>
      <c r="O711" s="21" t="n">
        <f aca="false">VLOOKUP(D711,Assumptions!$A$34:$B$37,2,0)</f>
        <v>33</v>
      </c>
      <c r="P711" s="21" t="n">
        <f aca="false">VLOOKUP(E711,Assumptions!$A$41:$B$43,2,0)</f>
        <v>100</v>
      </c>
      <c r="Q711" s="22" t="n">
        <f aca="false">L711*Assumptions!$B$7+M711*Assumptions!$B$8+N711*Assumptions!$B$9+O711*Assumptions!$B$10+P711*Assumptions!$B$11</f>
        <v>45.55</v>
      </c>
      <c r="R711" s="11" t="str">
        <f aca="false">IF(Q711&lt;=33,"High Risk",IF(Q711&lt;=66,"Medium Risk","Low Risk"))</f>
        <v>Medium Risk</v>
      </c>
    </row>
    <row r="712" customFormat="false" ht="15" hidden="false" customHeight="true" outlineLevel="0" collapsed="false">
      <c r="A712" s="20" t="n">
        <f aca="false">'Raw Data'!A712</f>
        <v>711</v>
      </c>
      <c r="B712" s="20" t="n">
        <f aca="false">'Raw Data'!B712</f>
        <v>32</v>
      </c>
      <c r="C712" s="20" t="str">
        <f aca="false">'Raw Data'!C712</f>
        <v>male</v>
      </c>
      <c r="D712" s="20" t="n">
        <f aca="false">'Raw Data'!D712</f>
        <v>3</v>
      </c>
      <c r="E712" s="20" t="str">
        <f aca="false">'Raw Data'!E712</f>
        <v>own</v>
      </c>
      <c r="F712" s="20" t="str">
        <f aca="false">'Raw Data'!F712</f>
        <v>quite rich</v>
      </c>
      <c r="G712" s="20" t="str">
        <f aca="false">'Raw Data'!G712</f>
        <v>none</v>
      </c>
      <c r="H712" s="20" t="n">
        <f aca="false">'Raw Data'!H712</f>
        <v>629</v>
      </c>
      <c r="I712" s="20" t="n">
        <f aca="false">'Raw Data'!I712</f>
        <v>18</v>
      </c>
      <c r="J712" s="20" t="str">
        <f aca="false">'Raw Data'!J712</f>
        <v>radio/TV</v>
      </c>
      <c r="K712" s="21" t="n">
        <f aca="false">H712/I712</f>
        <v>34.9444444444444</v>
      </c>
      <c r="L712" s="21" t="n">
        <f aca="false">100-MIN(K712/Assumptions!$B$14,1)*100</f>
        <v>91.2638888888889</v>
      </c>
      <c r="M712" s="21" t="n">
        <f aca="false">VLOOKUP(F712,Assumptions!$A$19:$B$23,2,0)</f>
        <v>75</v>
      </c>
      <c r="N712" s="21" t="n">
        <f aca="false">VLOOKUP(G712,Assumptions!$A$27:$B$30,2,0)</f>
        <v>50</v>
      </c>
      <c r="O712" s="21" t="n">
        <f aca="false">VLOOKUP(D712,Assumptions!$A$34:$B$37,2,0)</f>
        <v>100</v>
      </c>
      <c r="P712" s="21" t="n">
        <f aca="false">VLOOKUP(E712,Assumptions!$A$41:$B$43,2,0)</f>
        <v>100</v>
      </c>
      <c r="Q712" s="22" t="n">
        <f aca="false">L712*Assumptions!$B$7+M712*Assumptions!$B$8+N712*Assumptions!$B$9+O712*Assumptions!$B$10+P712*Assumptions!$B$11</f>
        <v>81.1291666666667</v>
      </c>
      <c r="R712" s="11" t="str">
        <f aca="false">IF(Q712&lt;=33,"High Risk",IF(Q712&lt;=66,"Medium Risk","Low Risk"))</f>
        <v>Low Risk</v>
      </c>
    </row>
    <row r="713" customFormat="false" ht="15" hidden="false" customHeight="true" outlineLevel="0" collapsed="false">
      <c r="A713" s="20" t="n">
        <f aca="false">'Raw Data'!A713</f>
        <v>712</v>
      </c>
      <c r="B713" s="20" t="n">
        <f aca="false">'Raw Data'!B713</f>
        <v>35</v>
      </c>
      <c r="C713" s="20" t="str">
        <f aca="false">'Raw Data'!C713</f>
        <v>female</v>
      </c>
      <c r="D713" s="20" t="n">
        <f aca="false">'Raw Data'!D713</f>
        <v>2</v>
      </c>
      <c r="E713" s="20" t="str">
        <f aca="false">'Raw Data'!E713</f>
        <v>free</v>
      </c>
      <c r="F713" s="20" t="str">
        <f aca="false">'Raw Data'!F713</f>
        <v>little</v>
      </c>
      <c r="G713" s="20" t="str">
        <f aca="false">'Raw Data'!G713</f>
        <v>little</v>
      </c>
      <c r="H713" s="20" t="n">
        <f aca="false">'Raw Data'!H713</f>
        <v>1198</v>
      </c>
      <c r="I713" s="20" t="n">
        <f aca="false">'Raw Data'!I713</f>
        <v>6</v>
      </c>
      <c r="J713" s="20" t="str">
        <f aca="false">'Raw Data'!J713</f>
        <v>education</v>
      </c>
      <c r="K713" s="21" t="n">
        <f aca="false">H713/I713</f>
        <v>199.666666666667</v>
      </c>
      <c r="L713" s="21" t="n">
        <f aca="false">100-MIN(K713/Assumptions!$B$14,1)*100</f>
        <v>50.0833333333333</v>
      </c>
      <c r="M713" s="21" t="n">
        <f aca="false">VLOOKUP(F713,Assumptions!$A$19:$B$23,2,0)</f>
        <v>25</v>
      </c>
      <c r="N713" s="21" t="n">
        <f aca="false">VLOOKUP(G713,Assumptions!$A$27:$B$30,2,0)</f>
        <v>25</v>
      </c>
      <c r="O713" s="21" t="n">
        <f aca="false">VLOOKUP(D713,Assumptions!$A$34:$B$37,2,0)</f>
        <v>66</v>
      </c>
      <c r="P713" s="21" t="n">
        <f aca="false">VLOOKUP(E713,Assumptions!$A$41:$B$43,2,0)</f>
        <v>60</v>
      </c>
      <c r="Q713" s="22" t="n">
        <f aca="false">L713*Assumptions!$B$7+M713*Assumptions!$B$8+N713*Assumptions!$B$9+O713*Assumptions!$B$10+P713*Assumptions!$B$11</f>
        <v>42.175</v>
      </c>
      <c r="R713" s="11" t="str">
        <f aca="false">IF(Q713&lt;=33,"High Risk",IF(Q713&lt;=66,"Medium Risk","Low Risk"))</f>
        <v>Medium Risk</v>
      </c>
    </row>
    <row r="714" customFormat="false" ht="15" hidden="false" customHeight="true" outlineLevel="0" collapsed="false">
      <c r="A714" s="20" t="n">
        <f aca="false">'Raw Data'!A714</f>
        <v>713</v>
      </c>
      <c r="B714" s="20" t="n">
        <f aca="false">'Raw Data'!B714</f>
        <v>46</v>
      </c>
      <c r="C714" s="20" t="str">
        <f aca="false">'Raw Data'!C714</f>
        <v>male</v>
      </c>
      <c r="D714" s="20" t="n">
        <f aca="false">'Raw Data'!D714</f>
        <v>3</v>
      </c>
      <c r="E714" s="20" t="str">
        <f aca="false">'Raw Data'!E714</f>
        <v>own</v>
      </c>
      <c r="F714" s="20" t="str">
        <f aca="false">'Raw Data'!F714</f>
        <v>none</v>
      </c>
      <c r="G714" s="20" t="str">
        <f aca="false">'Raw Data'!G714</f>
        <v>none</v>
      </c>
      <c r="H714" s="20" t="n">
        <f aca="false">'Raw Data'!H714</f>
        <v>2476</v>
      </c>
      <c r="I714" s="20" t="n">
        <f aca="false">'Raw Data'!I714</f>
        <v>21</v>
      </c>
      <c r="J714" s="20" t="str">
        <f aca="false">'Raw Data'!J714</f>
        <v>car</v>
      </c>
      <c r="K714" s="21" t="n">
        <f aca="false">H714/I714</f>
        <v>117.904761904762</v>
      </c>
      <c r="L714" s="21" t="n">
        <f aca="false">100-MIN(K714/Assumptions!$B$14,1)*100</f>
        <v>70.5238095238095</v>
      </c>
      <c r="M714" s="21" t="n">
        <f aca="false">VLOOKUP(F714,Assumptions!$A$19:$B$23,2,0)</f>
        <v>40</v>
      </c>
      <c r="N714" s="21" t="n">
        <f aca="false">VLOOKUP(G714,Assumptions!$A$27:$B$30,2,0)</f>
        <v>50</v>
      </c>
      <c r="O714" s="21" t="n">
        <f aca="false">VLOOKUP(D714,Assumptions!$A$34:$B$37,2,0)</f>
        <v>100</v>
      </c>
      <c r="P714" s="21" t="n">
        <f aca="false">VLOOKUP(E714,Assumptions!$A$41:$B$43,2,0)</f>
        <v>100</v>
      </c>
      <c r="Q714" s="22" t="n">
        <f aca="false">L714*Assumptions!$B$7+M714*Assumptions!$B$8+N714*Assumptions!$B$9+O714*Assumptions!$B$10+P714*Assumptions!$B$11</f>
        <v>66.1571428571429</v>
      </c>
      <c r="R714" s="11" t="str">
        <f aca="false">IF(Q714&lt;=33,"High Risk",IF(Q714&lt;=66,"Medium Risk","Low Risk"))</f>
        <v>Low Risk</v>
      </c>
    </row>
    <row r="715" customFormat="false" ht="15" hidden="false" customHeight="true" outlineLevel="0" collapsed="false">
      <c r="A715" s="20" t="n">
        <f aca="false">'Raw Data'!A715</f>
        <v>714</v>
      </c>
      <c r="B715" s="20" t="n">
        <f aca="false">'Raw Data'!B715</f>
        <v>25</v>
      </c>
      <c r="C715" s="20" t="str">
        <f aca="false">'Raw Data'!C715</f>
        <v>male</v>
      </c>
      <c r="D715" s="20" t="n">
        <f aca="false">'Raw Data'!D715</f>
        <v>1</v>
      </c>
      <c r="E715" s="20" t="str">
        <f aca="false">'Raw Data'!E715</f>
        <v>own</v>
      </c>
      <c r="F715" s="20" t="str">
        <f aca="false">'Raw Data'!F715</f>
        <v>little</v>
      </c>
      <c r="G715" s="20" t="str">
        <f aca="false">'Raw Data'!G715</f>
        <v>little</v>
      </c>
      <c r="H715" s="20" t="n">
        <f aca="false">'Raw Data'!H715</f>
        <v>1138</v>
      </c>
      <c r="I715" s="20" t="n">
        <f aca="false">'Raw Data'!I715</f>
        <v>9</v>
      </c>
      <c r="J715" s="20" t="str">
        <f aca="false">'Raw Data'!J715</f>
        <v>radio/TV</v>
      </c>
      <c r="K715" s="21" t="n">
        <f aca="false">H715/I715</f>
        <v>126.444444444444</v>
      </c>
      <c r="L715" s="21" t="n">
        <f aca="false">100-MIN(K715/Assumptions!$B$14,1)*100</f>
        <v>68.3888888888889</v>
      </c>
      <c r="M715" s="21" t="n">
        <f aca="false">VLOOKUP(F715,Assumptions!$A$19:$B$23,2,0)</f>
        <v>25</v>
      </c>
      <c r="N715" s="21" t="n">
        <f aca="false">VLOOKUP(G715,Assumptions!$A$27:$B$30,2,0)</f>
        <v>25</v>
      </c>
      <c r="O715" s="21" t="n">
        <f aca="false">VLOOKUP(D715,Assumptions!$A$34:$B$37,2,0)</f>
        <v>33</v>
      </c>
      <c r="P715" s="21" t="n">
        <f aca="false">VLOOKUP(E715,Assumptions!$A$41:$B$43,2,0)</f>
        <v>100</v>
      </c>
      <c r="Q715" s="22" t="n">
        <f aca="false">L715*Assumptions!$B$7+M715*Assumptions!$B$8+N715*Assumptions!$B$9+O715*Assumptions!$B$10+P715*Assumptions!$B$11</f>
        <v>46.7166666666667</v>
      </c>
      <c r="R715" s="11" t="str">
        <f aca="false">IF(Q715&lt;=33,"High Risk",IF(Q715&lt;=66,"Medium Risk","Low Risk"))</f>
        <v>Medium Risk</v>
      </c>
    </row>
    <row r="716" customFormat="false" ht="15" hidden="false" customHeight="true" outlineLevel="0" collapsed="false">
      <c r="A716" s="20" t="n">
        <f aca="false">'Raw Data'!A716</f>
        <v>715</v>
      </c>
      <c r="B716" s="20" t="n">
        <f aca="false">'Raw Data'!B716</f>
        <v>27</v>
      </c>
      <c r="C716" s="20" t="str">
        <f aca="false">'Raw Data'!C716</f>
        <v>male</v>
      </c>
      <c r="D716" s="20" t="n">
        <f aca="false">'Raw Data'!D716</f>
        <v>3</v>
      </c>
      <c r="E716" s="20" t="str">
        <f aca="false">'Raw Data'!E716</f>
        <v>own</v>
      </c>
      <c r="F716" s="20" t="str">
        <f aca="false">'Raw Data'!F716</f>
        <v>little</v>
      </c>
      <c r="G716" s="20" t="str">
        <f aca="false">'Raw Data'!G716</f>
        <v>moderate</v>
      </c>
      <c r="H716" s="20" t="n">
        <f aca="false">'Raw Data'!H716</f>
        <v>14027</v>
      </c>
      <c r="I716" s="20" t="n">
        <f aca="false">'Raw Data'!I716</f>
        <v>60</v>
      </c>
      <c r="J716" s="20" t="str">
        <f aca="false">'Raw Data'!J716</f>
        <v>car</v>
      </c>
      <c r="K716" s="21" t="n">
        <f aca="false">H716/I716</f>
        <v>233.783333333333</v>
      </c>
      <c r="L716" s="21" t="n">
        <f aca="false">100-MIN(K716/Assumptions!$B$14,1)*100</f>
        <v>41.5541666666667</v>
      </c>
      <c r="M716" s="21" t="n">
        <f aca="false">VLOOKUP(F716,Assumptions!$A$19:$B$23,2,0)</f>
        <v>25</v>
      </c>
      <c r="N716" s="21" t="n">
        <f aca="false">VLOOKUP(G716,Assumptions!$A$27:$B$30,2,0)</f>
        <v>60</v>
      </c>
      <c r="O716" s="21" t="n">
        <f aca="false">VLOOKUP(D716,Assumptions!$A$34:$B$37,2,0)</f>
        <v>100</v>
      </c>
      <c r="P716" s="21" t="n">
        <f aca="false">VLOOKUP(E716,Assumptions!$A$41:$B$43,2,0)</f>
        <v>100</v>
      </c>
      <c r="Q716" s="22" t="n">
        <f aca="false">L716*Assumptions!$B$7+M716*Assumptions!$B$8+N716*Assumptions!$B$9+O716*Assumptions!$B$10+P716*Assumptions!$B$11</f>
        <v>55.71625</v>
      </c>
      <c r="R716" s="11" t="str">
        <f aca="false">IF(Q716&lt;=33,"High Risk",IF(Q716&lt;=66,"Medium Risk","Low Risk"))</f>
        <v>Medium Risk</v>
      </c>
    </row>
    <row r="717" customFormat="false" ht="15" hidden="false" customHeight="true" outlineLevel="0" collapsed="false">
      <c r="A717" s="20" t="n">
        <f aca="false">'Raw Data'!A717</f>
        <v>716</v>
      </c>
      <c r="B717" s="20" t="n">
        <f aca="false">'Raw Data'!B717</f>
        <v>63</v>
      </c>
      <c r="C717" s="20" t="str">
        <f aca="false">'Raw Data'!C717</f>
        <v>male</v>
      </c>
      <c r="D717" s="20" t="n">
        <f aca="false">'Raw Data'!D717</f>
        <v>2</v>
      </c>
      <c r="E717" s="20" t="str">
        <f aca="false">'Raw Data'!E717</f>
        <v>own</v>
      </c>
      <c r="F717" s="20" t="str">
        <f aca="false">'Raw Data'!F717</f>
        <v>none</v>
      </c>
      <c r="G717" s="20" t="str">
        <f aca="false">'Raw Data'!G717</f>
        <v>none</v>
      </c>
      <c r="H717" s="20" t="n">
        <f aca="false">'Raw Data'!H717</f>
        <v>7596</v>
      </c>
      <c r="I717" s="20" t="n">
        <f aca="false">'Raw Data'!I717</f>
        <v>30</v>
      </c>
      <c r="J717" s="20" t="str">
        <f aca="false">'Raw Data'!J717</f>
        <v>car</v>
      </c>
      <c r="K717" s="21" t="n">
        <f aca="false">H717/I717</f>
        <v>253.2</v>
      </c>
      <c r="L717" s="21" t="n">
        <f aca="false">100-MIN(K717/Assumptions!$B$14,1)*100</f>
        <v>36.7</v>
      </c>
      <c r="M717" s="21" t="n">
        <f aca="false">VLOOKUP(F717,Assumptions!$A$19:$B$23,2,0)</f>
        <v>40</v>
      </c>
      <c r="N717" s="21" t="n">
        <f aca="false">VLOOKUP(G717,Assumptions!$A$27:$B$30,2,0)</f>
        <v>50</v>
      </c>
      <c r="O717" s="21" t="n">
        <f aca="false">VLOOKUP(D717,Assumptions!$A$34:$B$37,2,0)</f>
        <v>66</v>
      </c>
      <c r="P717" s="21" t="n">
        <f aca="false">VLOOKUP(E717,Assumptions!$A$41:$B$43,2,0)</f>
        <v>100</v>
      </c>
      <c r="Q717" s="22" t="n">
        <f aca="false">L717*Assumptions!$B$7+M717*Assumptions!$B$8+N717*Assumptions!$B$9+O717*Assumptions!$B$10+P717*Assumptions!$B$11</f>
        <v>50.91</v>
      </c>
      <c r="R717" s="11" t="str">
        <f aca="false">IF(Q717&lt;=33,"High Risk",IF(Q717&lt;=66,"Medium Risk","Low Risk"))</f>
        <v>Medium Risk</v>
      </c>
    </row>
    <row r="718" customFormat="false" ht="15" hidden="false" customHeight="true" outlineLevel="0" collapsed="false">
      <c r="A718" s="20" t="n">
        <f aca="false">'Raw Data'!A718</f>
        <v>717</v>
      </c>
      <c r="B718" s="20" t="n">
        <f aca="false">'Raw Data'!B718</f>
        <v>40</v>
      </c>
      <c r="C718" s="20" t="str">
        <f aca="false">'Raw Data'!C718</f>
        <v>male</v>
      </c>
      <c r="D718" s="20" t="n">
        <f aca="false">'Raw Data'!D718</f>
        <v>2</v>
      </c>
      <c r="E718" s="20" t="str">
        <f aca="false">'Raw Data'!E718</f>
        <v>own</v>
      </c>
      <c r="F718" s="20" t="str">
        <f aca="false">'Raw Data'!F718</f>
        <v>none</v>
      </c>
      <c r="G718" s="20" t="str">
        <f aca="false">'Raw Data'!G718</f>
        <v>none</v>
      </c>
      <c r="H718" s="20" t="n">
        <f aca="false">'Raw Data'!H718</f>
        <v>3077</v>
      </c>
      <c r="I718" s="20" t="n">
        <f aca="false">'Raw Data'!I718</f>
        <v>30</v>
      </c>
      <c r="J718" s="20" t="str">
        <f aca="false">'Raw Data'!J718</f>
        <v>radio/TV</v>
      </c>
      <c r="K718" s="21" t="n">
        <f aca="false">H718/I718</f>
        <v>102.566666666667</v>
      </c>
      <c r="L718" s="21" t="n">
        <f aca="false">100-MIN(K718/Assumptions!$B$14,1)*100</f>
        <v>74.3583333333333</v>
      </c>
      <c r="M718" s="21" t="n">
        <f aca="false">VLOOKUP(F718,Assumptions!$A$19:$B$23,2,0)</f>
        <v>40</v>
      </c>
      <c r="N718" s="21" t="n">
        <f aca="false">VLOOKUP(G718,Assumptions!$A$27:$B$30,2,0)</f>
        <v>50</v>
      </c>
      <c r="O718" s="21" t="n">
        <f aca="false">VLOOKUP(D718,Assumptions!$A$34:$B$37,2,0)</f>
        <v>66</v>
      </c>
      <c r="P718" s="21" t="n">
        <f aca="false">VLOOKUP(E718,Assumptions!$A$41:$B$43,2,0)</f>
        <v>100</v>
      </c>
      <c r="Q718" s="22" t="n">
        <f aca="false">L718*Assumptions!$B$7+M718*Assumptions!$B$8+N718*Assumptions!$B$9+O718*Assumptions!$B$10+P718*Assumptions!$B$11</f>
        <v>62.2075</v>
      </c>
      <c r="R718" s="11" t="str">
        <f aca="false">IF(Q718&lt;=33,"High Risk",IF(Q718&lt;=66,"Medium Risk","Low Risk"))</f>
        <v>Medium Risk</v>
      </c>
    </row>
    <row r="719" customFormat="false" ht="15" hidden="false" customHeight="true" outlineLevel="0" collapsed="false">
      <c r="A719" s="20" t="n">
        <f aca="false">'Raw Data'!A719</f>
        <v>718</v>
      </c>
      <c r="B719" s="20" t="n">
        <f aca="false">'Raw Data'!B719</f>
        <v>32</v>
      </c>
      <c r="C719" s="20" t="str">
        <f aca="false">'Raw Data'!C719</f>
        <v>male</v>
      </c>
      <c r="D719" s="20" t="n">
        <f aca="false">'Raw Data'!D719</f>
        <v>3</v>
      </c>
      <c r="E719" s="20" t="str">
        <f aca="false">'Raw Data'!E719</f>
        <v>free</v>
      </c>
      <c r="F719" s="20" t="str">
        <f aca="false">'Raw Data'!F719</f>
        <v>little</v>
      </c>
      <c r="G719" s="20" t="str">
        <f aca="false">'Raw Data'!G719</f>
        <v>none</v>
      </c>
      <c r="H719" s="20" t="n">
        <f aca="false">'Raw Data'!H719</f>
        <v>1505</v>
      </c>
      <c r="I719" s="20" t="n">
        <f aca="false">'Raw Data'!I719</f>
        <v>18</v>
      </c>
      <c r="J719" s="20" t="str">
        <f aca="false">'Raw Data'!J719</f>
        <v>radio/TV</v>
      </c>
      <c r="K719" s="21" t="n">
        <f aca="false">H719/I719</f>
        <v>83.6111111111111</v>
      </c>
      <c r="L719" s="21" t="n">
        <f aca="false">100-MIN(K719/Assumptions!$B$14,1)*100</f>
        <v>79.0972222222222</v>
      </c>
      <c r="M719" s="21" t="n">
        <f aca="false">VLOOKUP(F719,Assumptions!$A$19:$B$23,2,0)</f>
        <v>25</v>
      </c>
      <c r="N719" s="21" t="n">
        <f aca="false">VLOOKUP(G719,Assumptions!$A$27:$B$30,2,0)</f>
        <v>50</v>
      </c>
      <c r="O719" s="21" t="n">
        <f aca="false">VLOOKUP(D719,Assumptions!$A$34:$B$37,2,0)</f>
        <v>100</v>
      </c>
      <c r="P719" s="21" t="n">
        <f aca="false">VLOOKUP(E719,Assumptions!$A$41:$B$43,2,0)</f>
        <v>60</v>
      </c>
      <c r="Q719" s="22" t="n">
        <f aca="false">L719*Assumptions!$B$7+M719*Assumptions!$B$8+N719*Assumptions!$B$9+O719*Assumptions!$B$10+P719*Assumptions!$B$11</f>
        <v>60.9791666666667</v>
      </c>
      <c r="R719" s="11" t="str">
        <f aca="false">IF(Q719&lt;=33,"High Risk",IF(Q719&lt;=66,"Medium Risk","Low Risk"))</f>
        <v>Medium Risk</v>
      </c>
    </row>
    <row r="720" customFormat="false" ht="15" hidden="false" customHeight="true" outlineLevel="0" collapsed="false">
      <c r="A720" s="20" t="n">
        <f aca="false">'Raw Data'!A720</f>
        <v>719</v>
      </c>
      <c r="B720" s="20" t="n">
        <f aca="false">'Raw Data'!B720</f>
        <v>31</v>
      </c>
      <c r="C720" s="20" t="str">
        <f aca="false">'Raw Data'!C720</f>
        <v>male</v>
      </c>
      <c r="D720" s="20" t="n">
        <f aca="false">'Raw Data'!D720</f>
        <v>2</v>
      </c>
      <c r="E720" s="20" t="str">
        <f aca="false">'Raw Data'!E720</f>
        <v>own</v>
      </c>
      <c r="F720" s="20" t="str">
        <f aca="false">'Raw Data'!F720</f>
        <v>none</v>
      </c>
      <c r="G720" s="20" t="str">
        <f aca="false">'Raw Data'!G720</f>
        <v>rich</v>
      </c>
      <c r="H720" s="20" t="n">
        <f aca="false">'Raw Data'!H720</f>
        <v>3148</v>
      </c>
      <c r="I720" s="20" t="n">
        <f aca="false">'Raw Data'!I720</f>
        <v>24</v>
      </c>
      <c r="J720" s="20" t="str">
        <f aca="false">'Raw Data'!J720</f>
        <v>radio/TV</v>
      </c>
      <c r="K720" s="21" t="n">
        <f aca="false">H720/I720</f>
        <v>131.166666666667</v>
      </c>
      <c r="L720" s="21" t="n">
        <f aca="false">100-MIN(K720/Assumptions!$B$14,1)*100</f>
        <v>67.2083333333333</v>
      </c>
      <c r="M720" s="21" t="n">
        <f aca="false">VLOOKUP(F720,Assumptions!$A$19:$B$23,2,0)</f>
        <v>40</v>
      </c>
      <c r="N720" s="21" t="n">
        <f aca="false">VLOOKUP(G720,Assumptions!$A$27:$B$30,2,0)</f>
        <v>100</v>
      </c>
      <c r="O720" s="21" t="n">
        <f aca="false">VLOOKUP(D720,Assumptions!$A$34:$B$37,2,0)</f>
        <v>66</v>
      </c>
      <c r="P720" s="21" t="n">
        <f aca="false">VLOOKUP(E720,Assumptions!$A$41:$B$43,2,0)</f>
        <v>100</v>
      </c>
      <c r="Q720" s="22" t="n">
        <f aca="false">L720*Assumptions!$B$7+M720*Assumptions!$B$8+N720*Assumptions!$B$9+O720*Assumptions!$B$10+P720*Assumptions!$B$11</f>
        <v>70.0625</v>
      </c>
      <c r="R720" s="11" t="str">
        <f aca="false">IF(Q720&lt;=33,"High Risk",IF(Q720&lt;=66,"Medium Risk","Low Risk"))</f>
        <v>Low Risk</v>
      </c>
    </row>
    <row r="721" customFormat="false" ht="15" hidden="false" customHeight="true" outlineLevel="0" collapsed="false">
      <c r="A721" s="20" t="n">
        <f aca="false">'Raw Data'!A721</f>
        <v>720</v>
      </c>
      <c r="B721" s="20" t="n">
        <f aca="false">'Raw Data'!B721</f>
        <v>31</v>
      </c>
      <c r="C721" s="20" t="str">
        <f aca="false">'Raw Data'!C721</f>
        <v>male</v>
      </c>
      <c r="D721" s="20" t="n">
        <f aca="false">'Raw Data'!D721</f>
        <v>2</v>
      </c>
      <c r="E721" s="20" t="str">
        <f aca="false">'Raw Data'!E721</f>
        <v>own</v>
      </c>
      <c r="F721" s="20" t="str">
        <f aca="false">'Raw Data'!F721</f>
        <v>moderate</v>
      </c>
      <c r="G721" s="20" t="str">
        <f aca="false">'Raw Data'!G721</f>
        <v>moderate</v>
      </c>
      <c r="H721" s="20" t="n">
        <f aca="false">'Raw Data'!H721</f>
        <v>6148</v>
      </c>
      <c r="I721" s="20" t="n">
        <f aca="false">'Raw Data'!I721</f>
        <v>20</v>
      </c>
      <c r="J721" s="20" t="str">
        <f aca="false">'Raw Data'!J721</f>
        <v>car</v>
      </c>
      <c r="K721" s="21" t="n">
        <f aca="false">H721/I721</f>
        <v>307.4</v>
      </c>
      <c r="L721" s="21" t="n">
        <f aca="false">100-MIN(K721/Assumptions!$B$14,1)*100</f>
        <v>23.15</v>
      </c>
      <c r="M721" s="21" t="n">
        <f aca="false">VLOOKUP(F721,Assumptions!$A$19:$B$23,2,0)</f>
        <v>50</v>
      </c>
      <c r="N721" s="21" t="n">
        <f aca="false">VLOOKUP(G721,Assumptions!$A$27:$B$30,2,0)</f>
        <v>60</v>
      </c>
      <c r="O721" s="21" t="n">
        <f aca="false">VLOOKUP(D721,Assumptions!$A$34:$B$37,2,0)</f>
        <v>66</v>
      </c>
      <c r="P721" s="21" t="n">
        <f aca="false">VLOOKUP(E721,Assumptions!$A$41:$B$43,2,0)</f>
        <v>100</v>
      </c>
      <c r="Q721" s="22" t="n">
        <f aca="false">L721*Assumptions!$B$7+M721*Assumptions!$B$8+N721*Assumptions!$B$9+O721*Assumptions!$B$10+P721*Assumptions!$B$11</f>
        <v>51.345</v>
      </c>
      <c r="R721" s="11" t="str">
        <f aca="false">IF(Q721&lt;=33,"High Risk",IF(Q721&lt;=66,"Medium Risk","Low Risk"))</f>
        <v>Medium Risk</v>
      </c>
    </row>
    <row r="722" customFormat="false" ht="15" hidden="false" customHeight="true" outlineLevel="0" collapsed="false">
      <c r="A722" s="20" t="n">
        <f aca="false">'Raw Data'!A722</f>
        <v>721</v>
      </c>
      <c r="B722" s="20" t="n">
        <f aca="false">'Raw Data'!B722</f>
        <v>34</v>
      </c>
      <c r="C722" s="20" t="str">
        <f aca="false">'Raw Data'!C722</f>
        <v>male</v>
      </c>
      <c r="D722" s="20" t="n">
        <f aca="false">'Raw Data'!D722</f>
        <v>3</v>
      </c>
      <c r="E722" s="20" t="str">
        <f aca="false">'Raw Data'!E722</f>
        <v>own</v>
      </c>
      <c r="F722" s="20" t="str">
        <f aca="false">'Raw Data'!F722</f>
        <v>little</v>
      </c>
      <c r="G722" s="20" t="str">
        <f aca="false">'Raw Data'!G722</f>
        <v>rich</v>
      </c>
      <c r="H722" s="20" t="n">
        <f aca="false">'Raw Data'!H722</f>
        <v>1337</v>
      </c>
      <c r="I722" s="20" t="n">
        <f aca="false">'Raw Data'!I722</f>
        <v>9</v>
      </c>
      <c r="J722" s="20" t="str">
        <f aca="false">'Raw Data'!J722</f>
        <v>radio/TV</v>
      </c>
      <c r="K722" s="21" t="n">
        <f aca="false">H722/I722</f>
        <v>148.555555555556</v>
      </c>
      <c r="L722" s="21" t="n">
        <f aca="false">100-MIN(K722/Assumptions!$B$14,1)*100</f>
        <v>62.8611111111111</v>
      </c>
      <c r="M722" s="21" t="n">
        <f aca="false">VLOOKUP(F722,Assumptions!$A$19:$B$23,2,0)</f>
        <v>25</v>
      </c>
      <c r="N722" s="21" t="n">
        <f aca="false">VLOOKUP(G722,Assumptions!$A$27:$B$30,2,0)</f>
        <v>100</v>
      </c>
      <c r="O722" s="21" t="n">
        <f aca="false">VLOOKUP(D722,Assumptions!$A$34:$B$37,2,0)</f>
        <v>100</v>
      </c>
      <c r="P722" s="21" t="n">
        <f aca="false">VLOOKUP(E722,Assumptions!$A$41:$B$43,2,0)</f>
        <v>100</v>
      </c>
      <c r="Q722" s="22" t="n">
        <f aca="false">L722*Assumptions!$B$7+M722*Assumptions!$B$8+N722*Assumptions!$B$9+O722*Assumptions!$B$10+P722*Assumptions!$B$11</f>
        <v>70.1083333333333</v>
      </c>
      <c r="R722" s="11" t="str">
        <f aca="false">IF(Q722&lt;=33,"High Risk",IF(Q722&lt;=66,"Medium Risk","Low Risk"))</f>
        <v>Low Risk</v>
      </c>
    </row>
    <row r="723" customFormat="false" ht="15" hidden="false" customHeight="true" outlineLevel="0" collapsed="false">
      <c r="A723" s="20" t="n">
        <f aca="false">'Raw Data'!A723</f>
        <v>722</v>
      </c>
      <c r="B723" s="20" t="n">
        <f aca="false">'Raw Data'!B723</f>
        <v>24</v>
      </c>
      <c r="C723" s="20" t="str">
        <f aca="false">'Raw Data'!C723</f>
        <v>female</v>
      </c>
      <c r="D723" s="20" t="n">
        <f aca="false">'Raw Data'!D723</f>
        <v>2</v>
      </c>
      <c r="E723" s="20" t="str">
        <f aca="false">'Raw Data'!E723</f>
        <v>rent</v>
      </c>
      <c r="F723" s="20" t="str">
        <f aca="false">'Raw Data'!F723</f>
        <v>rich</v>
      </c>
      <c r="G723" s="20" t="str">
        <f aca="false">'Raw Data'!G723</f>
        <v>moderate</v>
      </c>
      <c r="H723" s="20" t="n">
        <f aca="false">'Raw Data'!H723</f>
        <v>433</v>
      </c>
      <c r="I723" s="20" t="n">
        <f aca="false">'Raw Data'!I723</f>
        <v>6</v>
      </c>
      <c r="J723" s="20" t="str">
        <f aca="false">'Raw Data'!J723</f>
        <v>education</v>
      </c>
      <c r="K723" s="21" t="n">
        <f aca="false">H723/I723</f>
        <v>72.1666666666667</v>
      </c>
      <c r="L723" s="21" t="n">
        <f aca="false">100-MIN(K723/Assumptions!$B$14,1)*100</f>
        <v>81.9583333333333</v>
      </c>
      <c r="M723" s="21" t="n">
        <f aca="false">VLOOKUP(F723,Assumptions!$A$19:$B$23,2,0)</f>
        <v>100</v>
      </c>
      <c r="N723" s="21" t="n">
        <f aca="false">VLOOKUP(G723,Assumptions!$A$27:$B$30,2,0)</f>
        <v>60</v>
      </c>
      <c r="O723" s="21" t="n">
        <f aca="false">VLOOKUP(D723,Assumptions!$A$34:$B$37,2,0)</f>
        <v>66</v>
      </c>
      <c r="P723" s="21" t="n">
        <f aca="false">VLOOKUP(E723,Assumptions!$A$41:$B$43,2,0)</f>
        <v>30</v>
      </c>
      <c r="Q723" s="22" t="n">
        <f aca="false">L723*Assumptions!$B$7+M723*Assumptions!$B$8+N723*Assumptions!$B$9+O723*Assumptions!$B$10+P723*Assumptions!$B$11</f>
        <v>74.4875</v>
      </c>
      <c r="R723" s="11" t="str">
        <f aca="false">IF(Q723&lt;=33,"High Risk",IF(Q723&lt;=66,"Medium Risk","Low Risk"))</f>
        <v>Low Risk</v>
      </c>
    </row>
    <row r="724" customFormat="false" ht="15" hidden="false" customHeight="true" outlineLevel="0" collapsed="false">
      <c r="A724" s="20" t="n">
        <f aca="false">'Raw Data'!A724</f>
        <v>723</v>
      </c>
      <c r="B724" s="20" t="n">
        <f aca="false">'Raw Data'!B724</f>
        <v>24</v>
      </c>
      <c r="C724" s="20" t="str">
        <f aca="false">'Raw Data'!C724</f>
        <v>female</v>
      </c>
      <c r="D724" s="20" t="n">
        <f aca="false">'Raw Data'!D724</f>
        <v>1</v>
      </c>
      <c r="E724" s="20" t="str">
        <f aca="false">'Raw Data'!E724</f>
        <v>own</v>
      </c>
      <c r="F724" s="20" t="str">
        <f aca="false">'Raw Data'!F724</f>
        <v>little</v>
      </c>
      <c r="G724" s="20" t="str">
        <f aca="false">'Raw Data'!G724</f>
        <v>little</v>
      </c>
      <c r="H724" s="20" t="n">
        <f aca="false">'Raw Data'!H724</f>
        <v>1228</v>
      </c>
      <c r="I724" s="20" t="n">
        <f aca="false">'Raw Data'!I724</f>
        <v>12</v>
      </c>
      <c r="J724" s="20" t="str">
        <f aca="false">'Raw Data'!J724</f>
        <v>car</v>
      </c>
      <c r="K724" s="21" t="n">
        <f aca="false">H724/I724</f>
        <v>102.333333333333</v>
      </c>
      <c r="L724" s="21" t="n">
        <f aca="false">100-MIN(K724/Assumptions!$B$14,1)*100</f>
        <v>74.4166666666667</v>
      </c>
      <c r="M724" s="21" t="n">
        <f aca="false">VLOOKUP(F724,Assumptions!$A$19:$B$23,2,0)</f>
        <v>25</v>
      </c>
      <c r="N724" s="21" t="n">
        <f aca="false">VLOOKUP(G724,Assumptions!$A$27:$B$30,2,0)</f>
        <v>25</v>
      </c>
      <c r="O724" s="21" t="n">
        <f aca="false">VLOOKUP(D724,Assumptions!$A$34:$B$37,2,0)</f>
        <v>33</v>
      </c>
      <c r="P724" s="21" t="n">
        <f aca="false">VLOOKUP(E724,Assumptions!$A$41:$B$43,2,0)</f>
        <v>100</v>
      </c>
      <c r="Q724" s="22" t="n">
        <f aca="false">L724*Assumptions!$B$7+M724*Assumptions!$B$8+N724*Assumptions!$B$9+O724*Assumptions!$B$10+P724*Assumptions!$B$11</f>
        <v>48.525</v>
      </c>
      <c r="R724" s="11" t="str">
        <f aca="false">IF(Q724&lt;=33,"High Risk",IF(Q724&lt;=66,"Medium Risk","Low Risk"))</f>
        <v>Medium Risk</v>
      </c>
    </row>
    <row r="725" customFormat="false" ht="15" hidden="false" customHeight="true" outlineLevel="0" collapsed="false">
      <c r="A725" s="20" t="n">
        <f aca="false">'Raw Data'!A725</f>
        <v>724</v>
      </c>
      <c r="B725" s="20" t="n">
        <f aca="false">'Raw Data'!B725</f>
        <v>66</v>
      </c>
      <c r="C725" s="20" t="str">
        <f aca="false">'Raw Data'!C725</f>
        <v>female</v>
      </c>
      <c r="D725" s="20" t="n">
        <f aca="false">'Raw Data'!D725</f>
        <v>1</v>
      </c>
      <c r="E725" s="20" t="str">
        <f aca="false">'Raw Data'!E725</f>
        <v>own</v>
      </c>
      <c r="F725" s="20" t="str">
        <f aca="false">'Raw Data'!F725</f>
        <v>quite rich</v>
      </c>
      <c r="G725" s="20" t="str">
        <f aca="false">'Raw Data'!G725</f>
        <v>moderate</v>
      </c>
      <c r="H725" s="20" t="n">
        <f aca="false">'Raw Data'!H725</f>
        <v>790</v>
      </c>
      <c r="I725" s="20" t="n">
        <f aca="false">'Raw Data'!I725</f>
        <v>9</v>
      </c>
      <c r="J725" s="20" t="str">
        <f aca="false">'Raw Data'!J725</f>
        <v>radio/TV</v>
      </c>
      <c r="K725" s="21" t="n">
        <f aca="false">H725/I725</f>
        <v>87.7777777777778</v>
      </c>
      <c r="L725" s="21" t="n">
        <f aca="false">100-MIN(K725/Assumptions!$B$14,1)*100</f>
        <v>78.0555555555556</v>
      </c>
      <c r="M725" s="21" t="n">
        <f aca="false">VLOOKUP(F725,Assumptions!$A$19:$B$23,2,0)</f>
        <v>75</v>
      </c>
      <c r="N725" s="21" t="n">
        <f aca="false">VLOOKUP(G725,Assumptions!$A$27:$B$30,2,0)</f>
        <v>60</v>
      </c>
      <c r="O725" s="21" t="n">
        <f aca="false">VLOOKUP(D725,Assumptions!$A$34:$B$37,2,0)</f>
        <v>33</v>
      </c>
      <c r="P725" s="21" t="n">
        <f aca="false">VLOOKUP(E725,Assumptions!$A$41:$B$43,2,0)</f>
        <v>100</v>
      </c>
      <c r="Q725" s="22" t="n">
        <f aca="false">L725*Assumptions!$B$7+M725*Assumptions!$B$8+N725*Assumptions!$B$9+O725*Assumptions!$B$10+P725*Assumptions!$B$11</f>
        <v>69.1166666666667</v>
      </c>
      <c r="R725" s="11" t="str">
        <f aca="false">IF(Q725&lt;=33,"High Risk",IF(Q725&lt;=66,"Medium Risk","Low Risk"))</f>
        <v>Low Risk</v>
      </c>
    </row>
    <row r="726" customFormat="false" ht="15" hidden="false" customHeight="true" outlineLevel="0" collapsed="false">
      <c r="A726" s="20" t="n">
        <f aca="false">'Raw Data'!A726</f>
        <v>725</v>
      </c>
      <c r="B726" s="20" t="n">
        <f aca="false">'Raw Data'!B726</f>
        <v>21</v>
      </c>
      <c r="C726" s="20" t="str">
        <f aca="false">'Raw Data'!C726</f>
        <v>female</v>
      </c>
      <c r="D726" s="20" t="n">
        <f aca="false">'Raw Data'!D726</f>
        <v>2</v>
      </c>
      <c r="E726" s="20" t="str">
        <f aca="false">'Raw Data'!E726</f>
        <v>rent</v>
      </c>
      <c r="F726" s="20" t="str">
        <f aca="false">'Raw Data'!F726</f>
        <v>little</v>
      </c>
      <c r="G726" s="20" t="str">
        <f aca="false">'Raw Data'!G726</f>
        <v>none</v>
      </c>
      <c r="H726" s="20" t="n">
        <f aca="false">'Raw Data'!H726</f>
        <v>2570</v>
      </c>
      <c r="I726" s="20" t="n">
        <f aca="false">'Raw Data'!I726</f>
        <v>27</v>
      </c>
      <c r="J726" s="20" t="str">
        <f aca="false">'Raw Data'!J726</f>
        <v>car</v>
      </c>
      <c r="K726" s="21" t="n">
        <f aca="false">H726/I726</f>
        <v>95.1851851851852</v>
      </c>
      <c r="L726" s="21" t="n">
        <f aca="false">100-MIN(K726/Assumptions!$B$14,1)*100</f>
        <v>76.2037037037037</v>
      </c>
      <c r="M726" s="21" t="n">
        <f aca="false">VLOOKUP(F726,Assumptions!$A$19:$B$23,2,0)</f>
        <v>25</v>
      </c>
      <c r="N726" s="21" t="n">
        <f aca="false">VLOOKUP(G726,Assumptions!$A$27:$B$30,2,0)</f>
        <v>50</v>
      </c>
      <c r="O726" s="21" t="n">
        <f aca="false">VLOOKUP(D726,Assumptions!$A$34:$B$37,2,0)</f>
        <v>66</v>
      </c>
      <c r="P726" s="21" t="n">
        <f aca="false">VLOOKUP(E726,Assumptions!$A$41:$B$43,2,0)</f>
        <v>30</v>
      </c>
      <c r="Q726" s="22" t="n">
        <f aca="false">L726*Assumptions!$B$7+M726*Assumptions!$B$8+N726*Assumptions!$B$9+O726*Assumptions!$B$10+P726*Assumptions!$B$11</f>
        <v>52.0111111111111</v>
      </c>
      <c r="R726" s="11" t="str">
        <f aca="false">IF(Q726&lt;=33,"High Risk",IF(Q726&lt;=66,"Medium Risk","Low Risk"))</f>
        <v>Medium Risk</v>
      </c>
    </row>
    <row r="727" customFormat="false" ht="15" hidden="false" customHeight="true" outlineLevel="0" collapsed="false">
      <c r="A727" s="20" t="n">
        <f aca="false">'Raw Data'!A727</f>
        <v>726</v>
      </c>
      <c r="B727" s="20" t="n">
        <f aca="false">'Raw Data'!B727</f>
        <v>41</v>
      </c>
      <c r="C727" s="20" t="str">
        <f aca="false">'Raw Data'!C727</f>
        <v>female</v>
      </c>
      <c r="D727" s="20" t="n">
        <f aca="false">'Raw Data'!D727</f>
        <v>1</v>
      </c>
      <c r="E727" s="20" t="str">
        <f aca="false">'Raw Data'!E727</f>
        <v>own</v>
      </c>
      <c r="F727" s="20" t="str">
        <f aca="false">'Raw Data'!F727</f>
        <v>rich</v>
      </c>
      <c r="G727" s="20" t="str">
        <f aca="false">'Raw Data'!G727</f>
        <v>none</v>
      </c>
      <c r="H727" s="20" t="n">
        <f aca="false">'Raw Data'!H727</f>
        <v>250</v>
      </c>
      <c r="I727" s="20" t="n">
        <f aca="false">'Raw Data'!I727</f>
        <v>6</v>
      </c>
      <c r="J727" s="20" t="str">
        <f aca="false">'Raw Data'!J727</f>
        <v>car</v>
      </c>
      <c r="K727" s="21" t="n">
        <f aca="false">H727/I727</f>
        <v>41.6666666666667</v>
      </c>
      <c r="L727" s="21" t="n">
        <f aca="false">100-MIN(K727/Assumptions!$B$14,1)*100</f>
        <v>89.5833333333333</v>
      </c>
      <c r="M727" s="21" t="n">
        <f aca="false">VLOOKUP(F727,Assumptions!$A$19:$B$23,2,0)</f>
        <v>100</v>
      </c>
      <c r="N727" s="21" t="n">
        <f aca="false">VLOOKUP(G727,Assumptions!$A$27:$B$30,2,0)</f>
        <v>50</v>
      </c>
      <c r="O727" s="21" t="n">
        <f aca="false">VLOOKUP(D727,Assumptions!$A$34:$B$37,2,0)</f>
        <v>33</v>
      </c>
      <c r="P727" s="21" t="n">
        <f aca="false">VLOOKUP(E727,Assumptions!$A$41:$B$43,2,0)</f>
        <v>100</v>
      </c>
      <c r="Q727" s="22" t="n">
        <f aca="false">L727*Assumptions!$B$7+M727*Assumptions!$B$8+N727*Assumptions!$B$9+O727*Assumptions!$B$10+P727*Assumptions!$B$11</f>
        <v>76.825</v>
      </c>
      <c r="R727" s="11" t="str">
        <f aca="false">IF(Q727&lt;=33,"High Risk",IF(Q727&lt;=66,"Medium Risk","Low Risk"))</f>
        <v>Low Risk</v>
      </c>
    </row>
    <row r="728" customFormat="false" ht="15" hidden="false" customHeight="true" outlineLevel="0" collapsed="false">
      <c r="A728" s="20" t="n">
        <f aca="false">'Raw Data'!A728</f>
        <v>727</v>
      </c>
      <c r="B728" s="20" t="n">
        <f aca="false">'Raw Data'!B728</f>
        <v>47</v>
      </c>
      <c r="C728" s="20" t="str">
        <f aca="false">'Raw Data'!C728</f>
        <v>male</v>
      </c>
      <c r="D728" s="20" t="n">
        <f aca="false">'Raw Data'!D728</f>
        <v>1</v>
      </c>
      <c r="E728" s="20" t="str">
        <f aca="false">'Raw Data'!E728</f>
        <v>own</v>
      </c>
      <c r="F728" s="20" t="str">
        <f aca="false">'Raw Data'!F728</f>
        <v>quite rich</v>
      </c>
      <c r="G728" s="20" t="str">
        <f aca="false">'Raw Data'!G728</f>
        <v>none</v>
      </c>
      <c r="H728" s="20" t="n">
        <f aca="false">'Raw Data'!H728</f>
        <v>1316</v>
      </c>
      <c r="I728" s="20" t="n">
        <f aca="false">'Raw Data'!I728</f>
        <v>15</v>
      </c>
      <c r="J728" s="20" t="str">
        <f aca="false">'Raw Data'!J728</f>
        <v>radio/TV</v>
      </c>
      <c r="K728" s="21" t="n">
        <f aca="false">H728/I728</f>
        <v>87.7333333333333</v>
      </c>
      <c r="L728" s="21" t="n">
        <f aca="false">100-MIN(K728/Assumptions!$B$14,1)*100</f>
        <v>78.0666666666667</v>
      </c>
      <c r="M728" s="21" t="n">
        <f aca="false">VLOOKUP(F728,Assumptions!$A$19:$B$23,2,0)</f>
        <v>75</v>
      </c>
      <c r="N728" s="21" t="n">
        <f aca="false">VLOOKUP(G728,Assumptions!$A$27:$B$30,2,0)</f>
        <v>50</v>
      </c>
      <c r="O728" s="21" t="n">
        <f aca="false">VLOOKUP(D728,Assumptions!$A$34:$B$37,2,0)</f>
        <v>33</v>
      </c>
      <c r="P728" s="21" t="n">
        <f aca="false">VLOOKUP(E728,Assumptions!$A$41:$B$43,2,0)</f>
        <v>100</v>
      </c>
      <c r="Q728" s="22" t="n">
        <f aca="false">L728*Assumptions!$B$7+M728*Assumptions!$B$8+N728*Assumptions!$B$9+O728*Assumptions!$B$10+P728*Assumptions!$B$11</f>
        <v>67.12</v>
      </c>
      <c r="R728" s="11" t="str">
        <f aca="false">IF(Q728&lt;=33,"High Risk",IF(Q728&lt;=66,"Medium Risk","Low Risk"))</f>
        <v>Low Risk</v>
      </c>
    </row>
    <row r="729" customFormat="false" ht="15" hidden="false" customHeight="true" outlineLevel="0" collapsed="false">
      <c r="A729" s="20" t="n">
        <f aca="false">'Raw Data'!A729</f>
        <v>728</v>
      </c>
      <c r="B729" s="20" t="n">
        <f aca="false">'Raw Data'!B729</f>
        <v>25</v>
      </c>
      <c r="C729" s="20" t="str">
        <f aca="false">'Raw Data'!C729</f>
        <v>female</v>
      </c>
      <c r="D729" s="20" t="n">
        <f aca="false">'Raw Data'!D729</f>
        <v>2</v>
      </c>
      <c r="E729" s="20" t="str">
        <f aca="false">'Raw Data'!E729</f>
        <v>rent</v>
      </c>
      <c r="F729" s="20" t="str">
        <f aca="false">'Raw Data'!F729</f>
        <v>little</v>
      </c>
      <c r="G729" s="20" t="str">
        <f aca="false">'Raw Data'!G729</f>
        <v>little</v>
      </c>
      <c r="H729" s="20" t="n">
        <f aca="false">'Raw Data'!H729</f>
        <v>1882</v>
      </c>
      <c r="I729" s="20" t="n">
        <f aca="false">'Raw Data'!I729</f>
        <v>18</v>
      </c>
      <c r="J729" s="20" t="str">
        <f aca="false">'Raw Data'!J729</f>
        <v>radio/TV</v>
      </c>
      <c r="K729" s="21" t="n">
        <f aca="false">H729/I729</f>
        <v>104.555555555556</v>
      </c>
      <c r="L729" s="21" t="n">
        <f aca="false">100-MIN(K729/Assumptions!$B$14,1)*100</f>
        <v>73.8611111111111</v>
      </c>
      <c r="M729" s="21" t="n">
        <f aca="false">VLOOKUP(F729,Assumptions!$A$19:$B$23,2,0)</f>
        <v>25</v>
      </c>
      <c r="N729" s="21" t="n">
        <f aca="false">VLOOKUP(G729,Assumptions!$A$27:$B$30,2,0)</f>
        <v>25</v>
      </c>
      <c r="O729" s="21" t="n">
        <f aca="false">VLOOKUP(D729,Assumptions!$A$34:$B$37,2,0)</f>
        <v>66</v>
      </c>
      <c r="P729" s="21" t="n">
        <f aca="false">VLOOKUP(E729,Assumptions!$A$41:$B$43,2,0)</f>
        <v>30</v>
      </c>
      <c r="Q729" s="22" t="n">
        <f aca="false">L729*Assumptions!$B$7+M729*Assumptions!$B$8+N729*Assumptions!$B$9+O729*Assumptions!$B$10+P729*Assumptions!$B$11</f>
        <v>46.3083333333333</v>
      </c>
      <c r="R729" s="11" t="str">
        <f aca="false">IF(Q729&lt;=33,"High Risk",IF(Q729&lt;=66,"Medium Risk","Low Risk"))</f>
        <v>Medium Risk</v>
      </c>
    </row>
    <row r="730" customFormat="false" ht="15" hidden="false" customHeight="true" outlineLevel="0" collapsed="false">
      <c r="A730" s="20" t="n">
        <f aca="false">'Raw Data'!A730</f>
        <v>729</v>
      </c>
      <c r="B730" s="20" t="n">
        <f aca="false">'Raw Data'!B730</f>
        <v>59</v>
      </c>
      <c r="C730" s="20" t="str">
        <f aca="false">'Raw Data'!C730</f>
        <v>female</v>
      </c>
      <c r="D730" s="20" t="n">
        <f aca="false">'Raw Data'!D730</f>
        <v>2</v>
      </c>
      <c r="E730" s="20" t="str">
        <f aca="false">'Raw Data'!E730</f>
        <v>rent</v>
      </c>
      <c r="F730" s="20" t="str">
        <f aca="false">'Raw Data'!F730</f>
        <v>little</v>
      </c>
      <c r="G730" s="20" t="str">
        <f aca="false">'Raw Data'!G730</f>
        <v>moderate</v>
      </c>
      <c r="H730" s="20" t="n">
        <f aca="false">'Raw Data'!H730</f>
        <v>6416</v>
      </c>
      <c r="I730" s="20" t="n">
        <f aca="false">'Raw Data'!I730</f>
        <v>48</v>
      </c>
      <c r="J730" s="20" t="str">
        <f aca="false">'Raw Data'!J730</f>
        <v>business</v>
      </c>
      <c r="K730" s="21" t="n">
        <f aca="false">H730/I730</f>
        <v>133.666666666667</v>
      </c>
      <c r="L730" s="21" t="n">
        <f aca="false">100-MIN(K730/Assumptions!$B$14,1)*100</f>
        <v>66.5833333333333</v>
      </c>
      <c r="M730" s="21" t="n">
        <f aca="false">VLOOKUP(F730,Assumptions!$A$19:$B$23,2,0)</f>
        <v>25</v>
      </c>
      <c r="N730" s="21" t="n">
        <f aca="false">VLOOKUP(G730,Assumptions!$A$27:$B$30,2,0)</f>
        <v>60</v>
      </c>
      <c r="O730" s="21" t="n">
        <f aca="false">VLOOKUP(D730,Assumptions!$A$34:$B$37,2,0)</f>
        <v>66</v>
      </c>
      <c r="P730" s="21" t="n">
        <f aca="false">VLOOKUP(E730,Assumptions!$A$41:$B$43,2,0)</f>
        <v>30</v>
      </c>
      <c r="Q730" s="22" t="n">
        <f aca="false">L730*Assumptions!$B$7+M730*Assumptions!$B$8+N730*Assumptions!$B$9+O730*Assumptions!$B$10+P730*Assumptions!$B$11</f>
        <v>51.125</v>
      </c>
      <c r="R730" s="11" t="str">
        <f aca="false">IF(Q730&lt;=33,"High Risk",IF(Q730&lt;=66,"Medium Risk","Low Risk"))</f>
        <v>Medium Risk</v>
      </c>
    </row>
    <row r="731" customFormat="false" ht="15" hidden="false" customHeight="true" outlineLevel="0" collapsed="false">
      <c r="A731" s="20" t="n">
        <f aca="false">'Raw Data'!A731</f>
        <v>730</v>
      </c>
      <c r="B731" s="20" t="n">
        <f aca="false">'Raw Data'!B731</f>
        <v>36</v>
      </c>
      <c r="C731" s="20" t="str">
        <f aca="false">'Raw Data'!C731</f>
        <v>male</v>
      </c>
      <c r="D731" s="20" t="n">
        <f aca="false">'Raw Data'!D731</f>
        <v>2</v>
      </c>
      <c r="E731" s="20" t="str">
        <f aca="false">'Raw Data'!E731</f>
        <v>own</v>
      </c>
      <c r="F731" s="20" t="str">
        <f aca="false">'Raw Data'!F731</f>
        <v>rich</v>
      </c>
      <c r="G731" s="20" t="str">
        <f aca="false">'Raw Data'!G731</f>
        <v>rich</v>
      </c>
      <c r="H731" s="20" t="n">
        <f aca="false">'Raw Data'!H731</f>
        <v>1275</v>
      </c>
      <c r="I731" s="20" t="n">
        <f aca="false">'Raw Data'!I731</f>
        <v>24</v>
      </c>
      <c r="J731" s="20" t="str">
        <f aca="false">'Raw Data'!J731</f>
        <v>business</v>
      </c>
      <c r="K731" s="21" t="n">
        <f aca="false">H731/I731</f>
        <v>53.125</v>
      </c>
      <c r="L731" s="21" t="n">
        <f aca="false">100-MIN(K731/Assumptions!$B$14,1)*100</f>
        <v>86.71875</v>
      </c>
      <c r="M731" s="21" t="n">
        <f aca="false">VLOOKUP(F731,Assumptions!$A$19:$B$23,2,0)</f>
        <v>100</v>
      </c>
      <c r="N731" s="21" t="n">
        <f aca="false">VLOOKUP(G731,Assumptions!$A$27:$B$30,2,0)</f>
        <v>100</v>
      </c>
      <c r="O731" s="21" t="n">
        <f aca="false">VLOOKUP(D731,Assumptions!$A$34:$B$37,2,0)</f>
        <v>66</v>
      </c>
      <c r="P731" s="21" t="n">
        <f aca="false">VLOOKUP(E731,Assumptions!$A$41:$B$43,2,0)</f>
        <v>100</v>
      </c>
      <c r="Q731" s="22" t="n">
        <f aca="false">L731*Assumptions!$B$7+M731*Assumptions!$B$8+N731*Assumptions!$B$9+O731*Assumptions!$B$10+P731*Assumptions!$B$11</f>
        <v>90.915625</v>
      </c>
      <c r="R731" s="11" t="str">
        <f aca="false">IF(Q731&lt;=33,"High Risk",IF(Q731&lt;=66,"Medium Risk","Low Risk"))</f>
        <v>Low Risk</v>
      </c>
    </row>
    <row r="732" customFormat="false" ht="15" hidden="false" customHeight="true" outlineLevel="0" collapsed="false">
      <c r="A732" s="20" t="n">
        <f aca="false">'Raw Data'!A732</f>
        <v>731</v>
      </c>
      <c r="B732" s="20" t="n">
        <f aca="false">'Raw Data'!B732</f>
        <v>33</v>
      </c>
      <c r="C732" s="20" t="str">
        <f aca="false">'Raw Data'!C732</f>
        <v>male</v>
      </c>
      <c r="D732" s="20" t="n">
        <f aca="false">'Raw Data'!D732</f>
        <v>2</v>
      </c>
      <c r="E732" s="20" t="str">
        <f aca="false">'Raw Data'!E732</f>
        <v>own</v>
      </c>
      <c r="F732" s="20" t="str">
        <f aca="false">'Raw Data'!F732</f>
        <v>little</v>
      </c>
      <c r="G732" s="20" t="str">
        <f aca="false">'Raw Data'!G732</f>
        <v>moderate</v>
      </c>
      <c r="H732" s="20" t="n">
        <f aca="false">'Raw Data'!H732</f>
        <v>6403</v>
      </c>
      <c r="I732" s="20" t="n">
        <f aca="false">'Raw Data'!I732</f>
        <v>24</v>
      </c>
      <c r="J732" s="20" t="str">
        <f aca="false">'Raw Data'!J732</f>
        <v>radio/TV</v>
      </c>
      <c r="K732" s="21" t="n">
        <f aca="false">H732/I732</f>
        <v>266.791666666667</v>
      </c>
      <c r="L732" s="21" t="n">
        <f aca="false">100-MIN(K732/Assumptions!$B$14,1)*100</f>
        <v>33.3020833333333</v>
      </c>
      <c r="M732" s="21" t="n">
        <f aca="false">VLOOKUP(F732,Assumptions!$A$19:$B$23,2,0)</f>
        <v>25</v>
      </c>
      <c r="N732" s="21" t="n">
        <f aca="false">VLOOKUP(G732,Assumptions!$A$27:$B$30,2,0)</f>
        <v>60</v>
      </c>
      <c r="O732" s="21" t="n">
        <f aca="false">VLOOKUP(D732,Assumptions!$A$34:$B$37,2,0)</f>
        <v>66</v>
      </c>
      <c r="P732" s="21" t="n">
        <f aca="false">VLOOKUP(E732,Assumptions!$A$41:$B$43,2,0)</f>
        <v>100</v>
      </c>
      <c r="Q732" s="22" t="n">
        <f aca="false">L732*Assumptions!$B$7+M732*Assumptions!$B$8+N732*Assumptions!$B$9+O732*Assumptions!$B$10+P732*Assumptions!$B$11</f>
        <v>48.140625</v>
      </c>
      <c r="R732" s="11" t="str">
        <f aca="false">IF(Q732&lt;=33,"High Risk",IF(Q732&lt;=66,"Medium Risk","Low Risk"))</f>
        <v>Medium Risk</v>
      </c>
    </row>
    <row r="733" customFormat="false" ht="15" hidden="false" customHeight="true" outlineLevel="0" collapsed="false">
      <c r="A733" s="20" t="n">
        <f aca="false">'Raw Data'!A733</f>
        <v>732</v>
      </c>
      <c r="B733" s="20" t="n">
        <f aca="false">'Raw Data'!B733</f>
        <v>21</v>
      </c>
      <c r="C733" s="20" t="str">
        <f aca="false">'Raw Data'!C733</f>
        <v>male</v>
      </c>
      <c r="D733" s="20" t="n">
        <f aca="false">'Raw Data'!D733</f>
        <v>1</v>
      </c>
      <c r="E733" s="20" t="str">
        <f aca="false">'Raw Data'!E733</f>
        <v>rent</v>
      </c>
      <c r="F733" s="20" t="str">
        <f aca="false">'Raw Data'!F733</f>
        <v>little</v>
      </c>
      <c r="G733" s="20" t="str">
        <f aca="false">'Raw Data'!G733</f>
        <v>little</v>
      </c>
      <c r="H733" s="20" t="n">
        <f aca="false">'Raw Data'!H733</f>
        <v>1987</v>
      </c>
      <c r="I733" s="20" t="n">
        <f aca="false">'Raw Data'!I733</f>
        <v>24</v>
      </c>
      <c r="J733" s="20" t="str">
        <f aca="false">'Raw Data'!J733</f>
        <v>radio/TV</v>
      </c>
      <c r="K733" s="21" t="n">
        <f aca="false">H733/I733</f>
        <v>82.7916666666667</v>
      </c>
      <c r="L733" s="21" t="n">
        <f aca="false">100-MIN(K733/Assumptions!$B$14,1)*100</f>
        <v>79.3020833333333</v>
      </c>
      <c r="M733" s="21" t="n">
        <f aca="false">VLOOKUP(F733,Assumptions!$A$19:$B$23,2,0)</f>
        <v>25</v>
      </c>
      <c r="N733" s="21" t="n">
        <f aca="false">VLOOKUP(G733,Assumptions!$A$27:$B$30,2,0)</f>
        <v>25</v>
      </c>
      <c r="O733" s="21" t="n">
        <f aca="false">VLOOKUP(D733,Assumptions!$A$34:$B$37,2,0)</f>
        <v>33</v>
      </c>
      <c r="P733" s="21" t="n">
        <f aca="false">VLOOKUP(E733,Assumptions!$A$41:$B$43,2,0)</f>
        <v>30</v>
      </c>
      <c r="Q733" s="22" t="n">
        <f aca="false">L733*Assumptions!$B$7+M733*Assumptions!$B$8+N733*Assumptions!$B$9+O733*Assumptions!$B$10+P733*Assumptions!$B$11</f>
        <v>42.990625</v>
      </c>
      <c r="R733" s="11" t="str">
        <f aca="false">IF(Q733&lt;=33,"High Risk",IF(Q733&lt;=66,"Medium Risk","Low Risk"))</f>
        <v>Medium Risk</v>
      </c>
    </row>
    <row r="734" customFormat="false" ht="15" hidden="false" customHeight="true" outlineLevel="0" collapsed="false">
      <c r="A734" s="20" t="n">
        <f aca="false">'Raw Data'!A734</f>
        <v>733</v>
      </c>
      <c r="B734" s="20" t="n">
        <f aca="false">'Raw Data'!B734</f>
        <v>44</v>
      </c>
      <c r="C734" s="20" t="str">
        <f aca="false">'Raw Data'!C734</f>
        <v>female</v>
      </c>
      <c r="D734" s="20" t="n">
        <f aca="false">'Raw Data'!D734</f>
        <v>1</v>
      </c>
      <c r="E734" s="20" t="str">
        <f aca="false">'Raw Data'!E734</f>
        <v>own</v>
      </c>
      <c r="F734" s="20" t="str">
        <f aca="false">'Raw Data'!F734</f>
        <v>little</v>
      </c>
      <c r="G734" s="20" t="str">
        <f aca="false">'Raw Data'!G734</f>
        <v>moderate</v>
      </c>
      <c r="H734" s="20" t="n">
        <f aca="false">'Raw Data'!H734</f>
        <v>760</v>
      </c>
      <c r="I734" s="20" t="n">
        <f aca="false">'Raw Data'!I734</f>
        <v>8</v>
      </c>
      <c r="J734" s="20" t="str">
        <f aca="false">'Raw Data'!J734</f>
        <v>radio/TV</v>
      </c>
      <c r="K734" s="21" t="n">
        <f aca="false">H734/I734</f>
        <v>95</v>
      </c>
      <c r="L734" s="21" t="n">
        <f aca="false">100-MIN(K734/Assumptions!$B$14,1)*100</f>
        <v>76.25</v>
      </c>
      <c r="M734" s="21" t="n">
        <f aca="false">VLOOKUP(F734,Assumptions!$A$19:$B$23,2,0)</f>
        <v>25</v>
      </c>
      <c r="N734" s="21" t="n">
        <f aca="false">VLOOKUP(G734,Assumptions!$A$27:$B$30,2,0)</f>
        <v>60</v>
      </c>
      <c r="O734" s="21" t="n">
        <f aca="false">VLOOKUP(D734,Assumptions!$A$34:$B$37,2,0)</f>
        <v>33</v>
      </c>
      <c r="P734" s="21" t="n">
        <f aca="false">VLOOKUP(E734,Assumptions!$A$41:$B$43,2,0)</f>
        <v>100</v>
      </c>
      <c r="Q734" s="22" t="n">
        <f aca="false">L734*Assumptions!$B$7+M734*Assumptions!$B$8+N734*Assumptions!$B$9+O734*Assumptions!$B$10+P734*Assumptions!$B$11</f>
        <v>56.075</v>
      </c>
      <c r="R734" s="11" t="str">
        <f aca="false">IF(Q734&lt;=33,"High Risk",IF(Q734&lt;=66,"Medium Risk","Low Risk"))</f>
        <v>Medium Risk</v>
      </c>
    </row>
    <row r="735" customFormat="false" ht="15" hidden="false" customHeight="true" outlineLevel="0" collapsed="false">
      <c r="A735" s="20" t="n">
        <f aca="false">'Raw Data'!A735</f>
        <v>734</v>
      </c>
      <c r="B735" s="20" t="n">
        <f aca="false">'Raw Data'!B735</f>
        <v>28</v>
      </c>
      <c r="C735" s="20" t="str">
        <f aca="false">'Raw Data'!C735</f>
        <v>female</v>
      </c>
      <c r="D735" s="20" t="n">
        <f aca="false">'Raw Data'!D735</f>
        <v>2</v>
      </c>
      <c r="E735" s="20" t="str">
        <f aca="false">'Raw Data'!E735</f>
        <v>rent</v>
      </c>
      <c r="F735" s="20" t="str">
        <f aca="false">'Raw Data'!F735</f>
        <v>rich</v>
      </c>
      <c r="G735" s="20" t="str">
        <f aca="false">'Raw Data'!G735</f>
        <v>none</v>
      </c>
      <c r="H735" s="20" t="n">
        <f aca="false">'Raw Data'!H735</f>
        <v>2603</v>
      </c>
      <c r="I735" s="20" t="n">
        <f aca="false">'Raw Data'!I735</f>
        <v>24</v>
      </c>
      <c r="J735" s="20" t="str">
        <f aca="false">'Raw Data'!J735</f>
        <v>car</v>
      </c>
      <c r="K735" s="21" t="n">
        <f aca="false">H735/I735</f>
        <v>108.458333333333</v>
      </c>
      <c r="L735" s="21" t="n">
        <f aca="false">100-MIN(K735/Assumptions!$B$14,1)*100</f>
        <v>72.8854166666667</v>
      </c>
      <c r="M735" s="21" t="n">
        <f aca="false">VLOOKUP(F735,Assumptions!$A$19:$B$23,2,0)</f>
        <v>100</v>
      </c>
      <c r="N735" s="21" t="n">
        <f aca="false">VLOOKUP(G735,Assumptions!$A$27:$B$30,2,0)</f>
        <v>50</v>
      </c>
      <c r="O735" s="21" t="n">
        <f aca="false">VLOOKUP(D735,Assumptions!$A$34:$B$37,2,0)</f>
        <v>66</v>
      </c>
      <c r="P735" s="21" t="n">
        <f aca="false">VLOOKUP(E735,Assumptions!$A$41:$B$43,2,0)</f>
        <v>30</v>
      </c>
      <c r="Q735" s="22" t="n">
        <f aca="false">L735*Assumptions!$B$7+M735*Assumptions!$B$8+N735*Assumptions!$B$9+O735*Assumptions!$B$10+P735*Assumptions!$B$11</f>
        <v>69.765625</v>
      </c>
      <c r="R735" s="11" t="str">
        <f aca="false">IF(Q735&lt;=33,"High Risk",IF(Q735&lt;=66,"Medium Risk","Low Risk"))</f>
        <v>Low Risk</v>
      </c>
    </row>
    <row r="736" customFormat="false" ht="15" hidden="false" customHeight="true" outlineLevel="0" collapsed="false">
      <c r="A736" s="20" t="n">
        <f aca="false">'Raw Data'!A736</f>
        <v>735</v>
      </c>
      <c r="B736" s="20" t="n">
        <f aca="false">'Raw Data'!B736</f>
        <v>37</v>
      </c>
      <c r="C736" s="20" t="str">
        <f aca="false">'Raw Data'!C736</f>
        <v>female</v>
      </c>
      <c r="D736" s="20" t="n">
        <f aca="false">'Raw Data'!D736</f>
        <v>2</v>
      </c>
      <c r="E736" s="20" t="str">
        <f aca="false">'Raw Data'!E736</f>
        <v>own</v>
      </c>
      <c r="F736" s="20" t="str">
        <f aca="false">'Raw Data'!F736</f>
        <v>little</v>
      </c>
      <c r="G736" s="20" t="str">
        <f aca="false">'Raw Data'!G736</f>
        <v>none</v>
      </c>
      <c r="H736" s="20" t="n">
        <f aca="false">'Raw Data'!H736</f>
        <v>3380</v>
      </c>
      <c r="I736" s="20" t="n">
        <f aca="false">'Raw Data'!I736</f>
        <v>4</v>
      </c>
      <c r="J736" s="20" t="str">
        <f aca="false">'Raw Data'!J736</f>
        <v>car</v>
      </c>
      <c r="K736" s="21" t="n">
        <f aca="false">H736/I736</f>
        <v>845</v>
      </c>
      <c r="L736" s="21" t="n">
        <f aca="false">100-MIN(K736/Assumptions!$B$14,1)*100</f>
        <v>0</v>
      </c>
      <c r="M736" s="21" t="n">
        <f aca="false">VLOOKUP(F736,Assumptions!$A$19:$B$23,2,0)</f>
        <v>25</v>
      </c>
      <c r="N736" s="21" t="n">
        <f aca="false">VLOOKUP(G736,Assumptions!$A$27:$B$30,2,0)</f>
        <v>50</v>
      </c>
      <c r="O736" s="21" t="n">
        <f aca="false">VLOOKUP(D736,Assumptions!$A$34:$B$37,2,0)</f>
        <v>66</v>
      </c>
      <c r="P736" s="21" t="n">
        <f aca="false">VLOOKUP(E736,Assumptions!$A$41:$B$43,2,0)</f>
        <v>100</v>
      </c>
      <c r="Q736" s="22" t="n">
        <f aca="false">L736*Assumptions!$B$7+M736*Assumptions!$B$8+N736*Assumptions!$B$9+O736*Assumptions!$B$10+P736*Assumptions!$B$11</f>
        <v>36.15</v>
      </c>
      <c r="R736" s="11" t="str">
        <f aca="false">IF(Q736&lt;=33,"High Risk",IF(Q736&lt;=66,"Medium Risk","Low Risk"))</f>
        <v>Medium Risk</v>
      </c>
    </row>
    <row r="737" customFormat="false" ht="15" hidden="false" customHeight="true" outlineLevel="0" collapsed="false">
      <c r="A737" s="20" t="n">
        <f aca="false">'Raw Data'!A737</f>
        <v>736</v>
      </c>
      <c r="B737" s="20" t="n">
        <f aca="false">'Raw Data'!B737</f>
        <v>29</v>
      </c>
      <c r="C737" s="20" t="str">
        <f aca="false">'Raw Data'!C737</f>
        <v>female</v>
      </c>
      <c r="D737" s="20" t="n">
        <f aca="false">'Raw Data'!D737</f>
        <v>0</v>
      </c>
      <c r="E737" s="20" t="str">
        <f aca="false">'Raw Data'!E737</f>
        <v>own</v>
      </c>
      <c r="F737" s="20" t="str">
        <f aca="false">'Raw Data'!F737</f>
        <v>none</v>
      </c>
      <c r="G737" s="20" t="str">
        <f aca="false">'Raw Data'!G737</f>
        <v>moderate</v>
      </c>
      <c r="H737" s="20" t="n">
        <f aca="false">'Raw Data'!H737</f>
        <v>3990</v>
      </c>
      <c r="I737" s="20" t="n">
        <f aca="false">'Raw Data'!I737</f>
        <v>36</v>
      </c>
      <c r="J737" s="20" t="str">
        <f aca="false">'Raw Data'!J737</f>
        <v>domestic appliances</v>
      </c>
      <c r="K737" s="21" t="n">
        <f aca="false">H737/I737</f>
        <v>110.833333333333</v>
      </c>
      <c r="L737" s="21" t="n">
        <f aca="false">100-MIN(K737/Assumptions!$B$14,1)*100</f>
        <v>72.2916666666667</v>
      </c>
      <c r="M737" s="21" t="n">
        <f aca="false">VLOOKUP(F737,Assumptions!$A$19:$B$23,2,0)</f>
        <v>40</v>
      </c>
      <c r="N737" s="21" t="n">
        <f aca="false">VLOOKUP(G737,Assumptions!$A$27:$B$30,2,0)</f>
        <v>60</v>
      </c>
      <c r="O737" s="21" t="n">
        <f aca="false">VLOOKUP(D737,Assumptions!$A$34:$B$37,2,0)</f>
        <v>0</v>
      </c>
      <c r="P737" s="21" t="n">
        <f aca="false">VLOOKUP(E737,Assumptions!$A$41:$B$43,2,0)</f>
        <v>100</v>
      </c>
      <c r="Q737" s="22" t="n">
        <f aca="false">L737*Assumptions!$B$7+M737*Assumptions!$B$8+N737*Assumptions!$B$9+O737*Assumptions!$B$10+P737*Assumptions!$B$11</f>
        <v>53.6875</v>
      </c>
      <c r="R737" s="11" t="str">
        <f aca="false">IF(Q737&lt;=33,"High Risk",IF(Q737&lt;=66,"Medium Risk","Low Risk"))</f>
        <v>Medium Risk</v>
      </c>
    </row>
    <row r="738" customFormat="false" ht="15" hidden="false" customHeight="true" outlineLevel="0" collapsed="false">
      <c r="A738" s="20" t="n">
        <f aca="false">'Raw Data'!A738</f>
        <v>737</v>
      </c>
      <c r="B738" s="20" t="n">
        <f aca="false">'Raw Data'!B738</f>
        <v>23</v>
      </c>
      <c r="C738" s="20" t="str">
        <f aca="false">'Raw Data'!C738</f>
        <v>female</v>
      </c>
      <c r="D738" s="20" t="n">
        <f aca="false">'Raw Data'!D738</f>
        <v>3</v>
      </c>
      <c r="E738" s="20" t="str">
        <f aca="false">'Raw Data'!E738</f>
        <v>rent</v>
      </c>
      <c r="F738" s="20" t="str">
        <f aca="false">'Raw Data'!F738</f>
        <v>little</v>
      </c>
      <c r="G738" s="20" t="str">
        <f aca="false">'Raw Data'!G738</f>
        <v>moderate</v>
      </c>
      <c r="H738" s="20" t="n">
        <f aca="false">'Raw Data'!H738</f>
        <v>11560</v>
      </c>
      <c r="I738" s="20" t="n">
        <f aca="false">'Raw Data'!I738</f>
        <v>24</v>
      </c>
      <c r="J738" s="20" t="str">
        <f aca="false">'Raw Data'!J738</f>
        <v>car</v>
      </c>
      <c r="K738" s="21" t="n">
        <f aca="false">H738/I738</f>
        <v>481.666666666667</v>
      </c>
      <c r="L738" s="21" t="n">
        <f aca="false">100-MIN(K738/Assumptions!$B$14,1)*100</f>
        <v>0</v>
      </c>
      <c r="M738" s="21" t="n">
        <f aca="false">VLOOKUP(F738,Assumptions!$A$19:$B$23,2,0)</f>
        <v>25</v>
      </c>
      <c r="N738" s="21" t="n">
        <f aca="false">VLOOKUP(G738,Assumptions!$A$27:$B$30,2,0)</f>
        <v>60</v>
      </c>
      <c r="O738" s="21" t="n">
        <f aca="false">VLOOKUP(D738,Assumptions!$A$34:$B$37,2,0)</f>
        <v>100</v>
      </c>
      <c r="P738" s="21" t="n">
        <f aca="false">VLOOKUP(E738,Assumptions!$A$41:$B$43,2,0)</f>
        <v>30</v>
      </c>
      <c r="Q738" s="22" t="n">
        <f aca="false">L738*Assumptions!$B$7+M738*Assumptions!$B$8+N738*Assumptions!$B$9+O738*Assumptions!$B$10+P738*Assumptions!$B$11</f>
        <v>36.25</v>
      </c>
      <c r="R738" s="11" t="str">
        <f aca="false">IF(Q738&lt;=33,"High Risk",IF(Q738&lt;=66,"Medium Risk","Low Risk"))</f>
        <v>Medium Risk</v>
      </c>
    </row>
    <row r="739" customFormat="false" ht="15" hidden="false" customHeight="true" outlineLevel="0" collapsed="false">
      <c r="A739" s="20" t="n">
        <f aca="false">'Raw Data'!A739</f>
        <v>738</v>
      </c>
      <c r="B739" s="20" t="n">
        <f aca="false">'Raw Data'!B739</f>
        <v>35</v>
      </c>
      <c r="C739" s="20" t="str">
        <f aca="false">'Raw Data'!C739</f>
        <v>male</v>
      </c>
      <c r="D739" s="20" t="n">
        <f aca="false">'Raw Data'!D739</f>
        <v>1</v>
      </c>
      <c r="E739" s="20" t="str">
        <f aca="false">'Raw Data'!E739</f>
        <v>own</v>
      </c>
      <c r="F739" s="20" t="str">
        <f aca="false">'Raw Data'!F739</f>
        <v>moderate</v>
      </c>
      <c r="G739" s="20" t="str">
        <f aca="false">'Raw Data'!G739</f>
        <v>little</v>
      </c>
      <c r="H739" s="20" t="n">
        <f aca="false">'Raw Data'!H739</f>
        <v>4380</v>
      </c>
      <c r="I739" s="20" t="n">
        <f aca="false">'Raw Data'!I739</f>
        <v>18</v>
      </c>
      <c r="J739" s="20" t="str">
        <f aca="false">'Raw Data'!J739</f>
        <v>car</v>
      </c>
      <c r="K739" s="21" t="n">
        <f aca="false">H739/I739</f>
        <v>243.333333333333</v>
      </c>
      <c r="L739" s="21" t="n">
        <f aca="false">100-MIN(K739/Assumptions!$B$14,1)*100</f>
        <v>39.1666666666667</v>
      </c>
      <c r="M739" s="21" t="n">
        <f aca="false">VLOOKUP(F739,Assumptions!$A$19:$B$23,2,0)</f>
        <v>50</v>
      </c>
      <c r="N739" s="21" t="n">
        <f aca="false">VLOOKUP(G739,Assumptions!$A$27:$B$30,2,0)</f>
        <v>25</v>
      </c>
      <c r="O739" s="21" t="n">
        <f aca="false">VLOOKUP(D739,Assumptions!$A$34:$B$37,2,0)</f>
        <v>33</v>
      </c>
      <c r="P739" s="21" t="n">
        <f aca="false">VLOOKUP(E739,Assumptions!$A$41:$B$43,2,0)</f>
        <v>100</v>
      </c>
      <c r="Q739" s="22" t="n">
        <f aca="false">L739*Assumptions!$B$7+M739*Assumptions!$B$8+N739*Assumptions!$B$9+O739*Assumptions!$B$10+P739*Assumptions!$B$11</f>
        <v>44.2</v>
      </c>
      <c r="R739" s="11" t="str">
        <f aca="false">IF(Q739&lt;=33,"High Risk",IF(Q739&lt;=66,"Medium Risk","Low Risk"))</f>
        <v>Medium Risk</v>
      </c>
    </row>
    <row r="740" customFormat="false" ht="15" hidden="false" customHeight="true" outlineLevel="0" collapsed="false">
      <c r="A740" s="20" t="n">
        <f aca="false">'Raw Data'!A740</f>
        <v>739</v>
      </c>
      <c r="B740" s="20" t="n">
        <f aca="false">'Raw Data'!B740</f>
        <v>45</v>
      </c>
      <c r="C740" s="20" t="str">
        <f aca="false">'Raw Data'!C740</f>
        <v>male</v>
      </c>
      <c r="D740" s="20" t="n">
        <f aca="false">'Raw Data'!D740</f>
        <v>3</v>
      </c>
      <c r="E740" s="20" t="str">
        <f aca="false">'Raw Data'!E740</f>
        <v>own</v>
      </c>
      <c r="F740" s="20" t="str">
        <f aca="false">'Raw Data'!F740</f>
        <v>little</v>
      </c>
      <c r="G740" s="20" t="str">
        <f aca="false">'Raw Data'!G740</f>
        <v>none</v>
      </c>
      <c r="H740" s="20" t="n">
        <f aca="false">'Raw Data'!H740</f>
        <v>6761</v>
      </c>
      <c r="I740" s="20" t="n">
        <f aca="false">'Raw Data'!I740</f>
        <v>6</v>
      </c>
      <c r="J740" s="20" t="str">
        <f aca="false">'Raw Data'!J740</f>
        <v>car</v>
      </c>
      <c r="K740" s="21" t="n">
        <f aca="false">H740/I740</f>
        <v>1126.83333333333</v>
      </c>
      <c r="L740" s="21" t="n">
        <f aca="false">100-MIN(K740/Assumptions!$B$14,1)*100</f>
        <v>0</v>
      </c>
      <c r="M740" s="21" t="n">
        <f aca="false">VLOOKUP(F740,Assumptions!$A$19:$B$23,2,0)</f>
        <v>25</v>
      </c>
      <c r="N740" s="21" t="n">
        <f aca="false">VLOOKUP(G740,Assumptions!$A$27:$B$30,2,0)</f>
        <v>50</v>
      </c>
      <c r="O740" s="21" t="n">
        <f aca="false">VLOOKUP(D740,Assumptions!$A$34:$B$37,2,0)</f>
        <v>100</v>
      </c>
      <c r="P740" s="21" t="n">
        <f aca="false">VLOOKUP(E740,Assumptions!$A$41:$B$43,2,0)</f>
        <v>100</v>
      </c>
      <c r="Q740" s="22" t="n">
        <f aca="false">L740*Assumptions!$B$7+M740*Assumptions!$B$8+N740*Assumptions!$B$9+O740*Assumptions!$B$10+P740*Assumptions!$B$11</f>
        <v>41.25</v>
      </c>
      <c r="R740" s="11" t="str">
        <f aca="false">IF(Q740&lt;=33,"High Risk",IF(Q740&lt;=66,"Medium Risk","Low Risk"))</f>
        <v>Medium Risk</v>
      </c>
    </row>
    <row r="741" customFormat="false" ht="15" hidden="false" customHeight="true" outlineLevel="0" collapsed="false">
      <c r="A741" s="20" t="n">
        <f aca="false">'Raw Data'!A741</f>
        <v>740</v>
      </c>
      <c r="B741" s="20" t="n">
        <f aca="false">'Raw Data'!B741</f>
        <v>26</v>
      </c>
      <c r="C741" s="20" t="str">
        <f aca="false">'Raw Data'!C741</f>
        <v>female</v>
      </c>
      <c r="D741" s="20" t="n">
        <f aca="false">'Raw Data'!D741</f>
        <v>1</v>
      </c>
      <c r="E741" s="20" t="str">
        <f aca="false">'Raw Data'!E741</f>
        <v>rent</v>
      </c>
      <c r="F741" s="20" t="str">
        <f aca="false">'Raw Data'!F741</f>
        <v>moderate</v>
      </c>
      <c r="G741" s="20" t="str">
        <f aca="false">'Raw Data'!G741</f>
        <v>moderate</v>
      </c>
      <c r="H741" s="20" t="n">
        <f aca="false">'Raw Data'!H741</f>
        <v>4280</v>
      </c>
      <c r="I741" s="20" t="n">
        <f aca="false">'Raw Data'!I741</f>
        <v>30</v>
      </c>
      <c r="J741" s="20" t="str">
        <f aca="false">'Raw Data'!J741</f>
        <v>business</v>
      </c>
      <c r="K741" s="21" t="n">
        <f aca="false">H741/I741</f>
        <v>142.666666666667</v>
      </c>
      <c r="L741" s="21" t="n">
        <f aca="false">100-MIN(K741/Assumptions!$B$14,1)*100</f>
        <v>64.3333333333333</v>
      </c>
      <c r="M741" s="21" t="n">
        <f aca="false">VLOOKUP(F741,Assumptions!$A$19:$B$23,2,0)</f>
        <v>50</v>
      </c>
      <c r="N741" s="21" t="n">
        <f aca="false">VLOOKUP(G741,Assumptions!$A$27:$B$30,2,0)</f>
        <v>60</v>
      </c>
      <c r="O741" s="21" t="n">
        <f aca="false">VLOOKUP(D741,Assumptions!$A$34:$B$37,2,0)</f>
        <v>33</v>
      </c>
      <c r="P741" s="21" t="n">
        <f aca="false">VLOOKUP(E741,Assumptions!$A$41:$B$43,2,0)</f>
        <v>30</v>
      </c>
      <c r="Q741" s="22" t="n">
        <f aca="false">L741*Assumptions!$B$7+M741*Assumptions!$B$8+N741*Assumptions!$B$9+O741*Assumptions!$B$10+P741*Assumptions!$B$11</f>
        <v>51.75</v>
      </c>
      <c r="R741" s="11" t="str">
        <f aca="false">IF(Q741&lt;=33,"High Risk",IF(Q741&lt;=66,"Medium Risk","Low Risk"))</f>
        <v>Medium Risk</v>
      </c>
    </row>
    <row r="742" customFormat="false" ht="15" hidden="false" customHeight="true" outlineLevel="0" collapsed="false">
      <c r="A742" s="20" t="n">
        <f aca="false">'Raw Data'!A742</f>
        <v>741</v>
      </c>
      <c r="B742" s="20" t="n">
        <f aca="false">'Raw Data'!B742</f>
        <v>32</v>
      </c>
      <c r="C742" s="20" t="str">
        <f aca="false">'Raw Data'!C742</f>
        <v>male</v>
      </c>
      <c r="D742" s="20" t="n">
        <f aca="false">'Raw Data'!D742</f>
        <v>2</v>
      </c>
      <c r="E742" s="20" t="str">
        <f aca="false">'Raw Data'!E742</f>
        <v>own</v>
      </c>
      <c r="F742" s="20" t="str">
        <f aca="false">'Raw Data'!F742</f>
        <v>moderate</v>
      </c>
      <c r="G742" s="20" t="str">
        <f aca="false">'Raw Data'!G742</f>
        <v>little</v>
      </c>
      <c r="H742" s="20" t="n">
        <f aca="false">'Raw Data'!H742</f>
        <v>2325</v>
      </c>
      <c r="I742" s="20" t="n">
        <f aca="false">'Raw Data'!I742</f>
        <v>24</v>
      </c>
      <c r="J742" s="20" t="str">
        <f aca="false">'Raw Data'!J742</f>
        <v>car</v>
      </c>
      <c r="K742" s="21" t="n">
        <f aca="false">H742/I742</f>
        <v>96.875</v>
      </c>
      <c r="L742" s="21" t="n">
        <f aca="false">100-MIN(K742/Assumptions!$B$14,1)*100</f>
        <v>75.78125</v>
      </c>
      <c r="M742" s="21" t="n">
        <f aca="false">VLOOKUP(F742,Assumptions!$A$19:$B$23,2,0)</f>
        <v>50</v>
      </c>
      <c r="N742" s="21" t="n">
        <f aca="false">VLOOKUP(G742,Assumptions!$A$27:$B$30,2,0)</f>
        <v>25</v>
      </c>
      <c r="O742" s="21" t="n">
        <f aca="false">VLOOKUP(D742,Assumptions!$A$34:$B$37,2,0)</f>
        <v>66</v>
      </c>
      <c r="P742" s="21" t="n">
        <f aca="false">VLOOKUP(E742,Assumptions!$A$41:$B$43,2,0)</f>
        <v>100</v>
      </c>
      <c r="Q742" s="22" t="n">
        <f aca="false">L742*Assumptions!$B$7+M742*Assumptions!$B$8+N742*Assumptions!$B$9+O742*Assumptions!$B$10+P742*Assumptions!$B$11</f>
        <v>60.134375</v>
      </c>
      <c r="R742" s="11" t="str">
        <f aca="false">IF(Q742&lt;=33,"High Risk",IF(Q742&lt;=66,"Medium Risk","Low Risk"))</f>
        <v>Medium Risk</v>
      </c>
    </row>
    <row r="743" customFormat="false" ht="15" hidden="false" customHeight="true" outlineLevel="0" collapsed="false">
      <c r="A743" s="20" t="n">
        <f aca="false">'Raw Data'!A743</f>
        <v>742</v>
      </c>
      <c r="B743" s="20" t="n">
        <f aca="false">'Raw Data'!B743</f>
        <v>23</v>
      </c>
      <c r="C743" s="20" t="str">
        <f aca="false">'Raw Data'!C743</f>
        <v>male</v>
      </c>
      <c r="D743" s="20" t="n">
        <f aca="false">'Raw Data'!D743</f>
        <v>1</v>
      </c>
      <c r="E743" s="20" t="str">
        <f aca="false">'Raw Data'!E743</f>
        <v>own</v>
      </c>
      <c r="F743" s="20" t="str">
        <f aca="false">'Raw Data'!F743</f>
        <v>little</v>
      </c>
      <c r="G743" s="20" t="str">
        <f aca="false">'Raw Data'!G743</f>
        <v>moderate</v>
      </c>
      <c r="H743" s="20" t="n">
        <f aca="false">'Raw Data'!H743</f>
        <v>1048</v>
      </c>
      <c r="I743" s="20" t="n">
        <f aca="false">'Raw Data'!I743</f>
        <v>10</v>
      </c>
      <c r="J743" s="20" t="str">
        <f aca="false">'Raw Data'!J743</f>
        <v>radio/TV</v>
      </c>
      <c r="K743" s="21" t="n">
        <f aca="false">H743/I743</f>
        <v>104.8</v>
      </c>
      <c r="L743" s="21" t="n">
        <f aca="false">100-MIN(K743/Assumptions!$B$14,1)*100</f>
        <v>73.8</v>
      </c>
      <c r="M743" s="21" t="n">
        <f aca="false">VLOOKUP(F743,Assumptions!$A$19:$B$23,2,0)</f>
        <v>25</v>
      </c>
      <c r="N743" s="21" t="n">
        <f aca="false">VLOOKUP(G743,Assumptions!$A$27:$B$30,2,0)</f>
        <v>60</v>
      </c>
      <c r="O743" s="21" t="n">
        <f aca="false">VLOOKUP(D743,Assumptions!$A$34:$B$37,2,0)</f>
        <v>33</v>
      </c>
      <c r="P743" s="21" t="n">
        <f aca="false">VLOOKUP(E743,Assumptions!$A$41:$B$43,2,0)</f>
        <v>100</v>
      </c>
      <c r="Q743" s="22" t="n">
        <f aca="false">L743*Assumptions!$B$7+M743*Assumptions!$B$8+N743*Assumptions!$B$9+O743*Assumptions!$B$10+P743*Assumptions!$B$11</f>
        <v>55.34</v>
      </c>
      <c r="R743" s="11" t="str">
        <f aca="false">IF(Q743&lt;=33,"High Risk",IF(Q743&lt;=66,"Medium Risk","Low Risk"))</f>
        <v>Medium Risk</v>
      </c>
    </row>
    <row r="744" customFormat="false" ht="15" hidden="false" customHeight="true" outlineLevel="0" collapsed="false">
      <c r="A744" s="20" t="n">
        <f aca="false">'Raw Data'!A744</f>
        <v>743</v>
      </c>
      <c r="B744" s="20" t="n">
        <f aca="false">'Raw Data'!B744</f>
        <v>41</v>
      </c>
      <c r="C744" s="20" t="str">
        <f aca="false">'Raw Data'!C744</f>
        <v>male</v>
      </c>
      <c r="D744" s="20" t="n">
        <f aca="false">'Raw Data'!D744</f>
        <v>2</v>
      </c>
      <c r="E744" s="20" t="str">
        <f aca="false">'Raw Data'!E744</f>
        <v>own</v>
      </c>
      <c r="F744" s="20" t="str">
        <f aca="false">'Raw Data'!F744</f>
        <v>none</v>
      </c>
      <c r="G744" s="20" t="str">
        <f aca="false">'Raw Data'!G744</f>
        <v>none</v>
      </c>
      <c r="H744" s="20" t="n">
        <f aca="false">'Raw Data'!H744</f>
        <v>3160</v>
      </c>
      <c r="I744" s="20" t="n">
        <f aca="false">'Raw Data'!I744</f>
        <v>21</v>
      </c>
      <c r="J744" s="20" t="str">
        <f aca="false">'Raw Data'!J744</f>
        <v>radio/TV</v>
      </c>
      <c r="K744" s="21" t="n">
        <f aca="false">H744/I744</f>
        <v>150.47619047619</v>
      </c>
      <c r="L744" s="21" t="n">
        <f aca="false">100-MIN(K744/Assumptions!$B$14,1)*100</f>
        <v>62.3809523809524</v>
      </c>
      <c r="M744" s="21" t="n">
        <f aca="false">VLOOKUP(F744,Assumptions!$A$19:$B$23,2,0)</f>
        <v>40</v>
      </c>
      <c r="N744" s="21" t="n">
        <f aca="false">VLOOKUP(G744,Assumptions!$A$27:$B$30,2,0)</f>
        <v>50</v>
      </c>
      <c r="O744" s="21" t="n">
        <f aca="false">VLOOKUP(D744,Assumptions!$A$34:$B$37,2,0)</f>
        <v>66</v>
      </c>
      <c r="P744" s="21" t="n">
        <f aca="false">VLOOKUP(E744,Assumptions!$A$41:$B$43,2,0)</f>
        <v>100</v>
      </c>
      <c r="Q744" s="22" t="n">
        <f aca="false">L744*Assumptions!$B$7+M744*Assumptions!$B$8+N744*Assumptions!$B$9+O744*Assumptions!$B$10+P744*Assumptions!$B$11</f>
        <v>58.6142857142857</v>
      </c>
      <c r="R744" s="11" t="str">
        <f aca="false">IF(Q744&lt;=33,"High Risk",IF(Q744&lt;=66,"Medium Risk","Low Risk"))</f>
        <v>Medium Risk</v>
      </c>
    </row>
    <row r="745" customFormat="false" ht="15" hidden="false" customHeight="true" outlineLevel="0" collapsed="false">
      <c r="A745" s="20" t="n">
        <f aca="false">'Raw Data'!A745</f>
        <v>744</v>
      </c>
      <c r="B745" s="20" t="n">
        <f aca="false">'Raw Data'!B745</f>
        <v>22</v>
      </c>
      <c r="C745" s="20" t="str">
        <f aca="false">'Raw Data'!C745</f>
        <v>male</v>
      </c>
      <c r="D745" s="20" t="n">
        <f aca="false">'Raw Data'!D745</f>
        <v>2</v>
      </c>
      <c r="E745" s="20" t="str">
        <f aca="false">'Raw Data'!E745</f>
        <v>own</v>
      </c>
      <c r="F745" s="20" t="str">
        <f aca="false">'Raw Data'!F745</f>
        <v>quite rich</v>
      </c>
      <c r="G745" s="20" t="str">
        <f aca="false">'Raw Data'!G745</f>
        <v>little</v>
      </c>
      <c r="H745" s="20" t="n">
        <f aca="false">'Raw Data'!H745</f>
        <v>2483</v>
      </c>
      <c r="I745" s="20" t="n">
        <f aca="false">'Raw Data'!I745</f>
        <v>24</v>
      </c>
      <c r="J745" s="20" t="str">
        <f aca="false">'Raw Data'!J745</f>
        <v>furniture/equipment</v>
      </c>
      <c r="K745" s="21" t="n">
        <f aca="false">H745/I745</f>
        <v>103.458333333333</v>
      </c>
      <c r="L745" s="21" t="n">
        <f aca="false">100-MIN(K745/Assumptions!$B$14,1)*100</f>
        <v>74.1354166666667</v>
      </c>
      <c r="M745" s="21" t="n">
        <f aca="false">VLOOKUP(F745,Assumptions!$A$19:$B$23,2,0)</f>
        <v>75</v>
      </c>
      <c r="N745" s="21" t="n">
        <f aca="false">VLOOKUP(G745,Assumptions!$A$27:$B$30,2,0)</f>
        <v>25</v>
      </c>
      <c r="O745" s="21" t="n">
        <f aca="false">VLOOKUP(D745,Assumptions!$A$34:$B$37,2,0)</f>
        <v>66</v>
      </c>
      <c r="P745" s="21" t="n">
        <f aca="false">VLOOKUP(E745,Assumptions!$A$41:$B$43,2,0)</f>
        <v>100</v>
      </c>
      <c r="Q745" s="22" t="n">
        <f aca="false">L745*Assumptions!$B$7+M745*Assumptions!$B$8+N745*Assumptions!$B$9+O745*Assumptions!$B$10+P745*Assumptions!$B$11</f>
        <v>65.890625</v>
      </c>
      <c r="R745" s="11" t="str">
        <f aca="false">IF(Q745&lt;=33,"High Risk",IF(Q745&lt;=66,"Medium Risk","Low Risk"))</f>
        <v>Medium Risk</v>
      </c>
    </row>
    <row r="746" customFormat="false" ht="15" hidden="false" customHeight="true" outlineLevel="0" collapsed="false">
      <c r="A746" s="20" t="n">
        <f aca="false">'Raw Data'!A746</f>
        <v>745</v>
      </c>
      <c r="B746" s="20" t="n">
        <f aca="false">'Raw Data'!B746</f>
        <v>30</v>
      </c>
      <c r="C746" s="20" t="str">
        <f aca="false">'Raw Data'!C746</f>
        <v>male</v>
      </c>
      <c r="D746" s="20" t="n">
        <f aca="false">'Raw Data'!D746</f>
        <v>3</v>
      </c>
      <c r="E746" s="20" t="str">
        <f aca="false">'Raw Data'!E746</f>
        <v>own</v>
      </c>
      <c r="F746" s="20" t="str">
        <f aca="false">'Raw Data'!F746</f>
        <v>none</v>
      </c>
      <c r="G746" s="20" t="str">
        <f aca="false">'Raw Data'!G746</f>
        <v>little</v>
      </c>
      <c r="H746" s="20" t="n">
        <f aca="false">'Raw Data'!H746</f>
        <v>14179</v>
      </c>
      <c r="I746" s="20" t="n">
        <f aca="false">'Raw Data'!I746</f>
        <v>39</v>
      </c>
      <c r="J746" s="20" t="str">
        <f aca="false">'Raw Data'!J746</f>
        <v>furniture/equipment</v>
      </c>
      <c r="K746" s="21" t="n">
        <f aca="false">H746/I746</f>
        <v>363.564102564103</v>
      </c>
      <c r="L746" s="21" t="n">
        <f aca="false">100-MIN(K746/Assumptions!$B$14,1)*100</f>
        <v>9.10897435897437</v>
      </c>
      <c r="M746" s="21" t="n">
        <f aca="false">VLOOKUP(F746,Assumptions!$A$19:$B$23,2,0)</f>
        <v>40</v>
      </c>
      <c r="N746" s="21" t="n">
        <f aca="false">VLOOKUP(G746,Assumptions!$A$27:$B$30,2,0)</f>
        <v>25</v>
      </c>
      <c r="O746" s="21" t="n">
        <f aca="false">VLOOKUP(D746,Assumptions!$A$34:$B$37,2,0)</f>
        <v>100</v>
      </c>
      <c r="P746" s="21" t="n">
        <f aca="false">VLOOKUP(E746,Assumptions!$A$41:$B$43,2,0)</f>
        <v>100</v>
      </c>
      <c r="Q746" s="22" t="n">
        <f aca="false">L746*Assumptions!$B$7+M746*Assumptions!$B$8+N746*Assumptions!$B$9+O746*Assumptions!$B$10+P746*Assumptions!$B$11</f>
        <v>42.7326923076923</v>
      </c>
      <c r="R746" s="11" t="str">
        <f aca="false">IF(Q746&lt;=33,"High Risk",IF(Q746&lt;=66,"Medium Risk","Low Risk"))</f>
        <v>Medium Risk</v>
      </c>
    </row>
    <row r="747" customFormat="false" ht="15" hidden="false" customHeight="true" outlineLevel="0" collapsed="false">
      <c r="A747" s="20" t="n">
        <f aca="false">'Raw Data'!A747</f>
        <v>746</v>
      </c>
      <c r="B747" s="20" t="n">
        <f aca="false">'Raw Data'!B747</f>
        <v>28</v>
      </c>
      <c r="C747" s="20" t="str">
        <f aca="false">'Raw Data'!C747</f>
        <v>male</v>
      </c>
      <c r="D747" s="20" t="n">
        <f aca="false">'Raw Data'!D747</f>
        <v>1</v>
      </c>
      <c r="E747" s="20" t="str">
        <f aca="false">'Raw Data'!E747</f>
        <v>own</v>
      </c>
      <c r="F747" s="20" t="str">
        <f aca="false">'Raw Data'!F747</f>
        <v>little</v>
      </c>
      <c r="G747" s="20" t="str">
        <f aca="false">'Raw Data'!G747</f>
        <v>little</v>
      </c>
      <c r="H747" s="20" t="n">
        <f aca="false">'Raw Data'!H747</f>
        <v>1797</v>
      </c>
      <c r="I747" s="20" t="n">
        <f aca="false">'Raw Data'!I747</f>
        <v>13</v>
      </c>
      <c r="J747" s="20" t="str">
        <f aca="false">'Raw Data'!J747</f>
        <v>business</v>
      </c>
      <c r="K747" s="21" t="n">
        <f aca="false">H747/I747</f>
        <v>138.230769230769</v>
      </c>
      <c r="L747" s="21" t="n">
        <f aca="false">100-MIN(K747/Assumptions!$B$14,1)*100</f>
        <v>65.4423076923077</v>
      </c>
      <c r="M747" s="21" t="n">
        <f aca="false">VLOOKUP(F747,Assumptions!$A$19:$B$23,2,0)</f>
        <v>25</v>
      </c>
      <c r="N747" s="21" t="n">
        <f aca="false">VLOOKUP(G747,Assumptions!$A$27:$B$30,2,0)</f>
        <v>25</v>
      </c>
      <c r="O747" s="21" t="n">
        <f aca="false">VLOOKUP(D747,Assumptions!$A$34:$B$37,2,0)</f>
        <v>33</v>
      </c>
      <c r="P747" s="21" t="n">
        <f aca="false">VLOOKUP(E747,Assumptions!$A$41:$B$43,2,0)</f>
        <v>100</v>
      </c>
      <c r="Q747" s="22" t="n">
        <f aca="false">L747*Assumptions!$B$7+M747*Assumptions!$B$8+N747*Assumptions!$B$9+O747*Assumptions!$B$10+P747*Assumptions!$B$11</f>
        <v>45.8326923076923</v>
      </c>
      <c r="R747" s="11" t="str">
        <f aca="false">IF(Q747&lt;=33,"High Risk",IF(Q747&lt;=66,"Medium Risk","Low Risk"))</f>
        <v>Medium Risk</v>
      </c>
    </row>
    <row r="748" customFormat="false" ht="15" hidden="false" customHeight="true" outlineLevel="0" collapsed="false">
      <c r="A748" s="20" t="n">
        <f aca="false">'Raw Data'!A748</f>
        <v>747</v>
      </c>
      <c r="B748" s="20" t="n">
        <f aca="false">'Raw Data'!B748</f>
        <v>23</v>
      </c>
      <c r="C748" s="20" t="str">
        <f aca="false">'Raw Data'!C748</f>
        <v>female</v>
      </c>
      <c r="D748" s="20" t="n">
        <f aca="false">'Raw Data'!D748</f>
        <v>2</v>
      </c>
      <c r="E748" s="20" t="str">
        <f aca="false">'Raw Data'!E748</f>
        <v>rent</v>
      </c>
      <c r="F748" s="20" t="str">
        <f aca="false">'Raw Data'!F748</f>
        <v>little</v>
      </c>
      <c r="G748" s="20" t="str">
        <f aca="false">'Raw Data'!G748</f>
        <v>little</v>
      </c>
      <c r="H748" s="20" t="n">
        <f aca="false">'Raw Data'!H748</f>
        <v>2511</v>
      </c>
      <c r="I748" s="20" t="n">
        <f aca="false">'Raw Data'!I748</f>
        <v>15</v>
      </c>
      <c r="J748" s="20" t="str">
        <f aca="false">'Raw Data'!J748</f>
        <v>car</v>
      </c>
      <c r="K748" s="21" t="n">
        <f aca="false">H748/I748</f>
        <v>167.4</v>
      </c>
      <c r="L748" s="21" t="n">
        <f aca="false">100-MIN(K748/Assumptions!$B$14,1)*100</f>
        <v>58.15</v>
      </c>
      <c r="M748" s="21" t="n">
        <f aca="false">VLOOKUP(F748,Assumptions!$A$19:$B$23,2,0)</f>
        <v>25</v>
      </c>
      <c r="N748" s="21" t="n">
        <f aca="false">VLOOKUP(G748,Assumptions!$A$27:$B$30,2,0)</f>
        <v>25</v>
      </c>
      <c r="O748" s="21" t="n">
        <f aca="false">VLOOKUP(D748,Assumptions!$A$34:$B$37,2,0)</f>
        <v>66</v>
      </c>
      <c r="P748" s="21" t="n">
        <f aca="false">VLOOKUP(E748,Assumptions!$A$41:$B$43,2,0)</f>
        <v>30</v>
      </c>
      <c r="Q748" s="22" t="n">
        <f aca="false">L748*Assumptions!$B$7+M748*Assumptions!$B$8+N748*Assumptions!$B$9+O748*Assumptions!$B$10+P748*Assumptions!$B$11</f>
        <v>41.595</v>
      </c>
      <c r="R748" s="11" t="str">
        <f aca="false">IF(Q748&lt;=33,"High Risk",IF(Q748&lt;=66,"Medium Risk","Low Risk"))</f>
        <v>Medium Risk</v>
      </c>
    </row>
    <row r="749" customFormat="false" ht="15" hidden="false" customHeight="true" outlineLevel="0" collapsed="false">
      <c r="A749" s="20" t="n">
        <f aca="false">'Raw Data'!A749</f>
        <v>748</v>
      </c>
      <c r="B749" s="20" t="n">
        <f aca="false">'Raw Data'!B749</f>
        <v>37</v>
      </c>
      <c r="C749" s="20" t="str">
        <f aca="false">'Raw Data'!C749</f>
        <v>female</v>
      </c>
      <c r="D749" s="20" t="n">
        <f aca="false">'Raw Data'!D749</f>
        <v>1</v>
      </c>
      <c r="E749" s="20" t="str">
        <f aca="false">'Raw Data'!E749</f>
        <v>own</v>
      </c>
      <c r="F749" s="20" t="str">
        <f aca="false">'Raw Data'!F749</f>
        <v>little</v>
      </c>
      <c r="G749" s="20" t="str">
        <f aca="false">'Raw Data'!G749</f>
        <v>little</v>
      </c>
      <c r="H749" s="20" t="n">
        <f aca="false">'Raw Data'!H749</f>
        <v>1274</v>
      </c>
      <c r="I749" s="20" t="n">
        <f aca="false">'Raw Data'!I749</f>
        <v>12</v>
      </c>
      <c r="J749" s="20" t="str">
        <f aca="false">'Raw Data'!J749</f>
        <v>car</v>
      </c>
      <c r="K749" s="21" t="n">
        <f aca="false">H749/I749</f>
        <v>106.166666666667</v>
      </c>
      <c r="L749" s="21" t="n">
        <f aca="false">100-MIN(K749/Assumptions!$B$14,1)*100</f>
        <v>73.4583333333333</v>
      </c>
      <c r="M749" s="21" t="n">
        <f aca="false">VLOOKUP(F749,Assumptions!$A$19:$B$23,2,0)</f>
        <v>25</v>
      </c>
      <c r="N749" s="21" t="n">
        <f aca="false">VLOOKUP(G749,Assumptions!$A$27:$B$30,2,0)</f>
        <v>25</v>
      </c>
      <c r="O749" s="21" t="n">
        <f aca="false">VLOOKUP(D749,Assumptions!$A$34:$B$37,2,0)</f>
        <v>33</v>
      </c>
      <c r="P749" s="21" t="n">
        <f aca="false">VLOOKUP(E749,Assumptions!$A$41:$B$43,2,0)</f>
        <v>100</v>
      </c>
      <c r="Q749" s="22" t="n">
        <f aca="false">L749*Assumptions!$B$7+M749*Assumptions!$B$8+N749*Assumptions!$B$9+O749*Assumptions!$B$10+P749*Assumptions!$B$11</f>
        <v>48.2375</v>
      </c>
      <c r="R749" s="11" t="str">
        <f aca="false">IF(Q749&lt;=33,"High Risk",IF(Q749&lt;=66,"Medium Risk","Low Risk"))</f>
        <v>Medium Risk</v>
      </c>
    </row>
    <row r="750" customFormat="false" ht="15" hidden="false" customHeight="true" outlineLevel="0" collapsed="false">
      <c r="A750" s="20" t="n">
        <f aca="false">'Raw Data'!A750</f>
        <v>749</v>
      </c>
      <c r="B750" s="20" t="n">
        <f aca="false">'Raw Data'!B750</f>
        <v>26</v>
      </c>
      <c r="C750" s="20" t="str">
        <f aca="false">'Raw Data'!C750</f>
        <v>male</v>
      </c>
      <c r="D750" s="20" t="n">
        <f aca="false">'Raw Data'!D750</f>
        <v>2</v>
      </c>
      <c r="E750" s="20" t="str">
        <f aca="false">'Raw Data'!E750</f>
        <v>own</v>
      </c>
      <c r="F750" s="20" t="str">
        <f aca="false">'Raw Data'!F750</f>
        <v>none</v>
      </c>
      <c r="G750" s="20" t="str">
        <f aca="false">'Raw Data'!G750</f>
        <v>none</v>
      </c>
      <c r="H750" s="20" t="n">
        <f aca="false">'Raw Data'!H750</f>
        <v>5248</v>
      </c>
      <c r="I750" s="20" t="n">
        <f aca="false">'Raw Data'!I750</f>
        <v>21</v>
      </c>
      <c r="J750" s="20" t="str">
        <f aca="false">'Raw Data'!J750</f>
        <v>car</v>
      </c>
      <c r="K750" s="21" t="n">
        <f aca="false">H750/I750</f>
        <v>249.904761904762</v>
      </c>
      <c r="L750" s="21" t="n">
        <f aca="false">100-MIN(K750/Assumptions!$B$14,1)*100</f>
        <v>37.5238095238095</v>
      </c>
      <c r="M750" s="21" t="n">
        <f aca="false">VLOOKUP(F750,Assumptions!$A$19:$B$23,2,0)</f>
        <v>40</v>
      </c>
      <c r="N750" s="21" t="n">
        <f aca="false">VLOOKUP(G750,Assumptions!$A$27:$B$30,2,0)</f>
        <v>50</v>
      </c>
      <c r="O750" s="21" t="n">
        <f aca="false">VLOOKUP(D750,Assumptions!$A$34:$B$37,2,0)</f>
        <v>66</v>
      </c>
      <c r="P750" s="21" t="n">
        <f aca="false">VLOOKUP(E750,Assumptions!$A$41:$B$43,2,0)</f>
        <v>100</v>
      </c>
      <c r="Q750" s="22" t="n">
        <f aca="false">L750*Assumptions!$B$7+M750*Assumptions!$B$8+N750*Assumptions!$B$9+O750*Assumptions!$B$10+P750*Assumptions!$B$11</f>
        <v>51.1571428571429</v>
      </c>
      <c r="R750" s="11" t="str">
        <f aca="false">IF(Q750&lt;=33,"High Risk",IF(Q750&lt;=66,"Medium Risk","Low Risk"))</f>
        <v>Medium Risk</v>
      </c>
    </row>
    <row r="751" customFormat="false" ht="15" hidden="false" customHeight="true" outlineLevel="0" collapsed="false">
      <c r="A751" s="20" t="n">
        <f aca="false">'Raw Data'!A751</f>
        <v>750</v>
      </c>
      <c r="B751" s="20" t="n">
        <f aca="false">'Raw Data'!B751</f>
        <v>33</v>
      </c>
      <c r="C751" s="20" t="str">
        <f aca="false">'Raw Data'!C751</f>
        <v>male</v>
      </c>
      <c r="D751" s="20" t="n">
        <f aca="false">'Raw Data'!D751</f>
        <v>2</v>
      </c>
      <c r="E751" s="20" t="str">
        <f aca="false">'Raw Data'!E751</f>
        <v>own</v>
      </c>
      <c r="F751" s="20" t="str">
        <f aca="false">'Raw Data'!F751</f>
        <v>little</v>
      </c>
      <c r="G751" s="20" t="str">
        <f aca="false">'Raw Data'!G751</f>
        <v>none</v>
      </c>
      <c r="H751" s="20" t="n">
        <f aca="false">'Raw Data'!H751</f>
        <v>3029</v>
      </c>
      <c r="I751" s="20" t="n">
        <f aca="false">'Raw Data'!I751</f>
        <v>15</v>
      </c>
      <c r="J751" s="20" t="str">
        <f aca="false">'Raw Data'!J751</f>
        <v>car</v>
      </c>
      <c r="K751" s="21" t="n">
        <f aca="false">H751/I751</f>
        <v>201.933333333333</v>
      </c>
      <c r="L751" s="21" t="n">
        <f aca="false">100-MIN(K751/Assumptions!$B$14,1)*100</f>
        <v>49.5166666666667</v>
      </c>
      <c r="M751" s="21" t="n">
        <f aca="false">VLOOKUP(F751,Assumptions!$A$19:$B$23,2,0)</f>
        <v>25</v>
      </c>
      <c r="N751" s="21" t="n">
        <f aca="false">VLOOKUP(G751,Assumptions!$A$27:$B$30,2,0)</f>
        <v>50</v>
      </c>
      <c r="O751" s="21" t="n">
        <f aca="false">VLOOKUP(D751,Assumptions!$A$34:$B$37,2,0)</f>
        <v>66</v>
      </c>
      <c r="P751" s="21" t="n">
        <f aca="false">VLOOKUP(E751,Assumptions!$A$41:$B$43,2,0)</f>
        <v>100</v>
      </c>
      <c r="Q751" s="22" t="n">
        <f aca="false">L751*Assumptions!$B$7+M751*Assumptions!$B$8+N751*Assumptions!$B$9+O751*Assumptions!$B$10+P751*Assumptions!$B$11</f>
        <v>51.005</v>
      </c>
      <c r="R751" s="11" t="str">
        <f aca="false">IF(Q751&lt;=33,"High Risk",IF(Q751&lt;=66,"Medium Risk","Low Risk"))</f>
        <v>Medium Risk</v>
      </c>
    </row>
    <row r="752" customFormat="false" ht="15" hidden="false" customHeight="true" outlineLevel="0" collapsed="false">
      <c r="A752" s="20" t="n">
        <f aca="false">'Raw Data'!A752</f>
        <v>751</v>
      </c>
      <c r="B752" s="20" t="n">
        <f aca="false">'Raw Data'!B752</f>
        <v>49</v>
      </c>
      <c r="C752" s="20" t="str">
        <f aca="false">'Raw Data'!C752</f>
        <v>female</v>
      </c>
      <c r="D752" s="20" t="n">
        <f aca="false">'Raw Data'!D752</f>
        <v>2</v>
      </c>
      <c r="E752" s="20" t="str">
        <f aca="false">'Raw Data'!E752</f>
        <v>own</v>
      </c>
      <c r="F752" s="20" t="str">
        <f aca="false">'Raw Data'!F752</f>
        <v>little</v>
      </c>
      <c r="G752" s="20" t="str">
        <f aca="false">'Raw Data'!G752</f>
        <v>little</v>
      </c>
      <c r="H752" s="20" t="n">
        <f aca="false">'Raw Data'!H752</f>
        <v>428</v>
      </c>
      <c r="I752" s="20" t="n">
        <f aca="false">'Raw Data'!I752</f>
        <v>6</v>
      </c>
      <c r="J752" s="20" t="str">
        <f aca="false">'Raw Data'!J752</f>
        <v>furniture/equipment</v>
      </c>
      <c r="K752" s="21" t="n">
        <f aca="false">H752/I752</f>
        <v>71.3333333333333</v>
      </c>
      <c r="L752" s="21" t="n">
        <f aca="false">100-MIN(K752/Assumptions!$B$14,1)*100</f>
        <v>82.1666666666667</v>
      </c>
      <c r="M752" s="21" t="n">
        <f aca="false">VLOOKUP(F752,Assumptions!$A$19:$B$23,2,0)</f>
        <v>25</v>
      </c>
      <c r="N752" s="21" t="n">
        <f aca="false">VLOOKUP(G752,Assumptions!$A$27:$B$30,2,0)</f>
        <v>25</v>
      </c>
      <c r="O752" s="21" t="n">
        <f aca="false">VLOOKUP(D752,Assumptions!$A$34:$B$37,2,0)</f>
        <v>66</v>
      </c>
      <c r="P752" s="21" t="n">
        <f aca="false">VLOOKUP(E752,Assumptions!$A$41:$B$43,2,0)</f>
        <v>100</v>
      </c>
      <c r="Q752" s="22" t="n">
        <f aca="false">L752*Assumptions!$B$7+M752*Assumptions!$B$8+N752*Assumptions!$B$9+O752*Assumptions!$B$10+P752*Assumptions!$B$11</f>
        <v>55.8</v>
      </c>
      <c r="R752" s="11" t="str">
        <f aca="false">IF(Q752&lt;=33,"High Risk",IF(Q752&lt;=66,"Medium Risk","Low Risk"))</f>
        <v>Medium Risk</v>
      </c>
    </row>
    <row r="753" customFormat="false" ht="15" hidden="false" customHeight="true" outlineLevel="0" collapsed="false">
      <c r="A753" s="20" t="n">
        <f aca="false">'Raw Data'!A753</f>
        <v>752</v>
      </c>
      <c r="B753" s="20" t="n">
        <f aca="false">'Raw Data'!B753</f>
        <v>23</v>
      </c>
      <c r="C753" s="20" t="str">
        <f aca="false">'Raw Data'!C753</f>
        <v>female</v>
      </c>
      <c r="D753" s="20" t="n">
        <f aca="false">'Raw Data'!D753</f>
        <v>1</v>
      </c>
      <c r="E753" s="20" t="str">
        <f aca="false">'Raw Data'!E753</f>
        <v>own</v>
      </c>
      <c r="F753" s="20" t="str">
        <f aca="false">'Raw Data'!F753</f>
        <v>little</v>
      </c>
      <c r="G753" s="20" t="str">
        <f aca="false">'Raw Data'!G753</f>
        <v>little</v>
      </c>
      <c r="H753" s="20" t="n">
        <f aca="false">'Raw Data'!H753</f>
        <v>976</v>
      </c>
      <c r="I753" s="20" t="n">
        <f aca="false">'Raw Data'!I753</f>
        <v>18</v>
      </c>
      <c r="J753" s="20" t="str">
        <f aca="false">'Raw Data'!J753</f>
        <v>car</v>
      </c>
      <c r="K753" s="21" t="n">
        <f aca="false">H753/I753</f>
        <v>54.2222222222222</v>
      </c>
      <c r="L753" s="21" t="n">
        <f aca="false">100-MIN(K753/Assumptions!$B$14,1)*100</f>
        <v>86.4444444444444</v>
      </c>
      <c r="M753" s="21" t="n">
        <f aca="false">VLOOKUP(F753,Assumptions!$A$19:$B$23,2,0)</f>
        <v>25</v>
      </c>
      <c r="N753" s="21" t="n">
        <f aca="false">VLOOKUP(G753,Assumptions!$A$27:$B$30,2,0)</f>
        <v>25</v>
      </c>
      <c r="O753" s="21" t="n">
        <f aca="false">VLOOKUP(D753,Assumptions!$A$34:$B$37,2,0)</f>
        <v>33</v>
      </c>
      <c r="P753" s="21" t="n">
        <f aca="false">VLOOKUP(E753,Assumptions!$A$41:$B$43,2,0)</f>
        <v>100</v>
      </c>
      <c r="Q753" s="22" t="n">
        <f aca="false">L753*Assumptions!$B$7+M753*Assumptions!$B$8+N753*Assumptions!$B$9+O753*Assumptions!$B$10+P753*Assumptions!$B$11</f>
        <v>52.1333333333333</v>
      </c>
      <c r="R753" s="11" t="str">
        <f aca="false">IF(Q753&lt;=33,"High Risk",IF(Q753&lt;=66,"Medium Risk","Low Risk"))</f>
        <v>Medium Risk</v>
      </c>
    </row>
    <row r="754" customFormat="false" ht="15" hidden="false" customHeight="true" outlineLevel="0" collapsed="false">
      <c r="A754" s="20" t="n">
        <f aca="false">'Raw Data'!A754</f>
        <v>753</v>
      </c>
      <c r="B754" s="20" t="n">
        <f aca="false">'Raw Data'!B754</f>
        <v>23</v>
      </c>
      <c r="C754" s="20" t="str">
        <f aca="false">'Raw Data'!C754</f>
        <v>female</v>
      </c>
      <c r="D754" s="20" t="n">
        <f aca="false">'Raw Data'!D754</f>
        <v>1</v>
      </c>
      <c r="E754" s="20" t="str">
        <f aca="false">'Raw Data'!E754</f>
        <v>rent</v>
      </c>
      <c r="F754" s="20" t="str">
        <f aca="false">'Raw Data'!F754</f>
        <v>moderate</v>
      </c>
      <c r="G754" s="20" t="str">
        <f aca="false">'Raw Data'!G754</f>
        <v>moderate</v>
      </c>
      <c r="H754" s="20" t="n">
        <f aca="false">'Raw Data'!H754</f>
        <v>841</v>
      </c>
      <c r="I754" s="20" t="n">
        <f aca="false">'Raw Data'!I754</f>
        <v>12</v>
      </c>
      <c r="J754" s="20" t="str">
        <f aca="false">'Raw Data'!J754</f>
        <v>business</v>
      </c>
      <c r="K754" s="21" t="n">
        <f aca="false">H754/I754</f>
        <v>70.0833333333333</v>
      </c>
      <c r="L754" s="21" t="n">
        <f aca="false">100-MIN(K754/Assumptions!$B$14,1)*100</f>
        <v>82.4791666666667</v>
      </c>
      <c r="M754" s="21" t="n">
        <f aca="false">VLOOKUP(F754,Assumptions!$A$19:$B$23,2,0)</f>
        <v>50</v>
      </c>
      <c r="N754" s="21" t="n">
        <f aca="false">VLOOKUP(G754,Assumptions!$A$27:$B$30,2,0)</f>
        <v>60</v>
      </c>
      <c r="O754" s="21" t="n">
        <f aca="false">VLOOKUP(D754,Assumptions!$A$34:$B$37,2,0)</f>
        <v>33</v>
      </c>
      <c r="P754" s="21" t="n">
        <f aca="false">VLOOKUP(E754,Assumptions!$A$41:$B$43,2,0)</f>
        <v>30</v>
      </c>
      <c r="Q754" s="22" t="n">
        <f aca="false">L754*Assumptions!$B$7+M754*Assumptions!$B$8+N754*Assumptions!$B$9+O754*Assumptions!$B$10+P754*Assumptions!$B$11</f>
        <v>57.19375</v>
      </c>
      <c r="R754" s="11" t="str">
        <f aca="false">IF(Q754&lt;=33,"High Risk",IF(Q754&lt;=66,"Medium Risk","Low Risk"))</f>
        <v>Medium Risk</v>
      </c>
    </row>
    <row r="755" customFormat="false" ht="15" hidden="false" customHeight="true" outlineLevel="0" collapsed="false">
      <c r="A755" s="20" t="n">
        <f aca="false">'Raw Data'!A755</f>
        <v>754</v>
      </c>
      <c r="B755" s="20" t="n">
        <f aca="false">'Raw Data'!B755</f>
        <v>25</v>
      </c>
      <c r="C755" s="20" t="str">
        <f aca="false">'Raw Data'!C755</f>
        <v>female</v>
      </c>
      <c r="D755" s="20" t="n">
        <f aca="false">'Raw Data'!D755</f>
        <v>2</v>
      </c>
      <c r="E755" s="20" t="str">
        <f aca="false">'Raw Data'!E755</f>
        <v>own</v>
      </c>
      <c r="F755" s="20" t="str">
        <f aca="false">'Raw Data'!F755</f>
        <v>little</v>
      </c>
      <c r="G755" s="20" t="str">
        <f aca="false">'Raw Data'!G755</f>
        <v>none</v>
      </c>
      <c r="H755" s="20" t="n">
        <f aca="false">'Raw Data'!H755</f>
        <v>5771</v>
      </c>
      <c r="I755" s="20" t="n">
        <f aca="false">'Raw Data'!I755</f>
        <v>30</v>
      </c>
      <c r="J755" s="20" t="str">
        <f aca="false">'Raw Data'!J755</f>
        <v>radio/TV</v>
      </c>
      <c r="K755" s="21" t="n">
        <f aca="false">H755/I755</f>
        <v>192.366666666667</v>
      </c>
      <c r="L755" s="21" t="n">
        <f aca="false">100-MIN(K755/Assumptions!$B$14,1)*100</f>
        <v>51.9083333333333</v>
      </c>
      <c r="M755" s="21" t="n">
        <f aca="false">VLOOKUP(F755,Assumptions!$A$19:$B$23,2,0)</f>
        <v>25</v>
      </c>
      <c r="N755" s="21" t="n">
        <f aca="false">VLOOKUP(G755,Assumptions!$A$27:$B$30,2,0)</f>
        <v>50</v>
      </c>
      <c r="O755" s="21" t="n">
        <f aca="false">VLOOKUP(D755,Assumptions!$A$34:$B$37,2,0)</f>
        <v>66</v>
      </c>
      <c r="P755" s="21" t="n">
        <f aca="false">VLOOKUP(E755,Assumptions!$A$41:$B$43,2,0)</f>
        <v>100</v>
      </c>
      <c r="Q755" s="22" t="n">
        <f aca="false">L755*Assumptions!$B$7+M755*Assumptions!$B$8+N755*Assumptions!$B$9+O755*Assumptions!$B$10+P755*Assumptions!$B$11</f>
        <v>51.7225</v>
      </c>
      <c r="R755" s="11" t="str">
        <f aca="false">IF(Q755&lt;=33,"High Risk",IF(Q755&lt;=66,"Medium Risk","Low Risk"))</f>
        <v>Medium Risk</v>
      </c>
    </row>
    <row r="756" customFormat="false" ht="15" hidden="false" customHeight="true" outlineLevel="0" collapsed="false">
      <c r="A756" s="20" t="n">
        <f aca="false">'Raw Data'!A756</f>
        <v>755</v>
      </c>
      <c r="B756" s="20" t="n">
        <f aca="false">'Raw Data'!B756</f>
        <v>55</v>
      </c>
      <c r="C756" s="20" t="str">
        <f aca="false">'Raw Data'!C756</f>
        <v>male</v>
      </c>
      <c r="D756" s="20" t="n">
        <f aca="false">'Raw Data'!D756</f>
        <v>2</v>
      </c>
      <c r="E756" s="20" t="str">
        <f aca="false">'Raw Data'!E756</f>
        <v>free</v>
      </c>
      <c r="F756" s="20" t="str">
        <f aca="false">'Raw Data'!F756</f>
        <v>rich</v>
      </c>
      <c r="G756" s="20" t="str">
        <f aca="false">'Raw Data'!G756</f>
        <v>none</v>
      </c>
      <c r="H756" s="20" t="n">
        <f aca="false">'Raw Data'!H756</f>
        <v>1555</v>
      </c>
      <c r="I756" s="20" t="n">
        <f aca="false">'Raw Data'!I756</f>
        <v>12</v>
      </c>
      <c r="J756" s="20" t="str">
        <f aca="false">'Raw Data'!J756</f>
        <v>repairs</v>
      </c>
      <c r="K756" s="21" t="n">
        <f aca="false">H756/I756</f>
        <v>129.583333333333</v>
      </c>
      <c r="L756" s="21" t="n">
        <f aca="false">100-MIN(K756/Assumptions!$B$14,1)*100</f>
        <v>67.6041666666667</v>
      </c>
      <c r="M756" s="21" t="n">
        <f aca="false">VLOOKUP(F756,Assumptions!$A$19:$B$23,2,0)</f>
        <v>100</v>
      </c>
      <c r="N756" s="21" t="n">
        <f aca="false">VLOOKUP(G756,Assumptions!$A$27:$B$30,2,0)</f>
        <v>50</v>
      </c>
      <c r="O756" s="21" t="n">
        <f aca="false">VLOOKUP(D756,Assumptions!$A$34:$B$37,2,0)</f>
        <v>66</v>
      </c>
      <c r="P756" s="21" t="n">
        <f aca="false">VLOOKUP(E756,Assumptions!$A$41:$B$43,2,0)</f>
        <v>60</v>
      </c>
      <c r="Q756" s="22" t="n">
        <f aca="false">L756*Assumptions!$B$7+M756*Assumptions!$B$8+N756*Assumptions!$B$9+O756*Assumptions!$B$10+P756*Assumptions!$B$11</f>
        <v>71.18125</v>
      </c>
      <c r="R756" s="11" t="str">
        <f aca="false">IF(Q756&lt;=33,"High Risk",IF(Q756&lt;=66,"Medium Risk","Low Risk"))</f>
        <v>Low Risk</v>
      </c>
    </row>
    <row r="757" customFormat="false" ht="15" hidden="false" customHeight="true" outlineLevel="0" collapsed="false">
      <c r="A757" s="20" t="n">
        <f aca="false">'Raw Data'!A757</f>
        <v>756</v>
      </c>
      <c r="B757" s="20" t="n">
        <f aca="false">'Raw Data'!B757</f>
        <v>32</v>
      </c>
      <c r="C757" s="20" t="str">
        <f aca="false">'Raw Data'!C757</f>
        <v>female</v>
      </c>
      <c r="D757" s="20" t="n">
        <f aca="false">'Raw Data'!D757</f>
        <v>2</v>
      </c>
      <c r="E757" s="20" t="str">
        <f aca="false">'Raw Data'!E757</f>
        <v>rent</v>
      </c>
      <c r="F757" s="20" t="str">
        <f aca="false">'Raw Data'!F757</f>
        <v>none</v>
      </c>
      <c r="G757" s="20" t="str">
        <f aca="false">'Raw Data'!G757</f>
        <v>little</v>
      </c>
      <c r="H757" s="20" t="n">
        <f aca="false">'Raw Data'!H757</f>
        <v>1285</v>
      </c>
      <c r="I757" s="20" t="n">
        <f aca="false">'Raw Data'!I757</f>
        <v>24</v>
      </c>
      <c r="J757" s="20" t="str">
        <f aca="false">'Raw Data'!J757</f>
        <v>car</v>
      </c>
      <c r="K757" s="21" t="n">
        <f aca="false">H757/I757</f>
        <v>53.5416666666667</v>
      </c>
      <c r="L757" s="21" t="n">
        <f aca="false">100-MIN(K757/Assumptions!$B$14,1)*100</f>
        <v>86.6145833333333</v>
      </c>
      <c r="M757" s="21" t="n">
        <f aca="false">VLOOKUP(F757,Assumptions!$A$19:$B$23,2,0)</f>
        <v>40</v>
      </c>
      <c r="N757" s="21" t="n">
        <f aca="false">VLOOKUP(G757,Assumptions!$A$27:$B$30,2,0)</f>
        <v>25</v>
      </c>
      <c r="O757" s="21" t="n">
        <f aca="false">VLOOKUP(D757,Assumptions!$A$34:$B$37,2,0)</f>
        <v>66</v>
      </c>
      <c r="P757" s="21" t="n">
        <f aca="false">VLOOKUP(E757,Assumptions!$A$41:$B$43,2,0)</f>
        <v>30</v>
      </c>
      <c r="Q757" s="22" t="n">
        <f aca="false">L757*Assumptions!$B$7+M757*Assumptions!$B$8+N757*Assumptions!$B$9+O757*Assumptions!$B$10+P757*Assumptions!$B$11</f>
        <v>53.884375</v>
      </c>
      <c r="R757" s="11" t="str">
        <f aca="false">IF(Q757&lt;=33,"High Risk",IF(Q757&lt;=66,"Medium Risk","Low Risk"))</f>
        <v>Medium Risk</v>
      </c>
    </row>
    <row r="758" customFormat="false" ht="15" hidden="false" customHeight="true" outlineLevel="0" collapsed="false">
      <c r="A758" s="20" t="n">
        <f aca="false">'Raw Data'!A758</f>
        <v>757</v>
      </c>
      <c r="B758" s="20" t="n">
        <f aca="false">'Raw Data'!B758</f>
        <v>74</v>
      </c>
      <c r="C758" s="20" t="str">
        <f aca="false">'Raw Data'!C758</f>
        <v>male</v>
      </c>
      <c r="D758" s="20" t="n">
        <f aca="false">'Raw Data'!D758</f>
        <v>0</v>
      </c>
      <c r="E758" s="20" t="str">
        <f aca="false">'Raw Data'!E758</f>
        <v>own</v>
      </c>
      <c r="F758" s="20" t="str">
        <f aca="false">'Raw Data'!F758</f>
        <v>little</v>
      </c>
      <c r="G758" s="20" t="str">
        <f aca="false">'Raw Data'!G758</f>
        <v>rich</v>
      </c>
      <c r="H758" s="20" t="n">
        <f aca="false">'Raw Data'!H758</f>
        <v>1299</v>
      </c>
      <c r="I758" s="20" t="n">
        <f aca="false">'Raw Data'!I758</f>
        <v>6</v>
      </c>
      <c r="J758" s="20" t="str">
        <f aca="false">'Raw Data'!J758</f>
        <v>car</v>
      </c>
      <c r="K758" s="21" t="n">
        <f aca="false">H758/I758</f>
        <v>216.5</v>
      </c>
      <c r="L758" s="21" t="n">
        <f aca="false">100-MIN(K758/Assumptions!$B$14,1)*100</f>
        <v>45.875</v>
      </c>
      <c r="M758" s="21" t="n">
        <f aca="false">VLOOKUP(F758,Assumptions!$A$19:$B$23,2,0)</f>
        <v>25</v>
      </c>
      <c r="N758" s="21" t="n">
        <f aca="false">VLOOKUP(G758,Assumptions!$A$27:$B$30,2,0)</f>
        <v>100</v>
      </c>
      <c r="O758" s="21" t="n">
        <f aca="false">VLOOKUP(D758,Assumptions!$A$34:$B$37,2,0)</f>
        <v>0</v>
      </c>
      <c r="P758" s="21" t="n">
        <f aca="false">VLOOKUP(E758,Assumptions!$A$41:$B$43,2,0)</f>
        <v>100</v>
      </c>
      <c r="Q758" s="22" t="n">
        <f aca="false">L758*Assumptions!$B$7+M758*Assumptions!$B$8+N758*Assumptions!$B$9+O758*Assumptions!$B$10+P758*Assumptions!$B$11</f>
        <v>50.0125</v>
      </c>
      <c r="R758" s="11" t="str">
        <f aca="false">IF(Q758&lt;=33,"High Risk",IF(Q758&lt;=66,"Medium Risk","Low Risk"))</f>
        <v>Medium Risk</v>
      </c>
    </row>
    <row r="759" customFormat="false" ht="15" hidden="false" customHeight="true" outlineLevel="0" collapsed="false">
      <c r="A759" s="20" t="n">
        <f aca="false">'Raw Data'!A759</f>
        <v>758</v>
      </c>
      <c r="B759" s="20" t="n">
        <f aca="false">'Raw Data'!B759</f>
        <v>39</v>
      </c>
      <c r="C759" s="20" t="str">
        <f aca="false">'Raw Data'!C759</f>
        <v>male</v>
      </c>
      <c r="D759" s="20" t="n">
        <f aca="false">'Raw Data'!D759</f>
        <v>2</v>
      </c>
      <c r="E759" s="20" t="str">
        <f aca="false">'Raw Data'!E759</f>
        <v>free</v>
      </c>
      <c r="F759" s="20" t="str">
        <f aca="false">'Raw Data'!F759</f>
        <v>none</v>
      </c>
      <c r="G759" s="20" t="str">
        <f aca="false">'Raw Data'!G759</f>
        <v>rich</v>
      </c>
      <c r="H759" s="20" t="n">
        <f aca="false">'Raw Data'!H759</f>
        <v>1271</v>
      </c>
      <c r="I759" s="20" t="n">
        <f aca="false">'Raw Data'!I759</f>
        <v>15</v>
      </c>
      <c r="J759" s="20" t="str">
        <f aca="false">'Raw Data'!J759</f>
        <v>radio/TV</v>
      </c>
      <c r="K759" s="21" t="n">
        <f aca="false">H759/I759</f>
        <v>84.7333333333333</v>
      </c>
      <c r="L759" s="21" t="n">
        <f aca="false">100-MIN(K759/Assumptions!$B$14,1)*100</f>
        <v>78.8166666666667</v>
      </c>
      <c r="M759" s="21" t="n">
        <f aca="false">VLOOKUP(F759,Assumptions!$A$19:$B$23,2,0)</f>
        <v>40</v>
      </c>
      <c r="N759" s="21" t="n">
        <f aca="false">VLOOKUP(G759,Assumptions!$A$27:$B$30,2,0)</f>
        <v>100</v>
      </c>
      <c r="O759" s="21" t="n">
        <f aca="false">VLOOKUP(D759,Assumptions!$A$34:$B$37,2,0)</f>
        <v>66</v>
      </c>
      <c r="P759" s="21" t="n">
        <f aca="false">VLOOKUP(E759,Assumptions!$A$41:$B$43,2,0)</f>
        <v>60</v>
      </c>
      <c r="Q759" s="22" t="n">
        <f aca="false">L759*Assumptions!$B$7+M759*Assumptions!$B$8+N759*Assumptions!$B$9+O759*Assumptions!$B$10+P759*Assumptions!$B$11</f>
        <v>69.545</v>
      </c>
      <c r="R759" s="11" t="str">
        <f aca="false">IF(Q759&lt;=33,"High Risk",IF(Q759&lt;=66,"Medium Risk","Low Risk"))</f>
        <v>Low Risk</v>
      </c>
    </row>
    <row r="760" customFormat="false" ht="15" hidden="false" customHeight="true" outlineLevel="0" collapsed="false">
      <c r="A760" s="20" t="n">
        <f aca="false">'Raw Data'!A760</f>
        <v>759</v>
      </c>
      <c r="B760" s="20" t="n">
        <f aca="false">'Raw Data'!B760</f>
        <v>31</v>
      </c>
      <c r="C760" s="20" t="str">
        <f aca="false">'Raw Data'!C760</f>
        <v>male</v>
      </c>
      <c r="D760" s="20" t="n">
        <f aca="false">'Raw Data'!D760</f>
        <v>2</v>
      </c>
      <c r="E760" s="20" t="str">
        <f aca="false">'Raw Data'!E760</f>
        <v>own</v>
      </c>
      <c r="F760" s="20" t="str">
        <f aca="false">'Raw Data'!F760</f>
        <v>little</v>
      </c>
      <c r="G760" s="20" t="str">
        <f aca="false">'Raw Data'!G760</f>
        <v>none</v>
      </c>
      <c r="H760" s="20" t="n">
        <f aca="false">'Raw Data'!H760</f>
        <v>1393</v>
      </c>
      <c r="I760" s="20" t="n">
        <f aca="false">'Raw Data'!I760</f>
        <v>24</v>
      </c>
      <c r="J760" s="20" t="str">
        <f aca="false">'Raw Data'!J760</f>
        <v>car</v>
      </c>
      <c r="K760" s="21" t="n">
        <f aca="false">H760/I760</f>
        <v>58.0416666666667</v>
      </c>
      <c r="L760" s="21" t="n">
        <f aca="false">100-MIN(K760/Assumptions!$B$14,1)*100</f>
        <v>85.4895833333333</v>
      </c>
      <c r="M760" s="21" t="n">
        <f aca="false">VLOOKUP(F760,Assumptions!$A$19:$B$23,2,0)</f>
        <v>25</v>
      </c>
      <c r="N760" s="21" t="n">
        <f aca="false">VLOOKUP(G760,Assumptions!$A$27:$B$30,2,0)</f>
        <v>50</v>
      </c>
      <c r="O760" s="21" t="n">
        <f aca="false">VLOOKUP(D760,Assumptions!$A$34:$B$37,2,0)</f>
        <v>66</v>
      </c>
      <c r="P760" s="21" t="n">
        <f aca="false">VLOOKUP(E760,Assumptions!$A$41:$B$43,2,0)</f>
        <v>100</v>
      </c>
      <c r="Q760" s="22" t="n">
        <f aca="false">L760*Assumptions!$B$7+M760*Assumptions!$B$8+N760*Assumptions!$B$9+O760*Assumptions!$B$10+P760*Assumptions!$B$11</f>
        <v>61.796875</v>
      </c>
      <c r="R760" s="11" t="str">
        <f aca="false">IF(Q760&lt;=33,"High Risk",IF(Q760&lt;=66,"Medium Risk","Low Risk"))</f>
        <v>Medium Risk</v>
      </c>
    </row>
    <row r="761" customFormat="false" ht="15" hidden="false" customHeight="true" outlineLevel="0" collapsed="false">
      <c r="A761" s="20" t="n">
        <f aca="false">'Raw Data'!A761</f>
        <v>760</v>
      </c>
      <c r="B761" s="20" t="n">
        <f aca="false">'Raw Data'!B761</f>
        <v>35</v>
      </c>
      <c r="C761" s="20" t="str">
        <f aca="false">'Raw Data'!C761</f>
        <v>male</v>
      </c>
      <c r="D761" s="20" t="n">
        <f aca="false">'Raw Data'!D761</f>
        <v>2</v>
      </c>
      <c r="E761" s="20" t="str">
        <f aca="false">'Raw Data'!E761</f>
        <v>own</v>
      </c>
      <c r="F761" s="20" t="str">
        <f aca="false">'Raw Data'!F761</f>
        <v>little</v>
      </c>
      <c r="G761" s="20" t="str">
        <f aca="false">'Raw Data'!G761</f>
        <v>little</v>
      </c>
      <c r="H761" s="20" t="n">
        <f aca="false">'Raw Data'!H761</f>
        <v>691</v>
      </c>
      <c r="I761" s="20" t="n">
        <f aca="false">'Raw Data'!I761</f>
        <v>12</v>
      </c>
      <c r="J761" s="20" t="str">
        <f aca="false">'Raw Data'!J761</f>
        <v>car</v>
      </c>
      <c r="K761" s="21" t="n">
        <f aca="false">H761/I761</f>
        <v>57.5833333333333</v>
      </c>
      <c r="L761" s="21" t="n">
        <f aca="false">100-MIN(K761/Assumptions!$B$14,1)*100</f>
        <v>85.6041666666667</v>
      </c>
      <c r="M761" s="21" t="n">
        <f aca="false">VLOOKUP(F761,Assumptions!$A$19:$B$23,2,0)</f>
        <v>25</v>
      </c>
      <c r="N761" s="21" t="n">
        <f aca="false">VLOOKUP(G761,Assumptions!$A$27:$B$30,2,0)</f>
        <v>25</v>
      </c>
      <c r="O761" s="21" t="n">
        <f aca="false">VLOOKUP(D761,Assumptions!$A$34:$B$37,2,0)</f>
        <v>66</v>
      </c>
      <c r="P761" s="21" t="n">
        <f aca="false">VLOOKUP(E761,Assumptions!$A$41:$B$43,2,0)</f>
        <v>100</v>
      </c>
      <c r="Q761" s="22" t="n">
        <f aca="false">L761*Assumptions!$B$7+M761*Assumptions!$B$8+N761*Assumptions!$B$9+O761*Assumptions!$B$10+P761*Assumptions!$B$11</f>
        <v>56.83125</v>
      </c>
      <c r="R761" s="11" t="str">
        <f aca="false">IF(Q761&lt;=33,"High Risk",IF(Q761&lt;=66,"Medium Risk","Low Risk"))</f>
        <v>Medium Risk</v>
      </c>
    </row>
    <row r="762" customFormat="false" ht="15" hidden="false" customHeight="true" outlineLevel="0" collapsed="false">
      <c r="A762" s="20" t="n">
        <f aca="false">'Raw Data'!A762</f>
        <v>761</v>
      </c>
      <c r="B762" s="20" t="n">
        <f aca="false">'Raw Data'!B762</f>
        <v>59</v>
      </c>
      <c r="C762" s="20" t="str">
        <f aca="false">'Raw Data'!C762</f>
        <v>female</v>
      </c>
      <c r="D762" s="20" t="n">
        <f aca="false">'Raw Data'!D762</f>
        <v>2</v>
      </c>
      <c r="E762" s="20" t="str">
        <f aca="false">'Raw Data'!E762</f>
        <v>own</v>
      </c>
      <c r="F762" s="20" t="str">
        <f aca="false">'Raw Data'!F762</f>
        <v>none</v>
      </c>
      <c r="G762" s="20" t="str">
        <f aca="false">'Raw Data'!G762</f>
        <v>none</v>
      </c>
      <c r="H762" s="20" t="n">
        <f aca="false">'Raw Data'!H762</f>
        <v>5045</v>
      </c>
      <c r="I762" s="20" t="n">
        <f aca="false">'Raw Data'!I762</f>
        <v>15</v>
      </c>
      <c r="J762" s="20" t="str">
        <f aca="false">'Raw Data'!J762</f>
        <v>car</v>
      </c>
      <c r="K762" s="21" t="n">
        <f aca="false">H762/I762</f>
        <v>336.333333333333</v>
      </c>
      <c r="L762" s="21" t="n">
        <f aca="false">100-MIN(K762/Assumptions!$B$14,1)*100</f>
        <v>15.9166666666667</v>
      </c>
      <c r="M762" s="21" t="n">
        <f aca="false">VLOOKUP(F762,Assumptions!$A$19:$B$23,2,0)</f>
        <v>40</v>
      </c>
      <c r="N762" s="21" t="n">
        <f aca="false">VLOOKUP(G762,Assumptions!$A$27:$B$30,2,0)</f>
        <v>50</v>
      </c>
      <c r="O762" s="21" t="n">
        <f aca="false">VLOOKUP(D762,Assumptions!$A$34:$B$37,2,0)</f>
        <v>66</v>
      </c>
      <c r="P762" s="21" t="n">
        <f aca="false">VLOOKUP(E762,Assumptions!$A$41:$B$43,2,0)</f>
        <v>100</v>
      </c>
      <c r="Q762" s="22" t="n">
        <f aca="false">L762*Assumptions!$B$7+M762*Assumptions!$B$8+N762*Assumptions!$B$9+O762*Assumptions!$B$10+P762*Assumptions!$B$11</f>
        <v>44.675</v>
      </c>
      <c r="R762" s="11" t="str">
        <f aca="false">IF(Q762&lt;=33,"High Risk",IF(Q762&lt;=66,"Medium Risk","Low Risk"))</f>
        <v>Medium Risk</v>
      </c>
    </row>
    <row r="763" customFormat="false" ht="15" hidden="false" customHeight="true" outlineLevel="0" collapsed="false">
      <c r="A763" s="20" t="n">
        <f aca="false">'Raw Data'!A763</f>
        <v>762</v>
      </c>
      <c r="B763" s="20" t="n">
        <f aca="false">'Raw Data'!B763</f>
        <v>24</v>
      </c>
      <c r="C763" s="20" t="str">
        <f aca="false">'Raw Data'!C763</f>
        <v>female</v>
      </c>
      <c r="D763" s="20" t="n">
        <f aca="false">'Raw Data'!D763</f>
        <v>2</v>
      </c>
      <c r="E763" s="20" t="str">
        <f aca="false">'Raw Data'!E763</f>
        <v>rent</v>
      </c>
      <c r="F763" s="20" t="str">
        <f aca="false">'Raw Data'!F763</f>
        <v>little</v>
      </c>
      <c r="G763" s="20" t="str">
        <f aca="false">'Raw Data'!G763</f>
        <v>little</v>
      </c>
      <c r="H763" s="20" t="n">
        <f aca="false">'Raw Data'!H763</f>
        <v>2124</v>
      </c>
      <c r="I763" s="20" t="n">
        <f aca="false">'Raw Data'!I763</f>
        <v>18</v>
      </c>
      <c r="J763" s="20" t="str">
        <f aca="false">'Raw Data'!J763</f>
        <v>furniture/equipment</v>
      </c>
      <c r="K763" s="21" t="n">
        <f aca="false">H763/I763</f>
        <v>118</v>
      </c>
      <c r="L763" s="21" t="n">
        <f aca="false">100-MIN(K763/Assumptions!$B$14,1)*100</f>
        <v>70.5</v>
      </c>
      <c r="M763" s="21" t="n">
        <f aca="false">VLOOKUP(F763,Assumptions!$A$19:$B$23,2,0)</f>
        <v>25</v>
      </c>
      <c r="N763" s="21" t="n">
        <f aca="false">VLOOKUP(G763,Assumptions!$A$27:$B$30,2,0)</f>
        <v>25</v>
      </c>
      <c r="O763" s="21" t="n">
        <f aca="false">VLOOKUP(D763,Assumptions!$A$34:$B$37,2,0)</f>
        <v>66</v>
      </c>
      <c r="P763" s="21" t="n">
        <f aca="false">VLOOKUP(E763,Assumptions!$A$41:$B$43,2,0)</f>
        <v>30</v>
      </c>
      <c r="Q763" s="22" t="n">
        <f aca="false">L763*Assumptions!$B$7+M763*Assumptions!$B$8+N763*Assumptions!$B$9+O763*Assumptions!$B$10+P763*Assumptions!$B$11</f>
        <v>45.3</v>
      </c>
      <c r="R763" s="11" t="str">
        <f aca="false">IF(Q763&lt;=33,"High Risk",IF(Q763&lt;=66,"Medium Risk","Low Risk"))</f>
        <v>Medium Risk</v>
      </c>
    </row>
    <row r="764" customFormat="false" ht="15" hidden="false" customHeight="true" outlineLevel="0" collapsed="false">
      <c r="A764" s="20" t="n">
        <f aca="false">'Raw Data'!A764</f>
        <v>763</v>
      </c>
      <c r="B764" s="20" t="n">
        <f aca="false">'Raw Data'!B764</f>
        <v>24</v>
      </c>
      <c r="C764" s="20" t="str">
        <f aca="false">'Raw Data'!C764</f>
        <v>male</v>
      </c>
      <c r="D764" s="20" t="n">
        <f aca="false">'Raw Data'!D764</f>
        <v>1</v>
      </c>
      <c r="E764" s="20" t="str">
        <f aca="false">'Raw Data'!E764</f>
        <v>own</v>
      </c>
      <c r="F764" s="20" t="str">
        <f aca="false">'Raw Data'!F764</f>
        <v>little</v>
      </c>
      <c r="G764" s="20" t="str">
        <f aca="false">'Raw Data'!G764</f>
        <v>little</v>
      </c>
      <c r="H764" s="20" t="n">
        <f aca="false">'Raw Data'!H764</f>
        <v>2214</v>
      </c>
      <c r="I764" s="20" t="n">
        <f aca="false">'Raw Data'!I764</f>
        <v>12</v>
      </c>
      <c r="J764" s="20" t="str">
        <f aca="false">'Raw Data'!J764</f>
        <v>radio/TV</v>
      </c>
      <c r="K764" s="21" t="n">
        <f aca="false">H764/I764</f>
        <v>184.5</v>
      </c>
      <c r="L764" s="21" t="n">
        <f aca="false">100-MIN(K764/Assumptions!$B$14,1)*100</f>
        <v>53.875</v>
      </c>
      <c r="M764" s="21" t="n">
        <f aca="false">VLOOKUP(F764,Assumptions!$A$19:$B$23,2,0)</f>
        <v>25</v>
      </c>
      <c r="N764" s="21" t="n">
        <f aca="false">VLOOKUP(G764,Assumptions!$A$27:$B$30,2,0)</f>
        <v>25</v>
      </c>
      <c r="O764" s="21" t="n">
        <f aca="false">VLOOKUP(D764,Assumptions!$A$34:$B$37,2,0)</f>
        <v>33</v>
      </c>
      <c r="P764" s="21" t="n">
        <f aca="false">VLOOKUP(E764,Assumptions!$A$41:$B$43,2,0)</f>
        <v>100</v>
      </c>
      <c r="Q764" s="22" t="n">
        <f aca="false">L764*Assumptions!$B$7+M764*Assumptions!$B$8+N764*Assumptions!$B$9+O764*Assumptions!$B$10+P764*Assumptions!$B$11</f>
        <v>42.3625</v>
      </c>
      <c r="R764" s="11" t="str">
        <f aca="false">IF(Q764&lt;=33,"High Risk",IF(Q764&lt;=66,"Medium Risk","Low Risk"))</f>
        <v>Medium Risk</v>
      </c>
    </row>
    <row r="765" customFormat="false" ht="15" hidden="false" customHeight="true" outlineLevel="0" collapsed="false">
      <c r="A765" s="20" t="n">
        <f aca="false">'Raw Data'!A765</f>
        <v>764</v>
      </c>
      <c r="B765" s="20" t="n">
        <f aca="false">'Raw Data'!B765</f>
        <v>30</v>
      </c>
      <c r="C765" s="20" t="str">
        <f aca="false">'Raw Data'!C765</f>
        <v>male</v>
      </c>
      <c r="D765" s="20" t="n">
        <f aca="false">'Raw Data'!D765</f>
        <v>3</v>
      </c>
      <c r="E765" s="20" t="str">
        <f aca="false">'Raw Data'!E765</f>
        <v>free</v>
      </c>
      <c r="F765" s="20" t="str">
        <f aca="false">'Raw Data'!F765</f>
        <v>none</v>
      </c>
      <c r="G765" s="20" t="str">
        <f aca="false">'Raw Data'!G765</f>
        <v>none</v>
      </c>
      <c r="H765" s="20" t="n">
        <f aca="false">'Raw Data'!H765</f>
        <v>12680</v>
      </c>
      <c r="I765" s="20" t="n">
        <f aca="false">'Raw Data'!I765</f>
        <v>21</v>
      </c>
      <c r="J765" s="20" t="str">
        <f aca="false">'Raw Data'!J765</f>
        <v>car</v>
      </c>
      <c r="K765" s="21" t="n">
        <f aca="false">H765/I765</f>
        <v>603.809523809524</v>
      </c>
      <c r="L765" s="21" t="n">
        <f aca="false">100-MIN(K765/Assumptions!$B$14,1)*100</f>
        <v>0</v>
      </c>
      <c r="M765" s="21" t="n">
        <f aca="false">VLOOKUP(F765,Assumptions!$A$19:$B$23,2,0)</f>
        <v>40</v>
      </c>
      <c r="N765" s="21" t="n">
        <f aca="false">VLOOKUP(G765,Assumptions!$A$27:$B$30,2,0)</f>
        <v>50</v>
      </c>
      <c r="O765" s="21" t="n">
        <f aca="false">VLOOKUP(D765,Assumptions!$A$34:$B$37,2,0)</f>
        <v>100</v>
      </c>
      <c r="P765" s="21" t="n">
        <f aca="false">VLOOKUP(E765,Assumptions!$A$41:$B$43,2,0)</f>
        <v>60</v>
      </c>
      <c r="Q765" s="22" t="n">
        <f aca="false">L765*Assumptions!$B$7+M765*Assumptions!$B$8+N765*Assumptions!$B$9+O765*Assumptions!$B$10+P765*Assumptions!$B$11</f>
        <v>41</v>
      </c>
      <c r="R765" s="11" t="str">
        <f aca="false">IF(Q765&lt;=33,"High Risk",IF(Q765&lt;=66,"Medium Risk","Low Risk"))</f>
        <v>Medium Risk</v>
      </c>
    </row>
    <row r="766" customFormat="false" ht="15" hidden="false" customHeight="true" outlineLevel="0" collapsed="false">
      <c r="A766" s="20" t="n">
        <f aca="false">'Raw Data'!A766</f>
        <v>765</v>
      </c>
      <c r="B766" s="20" t="n">
        <f aca="false">'Raw Data'!B766</f>
        <v>27</v>
      </c>
      <c r="C766" s="20" t="str">
        <f aca="false">'Raw Data'!C766</f>
        <v>male</v>
      </c>
      <c r="D766" s="20" t="n">
        <f aca="false">'Raw Data'!D766</f>
        <v>2</v>
      </c>
      <c r="E766" s="20" t="str">
        <f aca="false">'Raw Data'!E766</f>
        <v>own</v>
      </c>
      <c r="F766" s="20" t="str">
        <f aca="false">'Raw Data'!F766</f>
        <v>moderate</v>
      </c>
      <c r="G766" s="20" t="str">
        <f aca="false">'Raw Data'!G766</f>
        <v>none</v>
      </c>
      <c r="H766" s="20" t="n">
        <f aca="false">'Raw Data'!H766</f>
        <v>2463</v>
      </c>
      <c r="I766" s="20" t="n">
        <f aca="false">'Raw Data'!I766</f>
        <v>24</v>
      </c>
      <c r="J766" s="20" t="str">
        <f aca="false">'Raw Data'!J766</f>
        <v>car</v>
      </c>
      <c r="K766" s="21" t="n">
        <f aca="false">H766/I766</f>
        <v>102.625</v>
      </c>
      <c r="L766" s="21" t="n">
        <f aca="false">100-MIN(K766/Assumptions!$B$14,1)*100</f>
        <v>74.34375</v>
      </c>
      <c r="M766" s="21" t="n">
        <f aca="false">VLOOKUP(F766,Assumptions!$A$19:$B$23,2,0)</f>
        <v>50</v>
      </c>
      <c r="N766" s="21" t="n">
        <f aca="false">VLOOKUP(G766,Assumptions!$A$27:$B$30,2,0)</f>
        <v>50</v>
      </c>
      <c r="O766" s="21" t="n">
        <f aca="false">VLOOKUP(D766,Assumptions!$A$34:$B$37,2,0)</f>
        <v>66</v>
      </c>
      <c r="P766" s="21" t="n">
        <f aca="false">VLOOKUP(E766,Assumptions!$A$41:$B$43,2,0)</f>
        <v>100</v>
      </c>
      <c r="Q766" s="22" t="n">
        <f aca="false">L766*Assumptions!$B$7+M766*Assumptions!$B$8+N766*Assumptions!$B$9+O766*Assumptions!$B$10+P766*Assumptions!$B$11</f>
        <v>64.703125</v>
      </c>
      <c r="R766" s="11" t="str">
        <f aca="false">IF(Q766&lt;=33,"High Risk",IF(Q766&lt;=66,"Medium Risk","Low Risk"))</f>
        <v>Medium Risk</v>
      </c>
    </row>
    <row r="767" customFormat="false" ht="15" hidden="false" customHeight="true" outlineLevel="0" collapsed="false">
      <c r="A767" s="20" t="n">
        <f aca="false">'Raw Data'!A767</f>
        <v>766</v>
      </c>
      <c r="B767" s="20" t="n">
        <f aca="false">'Raw Data'!B767</f>
        <v>40</v>
      </c>
      <c r="C767" s="20" t="str">
        <f aca="false">'Raw Data'!C767</f>
        <v>male</v>
      </c>
      <c r="D767" s="20" t="n">
        <f aca="false">'Raw Data'!D767</f>
        <v>1</v>
      </c>
      <c r="E767" s="20" t="str">
        <f aca="false">'Raw Data'!E767</f>
        <v>own</v>
      </c>
      <c r="F767" s="20" t="str">
        <f aca="false">'Raw Data'!F767</f>
        <v>little</v>
      </c>
      <c r="G767" s="20" t="str">
        <f aca="false">'Raw Data'!G767</f>
        <v>moderate</v>
      </c>
      <c r="H767" s="20" t="n">
        <f aca="false">'Raw Data'!H767</f>
        <v>1155</v>
      </c>
      <c r="I767" s="20" t="n">
        <f aca="false">'Raw Data'!I767</f>
        <v>12</v>
      </c>
      <c r="J767" s="20" t="str">
        <f aca="false">'Raw Data'!J767</f>
        <v>radio/TV</v>
      </c>
      <c r="K767" s="21" t="n">
        <f aca="false">H767/I767</f>
        <v>96.25</v>
      </c>
      <c r="L767" s="21" t="n">
        <f aca="false">100-MIN(K767/Assumptions!$B$14,1)*100</f>
        <v>75.9375</v>
      </c>
      <c r="M767" s="21" t="n">
        <f aca="false">VLOOKUP(F767,Assumptions!$A$19:$B$23,2,0)</f>
        <v>25</v>
      </c>
      <c r="N767" s="21" t="n">
        <f aca="false">VLOOKUP(G767,Assumptions!$A$27:$B$30,2,0)</f>
        <v>60</v>
      </c>
      <c r="O767" s="21" t="n">
        <f aca="false">VLOOKUP(D767,Assumptions!$A$34:$B$37,2,0)</f>
        <v>33</v>
      </c>
      <c r="P767" s="21" t="n">
        <f aca="false">VLOOKUP(E767,Assumptions!$A$41:$B$43,2,0)</f>
        <v>100</v>
      </c>
      <c r="Q767" s="22" t="n">
        <f aca="false">L767*Assumptions!$B$7+M767*Assumptions!$B$8+N767*Assumptions!$B$9+O767*Assumptions!$B$10+P767*Assumptions!$B$11</f>
        <v>55.98125</v>
      </c>
      <c r="R767" s="11" t="str">
        <f aca="false">IF(Q767&lt;=33,"High Risk",IF(Q767&lt;=66,"Medium Risk","Low Risk"))</f>
        <v>Medium Risk</v>
      </c>
    </row>
    <row r="768" customFormat="false" ht="15" hidden="false" customHeight="true" outlineLevel="0" collapsed="false">
      <c r="A768" s="20" t="n">
        <f aca="false">'Raw Data'!A768</f>
        <v>767</v>
      </c>
      <c r="B768" s="20" t="n">
        <f aca="false">'Raw Data'!B768</f>
        <v>31</v>
      </c>
      <c r="C768" s="20" t="str">
        <f aca="false">'Raw Data'!C768</f>
        <v>male</v>
      </c>
      <c r="D768" s="20" t="n">
        <f aca="false">'Raw Data'!D768</f>
        <v>1</v>
      </c>
      <c r="E768" s="20" t="str">
        <f aca="false">'Raw Data'!E768</f>
        <v>own</v>
      </c>
      <c r="F768" s="20" t="str">
        <f aca="false">'Raw Data'!F768</f>
        <v>little</v>
      </c>
      <c r="G768" s="20" t="str">
        <f aca="false">'Raw Data'!G768</f>
        <v>little</v>
      </c>
      <c r="H768" s="20" t="n">
        <f aca="false">'Raw Data'!H768</f>
        <v>3108</v>
      </c>
      <c r="I768" s="20" t="n">
        <f aca="false">'Raw Data'!I768</f>
        <v>30</v>
      </c>
      <c r="J768" s="20" t="str">
        <f aca="false">'Raw Data'!J768</f>
        <v>furniture/equipment</v>
      </c>
      <c r="K768" s="21" t="n">
        <f aca="false">H768/I768</f>
        <v>103.6</v>
      </c>
      <c r="L768" s="21" t="n">
        <f aca="false">100-MIN(K768/Assumptions!$B$14,1)*100</f>
        <v>74.1</v>
      </c>
      <c r="M768" s="21" t="n">
        <f aca="false">VLOOKUP(F768,Assumptions!$A$19:$B$23,2,0)</f>
        <v>25</v>
      </c>
      <c r="N768" s="21" t="n">
        <f aca="false">VLOOKUP(G768,Assumptions!$A$27:$B$30,2,0)</f>
        <v>25</v>
      </c>
      <c r="O768" s="21" t="n">
        <f aca="false">VLOOKUP(D768,Assumptions!$A$34:$B$37,2,0)</f>
        <v>33</v>
      </c>
      <c r="P768" s="21" t="n">
        <f aca="false">VLOOKUP(E768,Assumptions!$A$41:$B$43,2,0)</f>
        <v>100</v>
      </c>
      <c r="Q768" s="22" t="n">
        <f aca="false">L768*Assumptions!$B$7+M768*Assumptions!$B$8+N768*Assumptions!$B$9+O768*Assumptions!$B$10+P768*Assumptions!$B$11</f>
        <v>48.43</v>
      </c>
      <c r="R768" s="11" t="str">
        <f aca="false">IF(Q768&lt;=33,"High Risk",IF(Q768&lt;=66,"Medium Risk","Low Risk"))</f>
        <v>Medium Risk</v>
      </c>
    </row>
    <row r="769" customFormat="false" ht="15" hidden="false" customHeight="true" outlineLevel="0" collapsed="false">
      <c r="A769" s="20" t="n">
        <f aca="false">'Raw Data'!A769</f>
        <v>768</v>
      </c>
      <c r="B769" s="20" t="n">
        <f aca="false">'Raw Data'!B769</f>
        <v>31</v>
      </c>
      <c r="C769" s="20" t="str">
        <f aca="false">'Raw Data'!C769</f>
        <v>female</v>
      </c>
      <c r="D769" s="20" t="n">
        <f aca="false">'Raw Data'!D769</f>
        <v>2</v>
      </c>
      <c r="E769" s="20" t="str">
        <f aca="false">'Raw Data'!E769</f>
        <v>rent</v>
      </c>
      <c r="F769" s="20" t="str">
        <f aca="false">'Raw Data'!F769</f>
        <v>none</v>
      </c>
      <c r="G769" s="20" t="str">
        <f aca="false">'Raw Data'!G769</f>
        <v>none</v>
      </c>
      <c r="H769" s="20" t="n">
        <f aca="false">'Raw Data'!H769</f>
        <v>2901</v>
      </c>
      <c r="I769" s="20" t="n">
        <f aca="false">'Raw Data'!I769</f>
        <v>10</v>
      </c>
      <c r="J769" s="20" t="str">
        <f aca="false">'Raw Data'!J769</f>
        <v>car</v>
      </c>
      <c r="K769" s="21" t="n">
        <f aca="false">H769/I769</f>
        <v>290.1</v>
      </c>
      <c r="L769" s="21" t="n">
        <f aca="false">100-MIN(K769/Assumptions!$B$14,1)*100</f>
        <v>27.475</v>
      </c>
      <c r="M769" s="21" t="n">
        <f aca="false">VLOOKUP(F769,Assumptions!$A$19:$B$23,2,0)</f>
        <v>40</v>
      </c>
      <c r="N769" s="21" t="n">
        <f aca="false">VLOOKUP(G769,Assumptions!$A$27:$B$30,2,0)</f>
        <v>50</v>
      </c>
      <c r="O769" s="21" t="n">
        <f aca="false">VLOOKUP(D769,Assumptions!$A$34:$B$37,2,0)</f>
        <v>66</v>
      </c>
      <c r="P769" s="21" t="n">
        <f aca="false">VLOOKUP(E769,Assumptions!$A$41:$B$43,2,0)</f>
        <v>30</v>
      </c>
      <c r="Q769" s="22" t="n">
        <f aca="false">L769*Assumptions!$B$7+M769*Assumptions!$B$8+N769*Assumptions!$B$9+O769*Assumptions!$B$10+P769*Assumptions!$B$11</f>
        <v>41.1425</v>
      </c>
      <c r="R769" s="11" t="str">
        <f aca="false">IF(Q769&lt;=33,"High Risk",IF(Q769&lt;=66,"Medium Risk","Low Risk"))</f>
        <v>Medium Risk</v>
      </c>
    </row>
    <row r="770" customFormat="false" ht="15" hidden="false" customHeight="true" outlineLevel="0" collapsed="false">
      <c r="A770" s="20" t="n">
        <f aca="false">'Raw Data'!A770</f>
        <v>769</v>
      </c>
      <c r="B770" s="20" t="n">
        <f aca="false">'Raw Data'!B770</f>
        <v>28</v>
      </c>
      <c r="C770" s="20" t="str">
        <f aca="false">'Raw Data'!C770</f>
        <v>male</v>
      </c>
      <c r="D770" s="20" t="n">
        <f aca="false">'Raw Data'!D770</f>
        <v>2</v>
      </c>
      <c r="E770" s="20" t="str">
        <f aca="false">'Raw Data'!E770</f>
        <v>rent</v>
      </c>
      <c r="F770" s="20" t="str">
        <f aca="false">'Raw Data'!F770</f>
        <v>little</v>
      </c>
      <c r="G770" s="20" t="str">
        <f aca="false">'Raw Data'!G770</f>
        <v>moderate</v>
      </c>
      <c r="H770" s="20" t="n">
        <f aca="false">'Raw Data'!H770</f>
        <v>3617</v>
      </c>
      <c r="I770" s="20" t="n">
        <f aca="false">'Raw Data'!I770</f>
        <v>12</v>
      </c>
      <c r="J770" s="20" t="str">
        <f aca="false">'Raw Data'!J770</f>
        <v>furniture/equipment</v>
      </c>
      <c r="K770" s="21" t="n">
        <f aca="false">H770/I770</f>
        <v>301.416666666667</v>
      </c>
      <c r="L770" s="21" t="n">
        <f aca="false">100-MIN(K770/Assumptions!$B$14,1)*100</f>
        <v>24.6458333333333</v>
      </c>
      <c r="M770" s="21" t="n">
        <f aca="false">VLOOKUP(F770,Assumptions!$A$19:$B$23,2,0)</f>
        <v>25</v>
      </c>
      <c r="N770" s="21" t="n">
        <f aca="false">VLOOKUP(G770,Assumptions!$A$27:$B$30,2,0)</f>
        <v>60</v>
      </c>
      <c r="O770" s="21" t="n">
        <f aca="false">VLOOKUP(D770,Assumptions!$A$34:$B$37,2,0)</f>
        <v>66</v>
      </c>
      <c r="P770" s="21" t="n">
        <f aca="false">VLOOKUP(E770,Assumptions!$A$41:$B$43,2,0)</f>
        <v>30</v>
      </c>
      <c r="Q770" s="22" t="n">
        <f aca="false">L770*Assumptions!$B$7+M770*Assumptions!$B$8+N770*Assumptions!$B$9+O770*Assumptions!$B$10+P770*Assumptions!$B$11</f>
        <v>38.54375</v>
      </c>
      <c r="R770" s="11" t="str">
        <f aca="false">IF(Q770&lt;=33,"High Risk",IF(Q770&lt;=66,"Medium Risk","Low Risk"))</f>
        <v>Medium Risk</v>
      </c>
    </row>
    <row r="771" customFormat="false" ht="15" hidden="false" customHeight="true" outlineLevel="0" collapsed="false">
      <c r="A771" s="20" t="n">
        <f aca="false">'Raw Data'!A771</f>
        <v>770</v>
      </c>
      <c r="B771" s="20" t="n">
        <f aca="false">'Raw Data'!B771</f>
        <v>63</v>
      </c>
      <c r="C771" s="20" t="str">
        <f aca="false">'Raw Data'!C771</f>
        <v>male</v>
      </c>
      <c r="D771" s="20" t="n">
        <f aca="false">'Raw Data'!D771</f>
        <v>1</v>
      </c>
      <c r="E771" s="20" t="str">
        <f aca="false">'Raw Data'!E771</f>
        <v>own</v>
      </c>
      <c r="F771" s="20" t="str">
        <f aca="false">'Raw Data'!F771</f>
        <v>little</v>
      </c>
      <c r="G771" s="20" t="str">
        <f aca="false">'Raw Data'!G771</f>
        <v>none</v>
      </c>
      <c r="H771" s="20" t="n">
        <f aca="false">'Raw Data'!H771</f>
        <v>1655</v>
      </c>
      <c r="I771" s="20" t="n">
        <f aca="false">'Raw Data'!I771</f>
        <v>12</v>
      </c>
      <c r="J771" s="20" t="str">
        <f aca="false">'Raw Data'!J771</f>
        <v>radio/TV</v>
      </c>
      <c r="K771" s="21" t="n">
        <f aca="false">H771/I771</f>
        <v>137.916666666667</v>
      </c>
      <c r="L771" s="21" t="n">
        <f aca="false">100-MIN(K771/Assumptions!$B$14,1)*100</f>
        <v>65.5208333333333</v>
      </c>
      <c r="M771" s="21" t="n">
        <f aca="false">VLOOKUP(F771,Assumptions!$A$19:$B$23,2,0)</f>
        <v>25</v>
      </c>
      <c r="N771" s="21" t="n">
        <f aca="false">VLOOKUP(G771,Assumptions!$A$27:$B$30,2,0)</f>
        <v>50</v>
      </c>
      <c r="O771" s="21" t="n">
        <f aca="false">VLOOKUP(D771,Assumptions!$A$34:$B$37,2,0)</f>
        <v>33</v>
      </c>
      <c r="P771" s="21" t="n">
        <f aca="false">VLOOKUP(E771,Assumptions!$A$41:$B$43,2,0)</f>
        <v>100</v>
      </c>
      <c r="Q771" s="22" t="n">
        <f aca="false">L771*Assumptions!$B$7+M771*Assumptions!$B$8+N771*Assumptions!$B$9+O771*Assumptions!$B$10+P771*Assumptions!$B$11</f>
        <v>50.85625</v>
      </c>
      <c r="R771" s="11" t="str">
        <f aca="false">IF(Q771&lt;=33,"High Risk",IF(Q771&lt;=66,"Medium Risk","Low Risk"))</f>
        <v>Medium Risk</v>
      </c>
    </row>
    <row r="772" customFormat="false" ht="15" hidden="false" customHeight="true" outlineLevel="0" collapsed="false">
      <c r="A772" s="20" t="n">
        <f aca="false">'Raw Data'!A772</f>
        <v>771</v>
      </c>
      <c r="B772" s="20" t="n">
        <f aca="false">'Raw Data'!B772</f>
        <v>26</v>
      </c>
      <c r="C772" s="20" t="str">
        <f aca="false">'Raw Data'!C772</f>
        <v>female</v>
      </c>
      <c r="D772" s="20" t="n">
        <f aca="false">'Raw Data'!D772</f>
        <v>2</v>
      </c>
      <c r="E772" s="20" t="str">
        <f aca="false">'Raw Data'!E772</f>
        <v>rent</v>
      </c>
      <c r="F772" s="20" t="str">
        <f aca="false">'Raw Data'!F772</f>
        <v>none</v>
      </c>
      <c r="G772" s="20" t="str">
        <f aca="false">'Raw Data'!G772</f>
        <v>little</v>
      </c>
      <c r="H772" s="20" t="n">
        <f aca="false">'Raw Data'!H772</f>
        <v>2812</v>
      </c>
      <c r="I772" s="20" t="n">
        <f aca="false">'Raw Data'!I772</f>
        <v>24</v>
      </c>
      <c r="J772" s="20" t="str">
        <f aca="false">'Raw Data'!J772</f>
        <v>car</v>
      </c>
      <c r="K772" s="21" t="n">
        <f aca="false">H772/I772</f>
        <v>117.166666666667</v>
      </c>
      <c r="L772" s="21" t="n">
        <f aca="false">100-MIN(K772/Assumptions!$B$14,1)*100</f>
        <v>70.7083333333333</v>
      </c>
      <c r="M772" s="21" t="n">
        <f aca="false">VLOOKUP(F772,Assumptions!$A$19:$B$23,2,0)</f>
        <v>40</v>
      </c>
      <c r="N772" s="21" t="n">
        <f aca="false">VLOOKUP(G772,Assumptions!$A$27:$B$30,2,0)</f>
        <v>25</v>
      </c>
      <c r="O772" s="21" t="n">
        <f aca="false">VLOOKUP(D772,Assumptions!$A$34:$B$37,2,0)</f>
        <v>66</v>
      </c>
      <c r="P772" s="21" t="n">
        <f aca="false">VLOOKUP(E772,Assumptions!$A$41:$B$43,2,0)</f>
        <v>30</v>
      </c>
      <c r="Q772" s="22" t="n">
        <f aca="false">L772*Assumptions!$B$7+M772*Assumptions!$B$8+N772*Assumptions!$B$9+O772*Assumptions!$B$10+P772*Assumptions!$B$11</f>
        <v>49.1125</v>
      </c>
      <c r="R772" s="11" t="str">
        <f aca="false">IF(Q772&lt;=33,"High Risk",IF(Q772&lt;=66,"Medium Risk","Low Risk"))</f>
        <v>Medium Risk</v>
      </c>
    </row>
    <row r="773" customFormat="false" ht="15" hidden="false" customHeight="true" outlineLevel="0" collapsed="false">
      <c r="A773" s="20" t="n">
        <f aca="false">'Raw Data'!A773</f>
        <v>772</v>
      </c>
      <c r="B773" s="20" t="n">
        <f aca="false">'Raw Data'!B773</f>
        <v>25</v>
      </c>
      <c r="C773" s="20" t="str">
        <f aca="false">'Raw Data'!C773</f>
        <v>female</v>
      </c>
      <c r="D773" s="20" t="n">
        <f aca="false">'Raw Data'!D773</f>
        <v>3</v>
      </c>
      <c r="E773" s="20" t="str">
        <f aca="false">'Raw Data'!E773</f>
        <v>own</v>
      </c>
      <c r="F773" s="20" t="str">
        <f aca="false">'Raw Data'!F773</f>
        <v>little</v>
      </c>
      <c r="G773" s="20" t="str">
        <f aca="false">'Raw Data'!G773</f>
        <v>little</v>
      </c>
      <c r="H773" s="20" t="n">
        <f aca="false">'Raw Data'!H773</f>
        <v>8065</v>
      </c>
      <c r="I773" s="20" t="n">
        <f aca="false">'Raw Data'!I773</f>
        <v>36</v>
      </c>
      <c r="J773" s="20" t="str">
        <f aca="false">'Raw Data'!J773</f>
        <v>education</v>
      </c>
      <c r="K773" s="21" t="n">
        <f aca="false">H773/I773</f>
        <v>224.027777777778</v>
      </c>
      <c r="L773" s="21" t="n">
        <f aca="false">100-MIN(K773/Assumptions!$B$14,1)*100</f>
        <v>43.9930555555556</v>
      </c>
      <c r="M773" s="21" t="n">
        <f aca="false">VLOOKUP(F773,Assumptions!$A$19:$B$23,2,0)</f>
        <v>25</v>
      </c>
      <c r="N773" s="21" t="n">
        <f aca="false">VLOOKUP(G773,Assumptions!$A$27:$B$30,2,0)</f>
        <v>25</v>
      </c>
      <c r="O773" s="21" t="n">
        <f aca="false">VLOOKUP(D773,Assumptions!$A$34:$B$37,2,0)</f>
        <v>100</v>
      </c>
      <c r="P773" s="21" t="n">
        <f aca="false">VLOOKUP(E773,Assumptions!$A$41:$B$43,2,0)</f>
        <v>100</v>
      </c>
      <c r="Q773" s="22" t="n">
        <f aca="false">L773*Assumptions!$B$7+M773*Assumptions!$B$8+N773*Assumptions!$B$9+O773*Assumptions!$B$10+P773*Assumptions!$B$11</f>
        <v>49.4479166666667</v>
      </c>
      <c r="R773" s="11" t="str">
        <f aca="false">IF(Q773&lt;=33,"High Risk",IF(Q773&lt;=66,"Medium Risk","Low Risk"))</f>
        <v>Medium Risk</v>
      </c>
    </row>
    <row r="774" customFormat="false" ht="15" hidden="false" customHeight="true" outlineLevel="0" collapsed="false">
      <c r="A774" s="20" t="n">
        <f aca="false">'Raw Data'!A774</f>
        <v>773</v>
      </c>
      <c r="B774" s="20" t="n">
        <f aca="false">'Raw Data'!B774</f>
        <v>36</v>
      </c>
      <c r="C774" s="20" t="str">
        <f aca="false">'Raw Data'!C774</f>
        <v>male</v>
      </c>
      <c r="D774" s="20" t="n">
        <f aca="false">'Raw Data'!D774</f>
        <v>3</v>
      </c>
      <c r="E774" s="20" t="str">
        <f aca="false">'Raw Data'!E774</f>
        <v>own</v>
      </c>
      <c r="F774" s="20" t="str">
        <f aca="false">'Raw Data'!F774</f>
        <v>little</v>
      </c>
      <c r="G774" s="20" t="str">
        <f aca="false">'Raw Data'!G774</f>
        <v>none</v>
      </c>
      <c r="H774" s="20" t="n">
        <f aca="false">'Raw Data'!H774</f>
        <v>3275</v>
      </c>
      <c r="I774" s="20" t="n">
        <f aca="false">'Raw Data'!I774</f>
        <v>21</v>
      </c>
      <c r="J774" s="20" t="str">
        <f aca="false">'Raw Data'!J774</f>
        <v>car</v>
      </c>
      <c r="K774" s="21" t="n">
        <f aca="false">H774/I774</f>
        <v>155.952380952381</v>
      </c>
      <c r="L774" s="21" t="n">
        <f aca="false">100-MIN(K774/Assumptions!$B$14,1)*100</f>
        <v>61.0119047619048</v>
      </c>
      <c r="M774" s="21" t="n">
        <f aca="false">VLOOKUP(F774,Assumptions!$A$19:$B$23,2,0)</f>
        <v>25</v>
      </c>
      <c r="N774" s="21" t="n">
        <f aca="false">VLOOKUP(G774,Assumptions!$A$27:$B$30,2,0)</f>
        <v>50</v>
      </c>
      <c r="O774" s="21" t="n">
        <f aca="false">VLOOKUP(D774,Assumptions!$A$34:$B$37,2,0)</f>
        <v>100</v>
      </c>
      <c r="P774" s="21" t="n">
        <f aca="false">VLOOKUP(E774,Assumptions!$A$41:$B$43,2,0)</f>
        <v>100</v>
      </c>
      <c r="Q774" s="22" t="n">
        <f aca="false">L774*Assumptions!$B$7+M774*Assumptions!$B$8+N774*Assumptions!$B$9+O774*Assumptions!$B$10+P774*Assumptions!$B$11</f>
        <v>59.5535714285714</v>
      </c>
      <c r="R774" s="11" t="str">
        <f aca="false">IF(Q774&lt;=33,"High Risk",IF(Q774&lt;=66,"Medium Risk","Low Risk"))</f>
        <v>Medium Risk</v>
      </c>
    </row>
    <row r="775" customFormat="false" ht="15" hidden="false" customHeight="true" outlineLevel="0" collapsed="false">
      <c r="A775" s="20" t="n">
        <f aca="false">'Raw Data'!A775</f>
        <v>774</v>
      </c>
      <c r="B775" s="20" t="n">
        <f aca="false">'Raw Data'!B775</f>
        <v>52</v>
      </c>
      <c r="C775" s="20" t="str">
        <f aca="false">'Raw Data'!C775</f>
        <v>male</v>
      </c>
      <c r="D775" s="20" t="n">
        <f aca="false">'Raw Data'!D775</f>
        <v>2</v>
      </c>
      <c r="E775" s="20" t="str">
        <f aca="false">'Raw Data'!E775</f>
        <v>own</v>
      </c>
      <c r="F775" s="20" t="str">
        <f aca="false">'Raw Data'!F775</f>
        <v>moderate</v>
      </c>
      <c r="G775" s="20" t="str">
        <f aca="false">'Raw Data'!G775</f>
        <v>none</v>
      </c>
      <c r="H775" s="20" t="n">
        <f aca="false">'Raw Data'!H775</f>
        <v>2223</v>
      </c>
      <c r="I775" s="20" t="n">
        <f aca="false">'Raw Data'!I775</f>
        <v>24</v>
      </c>
      <c r="J775" s="20" t="str">
        <f aca="false">'Raw Data'!J775</f>
        <v>radio/TV</v>
      </c>
      <c r="K775" s="21" t="n">
        <f aca="false">H775/I775</f>
        <v>92.625</v>
      </c>
      <c r="L775" s="21" t="n">
        <f aca="false">100-MIN(K775/Assumptions!$B$14,1)*100</f>
        <v>76.84375</v>
      </c>
      <c r="M775" s="21" t="n">
        <f aca="false">VLOOKUP(F775,Assumptions!$A$19:$B$23,2,0)</f>
        <v>50</v>
      </c>
      <c r="N775" s="21" t="n">
        <f aca="false">VLOOKUP(G775,Assumptions!$A$27:$B$30,2,0)</f>
        <v>50</v>
      </c>
      <c r="O775" s="21" t="n">
        <f aca="false">VLOOKUP(D775,Assumptions!$A$34:$B$37,2,0)</f>
        <v>66</v>
      </c>
      <c r="P775" s="21" t="n">
        <f aca="false">VLOOKUP(E775,Assumptions!$A$41:$B$43,2,0)</f>
        <v>100</v>
      </c>
      <c r="Q775" s="22" t="n">
        <f aca="false">L775*Assumptions!$B$7+M775*Assumptions!$B$8+N775*Assumptions!$B$9+O775*Assumptions!$B$10+P775*Assumptions!$B$11</f>
        <v>65.453125</v>
      </c>
      <c r="R775" s="11" t="str">
        <f aca="false">IF(Q775&lt;=33,"High Risk",IF(Q775&lt;=66,"Medium Risk","Low Risk"))</f>
        <v>Medium Risk</v>
      </c>
    </row>
    <row r="776" customFormat="false" ht="15" hidden="false" customHeight="true" outlineLevel="0" collapsed="false">
      <c r="A776" s="20" t="n">
        <f aca="false">'Raw Data'!A776</f>
        <v>775</v>
      </c>
      <c r="B776" s="20" t="n">
        <f aca="false">'Raw Data'!B776</f>
        <v>66</v>
      </c>
      <c r="C776" s="20" t="str">
        <f aca="false">'Raw Data'!C776</f>
        <v>male</v>
      </c>
      <c r="D776" s="20" t="n">
        <f aca="false">'Raw Data'!D776</f>
        <v>0</v>
      </c>
      <c r="E776" s="20" t="str">
        <f aca="false">'Raw Data'!E776</f>
        <v>free</v>
      </c>
      <c r="F776" s="20" t="str">
        <f aca="false">'Raw Data'!F776</f>
        <v>quite rich</v>
      </c>
      <c r="G776" s="20" t="str">
        <f aca="false">'Raw Data'!G776</f>
        <v>rich</v>
      </c>
      <c r="H776" s="20" t="n">
        <f aca="false">'Raw Data'!H776</f>
        <v>1480</v>
      </c>
      <c r="I776" s="20" t="n">
        <f aca="false">'Raw Data'!I776</f>
        <v>12</v>
      </c>
      <c r="J776" s="20" t="str">
        <f aca="false">'Raw Data'!J776</f>
        <v>car</v>
      </c>
      <c r="K776" s="21" t="n">
        <f aca="false">H776/I776</f>
        <v>123.333333333333</v>
      </c>
      <c r="L776" s="21" t="n">
        <f aca="false">100-MIN(K776/Assumptions!$B$14,1)*100</f>
        <v>69.1666666666667</v>
      </c>
      <c r="M776" s="21" t="n">
        <f aca="false">VLOOKUP(F776,Assumptions!$A$19:$B$23,2,0)</f>
        <v>75</v>
      </c>
      <c r="N776" s="21" t="n">
        <f aca="false">VLOOKUP(G776,Assumptions!$A$27:$B$30,2,0)</f>
        <v>100</v>
      </c>
      <c r="O776" s="21" t="n">
        <f aca="false">VLOOKUP(D776,Assumptions!$A$34:$B$37,2,0)</f>
        <v>0</v>
      </c>
      <c r="P776" s="21" t="n">
        <f aca="false">VLOOKUP(E776,Assumptions!$A$41:$B$43,2,0)</f>
        <v>60</v>
      </c>
      <c r="Q776" s="22" t="n">
        <f aca="false">L776*Assumptions!$B$7+M776*Assumptions!$B$8+N776*Assumptions!$B$9+O776*Assumptions!$B$10+P776*Assumptions!$B$11</f>
        <v>65.5</v>
      </c>
      <c r="R776" s="11" t="str">
        <f aca="false">IF(Q776&lt;=33,"High Risk",IF(Q776&lt;=66,"Medium Risk","Low Risk"))</f>
        <v>Medium Risk</v>
      </c>
    </row>
    <row r="777" customFormat="false" ht="15" hidden="false" customHeight="true" outlineLevel="0" collapsed="false">
      <c r="A777" s="20" t="n">
        <f aca="false">'Raw Data'!A777</f>
        <v>776</v>
      </c>
      <c r="B777" s="20" t="n">
        <f aca="false">'Raw Data'!B777</f>
        <v>25</v>
      </c>
      <c r="C777" s="20" t="str">
        <f aca="false">'Raw Data'!C777</f>
        <v>female</v>
      </c>
      <c r="D777" s="20" t="n">
        <f aca="false">'Raw Data'!D777</f>
        <v>2</v>
      </c>
      <c r="E777" s="20" t="str">
        <f aca="false">'Raw Data'!E777</f>
        <v>rent</v>
      </c>
      <c r="F777" s="20" t="str">
        <f aca="false">'Raw Data'!F777</f>
        <v>none</v>
      </c>
      <c r="G777" s="20" t="str">
        <f aca="false">'Raw Data'!G777</f>
        <v>little</v>
      </c>
      <c r="H777" s="20" t="n">
        <f aca="false">'Raw Data'!H777</f>
        <v>1371</v>
      </c>
      <c r="I777" s="20" t="n">
        <f aca="false">'Raw Data'!I777</f>
        <v>24</v>
      </c>
      <c r="J777" s="20" t="str">
        <f aca="false">'Raw Data'!J777</f>
        <v>car</v>
      </c>
      <c r="K777" s="21" t="n">
        <f aca="false">H777/I777</f>
        <v>57.125</v>
      </c>
      <c r="L777" s="21" t="n">
        <f aca="false">100-MIN(K777/Assumptions!$B$14,1)*100</f>
        <v>85.71875</v>
      </c>
      <c r="M777" s="21" t="n">
        <f aca="false">VLOOKUP(F777,Assumptions!$A$19:$B$23,2,0)</f>
        <v>40</v>
      </c>
      <c r="N777" s="21" t="n">
        <f aca="false">VLOOKUP(G777,Assumptions!$A$27:$B$30,2,0)</f>
        <v>25</v>
      </c>
      <c r="O777" s="21" t="n">
        <f aca="false">VLOOKUP(D777,Assumptions!$A$34:$B$37,2,0)</f>
        <v>66</v>
      </c>
      <c r="P777" s="21" t="n">
        <f aca="false">VLOOKUP(E777,Assumptions!$A$41:$B$43,2,0)</f>
        <v>30</v>
      </c>
      <c r="Q777" s="22" t="n">
        <f aca="false">L777*Assumptions!$B$7+M777*Assumptions!$B$8+N777*Assumptions!$B$9+O777*Assumptions!$B$10+P777*Assumptions!$B$11</f>
        <v>53.615625</v>
      </c>
      <c r="R777" s="11" t="str">
        <f aca="false">IF(Q777&lt;=33,"High Risk",IF(Q777&lt;=66,"Medium Risk","Low Risk"))</f>
        <v>Medium Risk</v>
      </c>
    </row>
    <row r="778" customFormat="false" ht="15" hidden="false" customHeight="true" outlineLevel="0" collapsed="false">
      <c r="A778" s="20" t="n">
        <f aca="false">'Raw Data'!A778</f>
        <v>777</v>
      </c>
      <c r="B778" s="20" t="n">
        <f aca="false">'Raw Data'!B778</f>
        <v>37</v>
      </c>
      <c r="C778" s="20" t="str">
        <f aca="false">'Raw Data'!C778</f>
        <v>male</v>
      </c>
      <c r="D778" s="20" t="n">
        <f aca="false">'Raw Data'!D778</f>
        <v>2</v>
      </c>
      <c r="E778" s="20" t="str">
        <f aca="false">'Raw Data'!E778</f>
        <v>own</v>
      </c>
      <c r="F778" s="20" t="str">
        <f aca="false">'Raw Data'!F778</f>
        <v>little</v>
      </c>
      <c r="G778" s="20" t="str">
        <f aca="false">'Raw Data'!G778</f>
        <v>none</v>
      </c>
      <c r="H778" s="20" t="n">
        <f aca="false">'Raw Data'!H778</f>
        <v>3535</v>
      </c>
      <c r="I778" s="20" t="n">
        <f aca="false">'Raw Data'!I778</f>
        <v>36</v>
      </c>
      <c r="J778" s="20" t="str">
        <f aca="false">'Raw Data'!J778</f>
        <v>car</v>
      </c>
      <c r="K778" s="21" t="n">
        <f aca="false">H778/I778</f>
        <v>98.1944444444444</v>
      </c>
      <c r="L778" s="21" t="n">
        <f aca="false">100-MIN(K778/Assumptions!$B$14,1)*100</f>
        <v>75.4513888888889</v>
      </c>
      <c r="M778" s="21" t="n">
        <f aca="false">VLOOKUP(F778,Assumptions!$A$19:$B$23,2,0)</f>
        <v>25</v>
      </c>
      <c r="N778" s="21" t="n">
        <f aca="false">VLOOKUP(G778,Assumptions!$A$27:$B$30,2,0)</f>
        <v>50</v>
      </c>
      <c r="O778" s="21" t="n">
        <f aca="false">VLOOKUP(D778,Assumptions!$A$34:$B$37,2,0)</f>
        <v>66</v>
      </c>
      <c r="P778" s="21" t="n">
        <f aca="false">VLOOKUP(E778,Assumptions!$A$41:$B$43,2,0)</f>
        <v>100</v>
      </c>
      <c r="Q778" s="22" t="n">
        <f aca="false">L778*Assumptions!$B$7+M778*Assumptions!$B$8+N778*Assumptions!$B$9+O778*Assumptions!$B$10+P778*Assumptions!$B$11</f>
        <v>58.7854166666667</v>
      </c>
      <c r="R778" s="11" t="str">
        <f aca="false">IF(Q778&lt;=33,"High Risk",IF(Q778&lt;=66,"Medium Risk","Low Risk"))</f>
        <v>Medium Risk</v>
      </c>
    </row>
    <row r="779" customFormat="false" ht="15" hidden="false" customHeight="true" outlineLevel="0" collapsed="false">
      <c r="A779" s="20" t="n">
        <f aca="false">'Raw Data'!A779</f>
        <v>778</v>
      </c>
      <c r="B779" s="20" t="n">
        <f aca="false">'Raw Data'!B779</f>
        <v>25</v>
      </c>
      <c r="C779" s="20" t="str">
        <f aca="false">'Raw Data'!C779</f>
        <v>female</v>
      </c>
      <c r="D779" s="20" t="n">
        <f aca="false">'Raw Data'!D779</f>
        <v>2</v>
      </c>
      <c r="E779" s="20" t="str">
        <f aca="false">'Raw Data'!E779</f>
        <v>own</v>
      </c>
      <c r="F779" s="20" t="str">
        <f aca="false">'Raw Data'!F779</f>
        <v>little</v>
      </c>
      <c r="G779" s="20" t="str">
        <f aca="false">'Raw Data'!G779</f>
        <v>little</v>
      </c>
      <c r="H779" s="20" t="n">
        <f aca="false">'Raw Data'!H779</f>
        <v>3509</v>
      </c>
      <c r="I779" s="20" t="n">
        <f aca="false">'Raw Data'!I779</f>
        <v>18</v>
      </c>
      <c r="J779" s="20" t="str">
        <f aca="false">'Raw Data'!J779</f>
        <v>radio/TV</v>
      </c>
      <c r="K779" s="21" t="n">
        <f aca="false">H779/I779</f>
        <v>194.944444444444</v>
      </c>
      <c r="L779" s="21" t="n">
        <f aca="false">100-MIN(K779/Assumptions!$B$14,1)*100</f>
        <v>51.2638888888889</v>
      </c>
      <c r="M779" s="21" t="n">
        <f aca="false">VLOOKUP(F779,Assumptions!$A$19:$B$23,2,0)</f>
        <v>25</v>
      </c>
      <c r="N779" s="21" t="n">
        <f aca="false">VLOOKUP(G779,Assumptions!$A$27:$B$30,2,0)</f>
        <v>25</v>
      </c>
      <c r="O779" s="21" t="n">
        <f aca="false">VLOOKUP(D779,Assumptions!$A$34:$B$37,2,0)</f>
        <v>66</v>
      </c>
      <c r="P779" s="21" t="n">
        <f aca="false">VLOOKUP(E779,Assumptions!$A$41:$B$43,2,0)</f>
        <v>100</v>
      </c>
      <c r="Q779" s="22" t="n">
        <f aca="false">L779*Assumptions!$B$7+M779*Assumptions!$B$8+N779*Assumptions!$B$9+O779*Assumptions!$B$10+P779*Assumptions!$B$11</f>
        <v>46.5291666666667</v>
      </c>
      <c r="R779" s="11" t="str">
        <f aca="false">IF(Q779&lt;=33,"High Risk",IF(Q779&lt;=66,"Medium Risk","Low Risk"))</f>
        <v>Medium Risk</v>
      </c>
    </row>
    <row r="780" customFormat="false" ht="15" hidden="false" customHeight="true" outlineLevel="0" collapsed="false">
      <c r="A780" s="20" t="n">
        <f aca="false">'Raw Data'!A780</f>
        <v>779</v>
      </c>
      <c r="B780" s="20" t="n">
        <f aca="false">'Raw Data'!B780</f>
        <v>38</v>
      </c>
      <c r="C780" s="20" t="str">
        <f aca="false">'Raw Data'!C780</f>
        <v>male</v>
      </c>
      <c r="D780" s="20" t="n">
        <f aca="false">'Raw Data'!D780</f>
        <v>3</v>
      </c>
      <c r="E780" s="20" t="str">
        <f aca="false">'Raw Data'!E780</f>
        <v>own</v>
      </c>
      <c r="F780" s="20" t="str">
        <f aca="false">'Raw Data'!F780</f>
        <v>rich</v>
      </c>
      <c r="G780" s="20" t="str">
        <f aca="false">'Raw Data'!G780</f>
        <v>none</v>
      </c>
      <c r="H780" s="20" t="n">
        <f aca="false">'Raw Data'!H780</f>
        <v>5711</v>
      </c>
      <c r="I780" s="20" t="n">
        <f aca="false">'Raw Data'!I780</f>
        <v>36</v>
      </c>
      <c r="J780" s="20" t="str">
        <f aca="false">'Raw Data'!J780</f>
        <v>car</v>
      </c>
      <c r="K780" s="21" t="n">
        <f aca="false">H780/I780</f>
        <v>158.638888888889</v>
      </c>
      <c r="L780" s="21" t="n">
        <f aca="false">100-MIN(K780/Assumptions!$B$14,1)*100</f>
        <v>60.3402777777778</v>
      </c>
      <c r="M780" s="21" t="n">
        <f aca="false">VLOOKUP(F780,Assumptions!$A$19:$B$23,2,0)</f>
        <v>100</v>
      </c>
      <c r="N780" s="21" t="n">
        <f aca="false">VLOOKUP(G780,Assumptions!$A$27:$B$30,2,0)</f>
        <v>50</v>
      </c>
      <c r="O780" s="21" t="n">
        <f aca="false">VLOOKUP(D780,Assumptions!$A$34:$B$37,2,0)</f>
        <v>100</v>
      </c>
      <c r="P780" s="21" t="n">
        <f aca="false">VLOOKUP(E780,Assumptions!$A$41:$B$43,2,0)</f>
        <v>100</v>
      </c>
      <c r="Q780" s="22" t="n">
        <f aca="false">L780*Assumptions!$B$7+M780*Assumptions!$B$8+N780*Assumptions!$B$9+O780*Assumptions!$B$10+P780*Assumptions!$B$11</f>
        <v>78.1020833333333</v>
      </c>
      <c r="R780" s="11" t="str">
        <f aca="false">IF(Q780&lt;=33,"High Risk",IF(Q780&lt;=66,"Medium Risk","Low Risk"))</f>
        <v>Low Risk</v>
      </c>
    </row>
    <row r="781" customFormat="false" ht="15" hidden="false" customHeight="true" outlineLevel="0" collapsed="false">
      <c r="A781" s="20" t="n">
        <f aca="false">'Raw Data'!A781</f>
        <v>780</v>
      </c>
      <c r="B781" s="20" t="n">
        <f aca="false">'Raw Data'!B781</f>
        <v>67</v>
      </c>
      <c r="C781" s="20" t="str">
        <f aca="false">'Raw Data'!C781</f>
        <v>female</v>
      </c>
      <c r="D781" s="20" t="n">
        <f aca="false">'Raw Data'!D781</f>
        <v>2</v>
      </c>
      <c r="E781" s="20" t="str">
        <f aca="false">'Raw Data'!E781</f>
        <v>own</v>
      </c>
      <c r="F781" s="20" t="str">
        <f aca="false">'Raw Data'!F781</f>
        <v>little</v>
      </c>
      <c r="G781" s="20" t="str">
        <f aca="false">'Raw Data'!G781</f>
        <v>moderate</v>
      </c>
      <c r="H781" s="20" t="n">
        <f aca="false">'Raw Data'!H781</f>
        <v>3872</v>
      </c>
      <c r="I781" s="20" t="n">
        <f aca="false">'Raw Data'!I781</f>
        <v>18</v>
      </c>
      <c r="J781" s="20" t="str">
        <f aca="false">'Raw Data'!J781</f>
        <v>repairs</v>
      </c>
      <c r="K781" s="21" t="n">
        <f aca="false">H781/I781</f>
        <v>215.111111111111</v>
      </c>
      <c r="L781" s="21" t="n">
        <f aca="false">100-MIN(K781/Assumptions!$B$14,1)*100</f>
        <v>46.2222222222222</v>
      </c>
      <c r="M781" s="21" t="n">
        <f aca="false">VLOOKUP(F781,Assumptions!$A$19:$B$23,2,0)</f>
        <v>25</v>
      </c>
      <c r="N781" s="21" t="n">
        <f aca="false">VLOOKUP(G781,Assumptions!$A$27:$B$30,2,0)</f>
        <v>60</v>
      </c>
      <c r="O781" s="21" t="n">
        <f aca="false">VLOOKUP(D781,Assumptions!$A$34:$B$37,2,0)</f>
        <v>66</v>
      </c>
      <c r="P781" s="21" t="n">
        <f aca="false">VLOOKUP(E781,Assumptions!$A$41:$B$43,2,0)</f>
        <v>100</v>
      </c>
      <c r="Q781" s="22" t="n">
        <f aca="false">L781*Assumptions!$B$7+M781*Assumptions!$B$8+N781*Assumptions!$B$9+O781*Assumptions!$B$10+P781*Assumptions!$B$11</f>
        <v>52.0166666666667</v>
      </c>
      <c r="R781" s="11" t="str">
        <f aca="false">IF(Q781&lt;=33,"High Risk",IF(Q781&lt;=66,"Medium Risk","Low Risk"))</f>
        <v>Medium Risk</v>
      </c>
    </row>
    <row r="782" customFormat="false" ht="15" hidden="false" customHeight="true" outlineLevel="0" collapsed="false">
      <c r="A782" s="20" t="n">
        <f aca="false">'Raw Data'!A782</f>
        <v>781</v>
      </c>
      <c r="B782" s="20" t="n">
        <f aca="false">'Raw Data'!B782</f>
        <v>25</v>
      </c>
      <c r="C782" s="20" t="str">
        <f aca="false">'Raw Data'!C782</f>
        <v>male</v>
      </c>
      <c r="D782" s="20" t="n">
        <f aca="false">'Raw Data'!D782</f>
        <v>2</v>
      </c>
      <c r="E782" s="20" t="str">
        <f aca="false">'Raw Data'!E782</f>
        <v>own</v>
      </c>
      <c r="F782" s="20" t="str">
        <f aca="false">'Raw Data'!F782</f>
        <v>little</v>
      </c>
      <c r="G782" s="20" t="str">
        <f aca="false">'Raw Data'!G782</f>
        <v>moderate</v>
      </c>
      <c r="H782" s="20" t="n">
        <f aca="false">'Raw Data'!H782</f>
        <v>4933</v>
      </c>
      <c r="I782" s="20" t="n">
        <f aca="false">'Raw Data'!I782</f>
        <v>39</v>
      </c>
      <c r="J782" s="20" t="str">
        <f aca="false">'Raw Data'!J782</f>
        <v>radio/TV</v>
      </c>
      <c r="K782" s="21" t="n">
        <f aca="false">H782/I782</f>
        <v>126.487179487179</v>
      </c>
      <c r="L782" s="21" t="n">
        <f aca="false">100-MIN(K782/Assumptions!$B$14,1)*100</f>
        <v>68.3782051282051</v>
      </c>
      <c r="M782" s="21" t="n">
        <f aca="false">VLOOKUP(F782,Assumptions!$A$19:$B$23,2,0)</f>
        <v>25</v>
      </c>
      <c r="N782" s="21" t="n">
        <f aca="false">VLOOKUP(G782,Assumptions!$A$27:$B$30,2,0)</f>
        <v>60</v>
      </c>
      <c r="O782" s="21" t="n">
        <f aca="false">VLOOKUP(D782,Assumptions!$A$34:$B$37,2,0)</f>
        <v>66</v>
      </c>
      <c r="P782" s="21" t="n">
        <f aca="false">VLOOKUP(E782,Assumptions!$A$41:$B$43,2,0)</f>
        <v>100</v>
      </c>
      <c r="Q782" s="22" t="n">
        <f aca="false">L782*Assumptions!$B$7+M782*Assumptions!$B$8+N782*Assumptions!$B$9+O782*Assumptions!$B$10+P782*Assumptions!$B$11</f>
        <v>58.6634615384615</v>
      </c>
      <c r="R782" s="11" t="str">
        <f aca="false">IF(Q782&lt;=33,"High Risk",IF(Q782&lt;=66,"Medium Risk","Low Risk"))</f>
        <v>Medium Risk</v>
      </c>
    </row>
    <row r="783" customFormat="false" ht="15" hidden="false" customHeight="true" outlineLevel="0" collapsed="false">
      <c r="A783" s="20" t="n">
        <f aca="false">'Raw Data'!A783</f>
        <v>782</v>
      </c>
      <c r="B783" s="20" t="n">
        <f aca="false">'Raw Data'!B783</f>
        <v>60</v>
      </c>
      <c r="C783" s="20" t="str">
        <f aca="false">'Raw Data'!C783</f>
        <v>male</v>
      </c>
      <c r="D783" s="20" t="n">
        <f aca="false">'Raw Data'!D783</f>
        <v>2</v>
      </c>
      <c r="E783" s="20" t="str">
        <f aca="false">'Raw Data'!E783</f>
        <v>own</v>
      </c>
      <c r="F783" s="20" t="str">
        <f aca="false">'Raw Data'!F783</f>
        <v>rich</v>
      </c>
      <c r="G783" s="20" t="str">
        <f aca="false">'Raw Data'!G783</f>
        <v>none</v>
      </c>
      <c r="H783" s="20" t="n">
        <f aca="false">'Raw Data'!H783</f>
        <v>1940</v>
      </c>
      <c r="I783" s="20" t="n">
        <f aca="false">'Raw Data'!I783</f>
        <v>24</v>
      </c>
      <c r="J783" s="20" t="str">
        <f aca="false">'Raw Data'!J783</f>
        <v>car</v>
      </c>
      <c r="K783" s="21" t="n">
        <f aca="false">H783/I783</f>
        <v>80.8333333333333</v>
      </c>
      <c r="L783" s="21" t="n">
        <f aca="false">100-MIN(K783/Assumptions!$B$14,1)*100</f>
        <v>79.7916666666667</v>
      </c>
      <c r="M783" s="21" t="n">
        <f aca="false">VLOOKUP(F783,Assumptions!$A$19:$B$23,2,0)</f>
        <v>100</v>
      </c>
      <c r="N783" s="21" t="n">
        <f aca="false">VLOOKUP(G783,Assumptions!$A$27:$B$30,2,0)</f>
        <v>50</v>
      </c>
      <c r="O783" s="21" t="n">
        <f aca="false">VLOOKUP(D783,Assumptions!$A$34:$B$37,2,0)</f>
        <v>66</v>
      </c>
      <c r="P783" s="21" t="n">
        <f aca="false">VLOOKUP(E783,Assumptions!$A$41:$B$43,2,0)</f>
        <v>100</v>
      </c>
      <c r="Q783" s="22" t="n">
        <f aca="false">L783*Assumptions!$B$7+M783*Assumptions!$B$8+N783*Assumptions!$B$9+O783*Assumptions!$B$10+P783*Assumptions!$B$11</f>
        <v>78.8375</v>
      </c>
      <c r="R783" s="11" t="str">
        <f aca="false">IF(Q783&lt;=33,"High Risk",IF(Q783&lt;=66,"Medium Risk","Low Risk"))</f>
        <v>Low Risk</v>
      </c>
    </row>
    <row r="784" customFormat="false" ht="15" hidden="false" customHeight="true" outlineLevel="0" collapsed="false">
      <c r="A784" s="20" t="n">
        <f aca="false">'Raw Data'!A784</f>
        <v>783</v>
      </c>
      <c r="B784" s="20" t="n">
        <f aca="false">'Raw Data'!B784</f>
        <v>31</v>
      </c>
      <c r="C784" s="20" t="str">
        <f aca="false">'Raw Data'!C784</f>
        <v>male</v>
      </c>
      <c r="D784" s="20" t="n">
        <f aca="false">'Raw Data'!D784</f>
        <v>1</v>
      </c>
      <c r="E784" s="20" t="str">
        <f aca="false">'Raw Data'!E784</f>
        <v>own</v>
      </c>
      <c r="F784" s="20" t="str">
        <f aca="false">'Raw Data'!F784</f>
        <v>little</v>
      </c>
      <c r="G784" s="20" t="str">
        <f aca="false">'Raw Data'!G784</f>
        <v>moderate</v>
      </c>
      <c r="H784" s="20" t="n">
        <f aca="false">'Raw Data'!H784</f>
        <v>1410</v>
      </c>
      <c r="I784" s="20" t="n">
        <f aca="false">'Raw Data'!I784</f>
        <v>12</v>
      </c>
      <c r="J784" s="20" t="str">
        <f aca="false">'Raw Data'!J784</f>
        <v>education</v>
      </c>
      <c r="K784" s="21" t="n">
        <f aca="false">H784/I784</f>
        <v>117.5</v>
      </c>
      <c r="L784" s="21" t="n">
        <f aca="false">100-MIN(K784/Assumptions!$B$14,1)*100</f>
        <v>70.625</v>
      </c>
      <c r="M784" s="21" t="n">
        <f aca="false">VLOOKUP(F784,Assumptions!$A$19:$B$23,2,0)</f>
        <v>25</v>
      </c>
      <c r="N784" s="21" t="n">
        <f aca="false">VLOOKUP(G784,Assumptions!$A$27:$B$30,2,0)</f>
        <v>60</v>
      </c>
      <c r="O784" s="21" t="n">
        <f aca="false">VLOOKUP(D784,Assumptions!$A$34:$B$37,2,0)</f>
        <v>33</v>
      </c>
      <c r="P784" s="21" t="n">
        <f aca="false">VLOOKUP(E784,Assumptions!$A$41:$B$43,2,0)</f>
        <v>100</v>
      </c>
      <c r="Q784" s="22" t="n">
        <f aca="false">L784*Assumptions!$B$7+M784*Assumptions!$B$8+N784*Assumptions!$B$9+O784*Assumptions!$B$10+P784*Assumptions!$B$11</f>
        <v>54.3875</v>
      </c>
      <c r="R784" s="11" t="str">
        <f aca="false">IF(Q784&lt;=33,"High Risk",IF(Q784&lt;=66,"Medium Risk","Low Risk"))</f>
        <v>Medium Risk</v>
      </c>
    </row>
    <row r="785" customFormat="false" ht="15" hidden="false" customHeight="true" outlineLevel="0" collapsed="false">
      <c r="A785" s="20" t="n">
        <f aca="false">'Raw Data'!A785</f>
        <v>784</v>
      </c>
      <c r="B785" s="20" t="n">
        <f aca="false">'Raw Data'!B785</f>
        <v>23</v>
      </c>
      <c r="C785" s="20" t="str">
        <f aca="false">'Raw Data'!C785</f>
        <v>female</v>
      </c>
      <c r="D785" s="20" t="n">
        <f aca="false">'Raw Data'!D785</f>
        <v>1</v>
      </c>
      <c r="E785" s="20" t="str">
        <f aca="false">'Raw Data'!E785</f>
        <v>own</v>
      </c>
      <c r="F785" s="20" t="str">
        <f aca="false">'Raw Data'!F785</f>
        <v>moderate</v>
      </c>
      <c r="G785" s="20" t="str">
        <f aca="false">'Raw Data'!G785</f>
        <v>moderate</v>
      </c>
      <c r="H785" s="20" t="n">
        <f aca="false">'Raw Data'!H785</f>
        <v>836</v>
      </c>
      <c r="I785" s="20" t="n">
        <f aca="false">'Raw Data'!I785</f>
        <v>12</v>
      </c>
      <c r="J785" s="20" t="str">
        <f aca="false">'Raw Data'!J785</f>
        <v>car</v>
      </c>
      <c r="K785" s="21" t="n">
        <f aca="false">H785/I785</f>
        <v>69.6666666666667</v>
      </c>
      <c r="L785" s="21" t="n">
        <f aca="false">100-MIN(K785/Assumptions!$B$14,1)*100</f>
        <v>82.5833333333333</v>
      </c>
      <c r="M785" s="21" t="n">
        <f aca="false">VLOOKUP(F785,Assumptions!$A$19:$B$23,2,0)</f>
        <v>50</v>
      </c>
      <c r="N785" s="21" t="n">
        <f aca="false">VLOOKUP(G785,Assumptions!$A$27:$B$30,2,0)</f>
        <v>60</v>
      </c>
      <c r="O785" s="21" t="n">
        <f aca="false">VLOOKUP(D785,Assumptions!$A$34:$B$37,2,0)</f>
        <v>33</v>
      </c>
      <c r="P785" s="21" t="n">
        <f aca="false">VLOOKUP(E785,Assumptions!$A$41:$B$43,2,0)</f>
        <v>100</v>
      </c>
      <c r="Q785" s="22" t="n">
        <f aca="false">L785*Assumptions!$B$7+M785*Assumptions!$B$8+N785*Assumptions!$B$9+O785*Assumptions!$B$10+P785*Assumptions!$B$11</f>
        <v>64.225</v>
      </c>
      <c r="R785" s="11" t="str">
        <f aca="false">IF(Q785&lt;=33,"High Risk",IF(Q785&lt;=66,"Medium Risk","Low Risk"))</f>
        <v>Medium Risk</v>
      </c>
    </row>
    <row r="786" customFormat="false" ht="15" hidden="false" customHeight="true" outlineLevel="0" collapsed="false">
      <c r="A786" s="20" t="n">
        <f aca="false">'Raw Data'!A786</f>
        <v>785</v>
      </c>
      <c r="B786" s="20" t="n">
        <f aca="false">'Raw Data'!B786</f>
        <v>60</v>
      </c>
      <c r="C786" s="20" t="str">
        <f aca="false">'Raw Data'!C786</f>
        <v>male</v>
      </c>
      <c r="D786" s="20" t="n">
        <f aca="false">'Raw Data'!D786</f>
        <v>3</v>
      </c>
      <c r="E786" s="20" t="str">
        <f aca="false">'Raw Data'!E786</f>
        <v>own</v>
      </c>
      <c r="F786" s="20" t="str">
        <f aca="false">'Raw Data'!F786</f>
        <v>none</v>
      </c>
      <c r="G786" s="20" t="str">
        <f aca="false">'Raw Data'!G786</f>
        <v>moderate</v>
      </c>
      <c r="H786" s="20" t="n">
        <f aca="false">'Raw Data'!H786</f>
        <v>6468</v>
      </c>
      <c r="I786" s="20" t="n">
        <f aca="false">'Raw Data'!I786</f>
        <v>20</v>
      </c>
      <c r="J786" s="20" t="str">
        <f aca="false">'Raw Data'!J786</f>
        <v>car</v>
      </c>
      <c r="K786" s="21" t="n">
        <f aca="false">H786/I786</f>
        <v>323.4</v>
      </c>
      <c r="L786" s="21" t="n">
        <f aca="false">100-MIN(K786/Assumptions!$B$14,1)*100</f>
        <v>19.15</v>
      </c>
      <c r="M786" s="21" t="n">
        <f aca="false">VLOOKUP(F786,Assumptions!$A$19:$B$23,2,0)</f>
        <v>40</v>
      </c>
      <c r="N786" s="21" t="n">
        <f aca="false">VLOOKUP(G786,Assumptions!$A$27:$B$30,2,0)</f>
        <v>60</v>
      </c>
      <c r="O786" s="21" t="n">
        <f aca="false">VLOOKUP(D786,Assumptions!$A$34:$B$37,2,0)</f>
        <v>100</v>
      </c>
      <c r="P786" s="21" t="n">
        <f aca="false">VLOOKUP(E786,Assumptions!$A$41:$B$43,2,0)</f>
        <v>100</v>
      </c>
      <c r="Q786" s="22" t="n">
        <f aca="false">L786*Assumptions!$B$7+M786*Assumptions!$B$8+N786*Assumptions!$B$9+O786*Assumptions!$B$10+P786*Assumptions!$B$11</f>
        <v>52.745</v>
      </c>
      <c r="R786" s="11" t="str">
        <f aca="false">IF(Q786&lt;=33,"High Risk",IF(Q786&lt;=66,"Medium Risk","Low Risk"))</f>
        <v>Medium Risk</v>
      </c>
    </row>
    <row r="787" customFormat="false" ht="15" hidden="false" customHeight="true" outlineLevel="0" collapsed="false">
      <c r="A787" s="20" t="n">
        <f aca="false">'Raw Data'!A787</f>
        <v>786</v>
      </c>
      <c r="B787" s="20" t="n">
        <f aca="false">'Raw Data'!B787</f>
        <v>35</v>
      </c>
      <c r="C787" s="20" t="str">
        <f aca="false">'Raw Data'!C787</f>
        <v>male</v>
      </c>
      <c r="D787" s="20" t="n">
        <f aca="false">'Raw Data'!D787</f>
        <v>1</v>
      </c>
      <c r="E787" s="20" t="str">
        <f aca="false">'Raw Data'!E787</f>
        <v>own</v>
      </c>
      <c r="F787" s="20" t="str">
        <f aca="false">'Raw Data'!F787</f>
        <v>rich</v>
      </c>
      <c r="G787" s="20" t="str">
        <f aca="false">'Raw Data'!G787</f>
        <v>moderate</v>
      </c>
      <c r="H787" s="20" t="n">
        <f aca="false">'Raw Data'!H787</f>
        <v>1941</v>
      </c>
      <c r="I787" s="20" t="n">
        <f aca="false">'Raw Data'!I787</f>
        <v>18</v>
      </c>
      <c r="J787" s="20" t="str">
        <f aca="false">'Raw Data'!J787</f>
        <v>business</v>
      </c>
      <c r="K787" s="21" t="n">
        <f aca="false">H787/I787</f>
        <v>107.833333333333</v>
      </c>
      <c r="L787" s="21" t="n">
        <f aca="false">100-MIN(K787/Assumptions!$B$14,1)*100</f>
        <v>73.0416666666667</v>
      </c>
      <c r="M787" s="21" t="n">
        <f aca="false">VLOOKUP(F787,Assumptions!$A$19:$B$23,2,0)</f>
        <v>100</v>
      </c>
      <c r="N787" s="21" t="n">
        <f aca="false">VLOOKUP(G787,Assumptions!$A$27:$B$30,2,0)</f>
        <v>60</v>
      </c>
      <c r="O787" s="21" t="n">
        <f aca="false">VLOOKUP(D787,Assumptions!$A$34:$B$37,2,0)</f>
        <v>33</v>
      </c>
      <c r="P787" s="21" t="n">
        <f aca="false">VLOOKUP(E787,Assumptions!$A$41:$B$43,2,0)</f>
        <v>100</v>
      </c>
      <c r="Q787" s="22" t="n">
        <f aca="false">L787*Assumptions!$B$7+M787*Assumptions!$B$8+N787*Assumptions!$B$9+O787*Assumptions!$B$10+P787*Assumptions!$B$11</f>
        <v>73.8625</v>
      </c>
      <c r="R787" s="11" t="str">
        <f aca="false">IF(Q787&lt;=33,"High Risk",IF(Q787&lt;=66,"Medium Risk","Low Risk"))</f>
        <v>Low Risk</v>
      </c>
    </row>
    <row r="788" customFormat="false" ht="15" hidden="false" customHeight="true" outlineLevel="0" collapsed="false">
      <c r="A788" s="20" t="n">
        <f aca="false">'Raw Data'!A788</f>
        <v>787</v>
      </c>
      <c r="B788" s="20" t="n">
        <f aca="false">'Raw Data'!B788</f>
        <v>40</v>
      </c>
      <c r="C788" s="20" t="str">
        <f aca="false">'Raw Data'!C788</f>
        <v>male</v>
      </c>
      <c r="D788" s="20" t="n">
        <f aca="false">'Raw Data'!D788</f>
        <v>2</v>
      </c>
      <c r="E788" s="20" t="str">
        <f aca="false">'Raw Data'!E788</f>
        <v>own</v>
      </c>
      <c r="F788" s="20" t="str">
        <f aca="false">'Raw Data'!F788</f>
        <v>quite rich</v>
      </c>
      <c r="G788" s="20" t="str">
        <f aca="false">'Raw Data'!G788</f>
        <v>none</v>
      </c>
      <c r="H788" s="20" t="n">
        <f aca="false">'Raw Data'!H788</f>
        <v>2675</v>
      </c>
      <c r="I788" s="20" t="n">
        <f aca="false">'Raw Data'!I788</f>
        <v>22</v>
      </c>
      <c r="J788" s="20" t="str">
        <f aca="false">'Raw Data'!J788</f>
        <v>radio/TV</v>
      </c>
      <c r="K788" s="21" t="n">
        <f aca="false">H788/I788</f>
        <v>121.590909090909</v>
      </c>
      <c r="L788" s="21" t="n">
        <f aca="false">100-MIN(K788/Assumptions!$B$14,1)*100</f>
        <v>69.6022727272727</v>
      </c>
      <c r="M788" s="21" t="n">
        <f aca="false">VLOOKUP(F788,Assumptions!$A$19:$B$23,2,0)</f>
        <v>75</v>
      </c>
      <c r="N788" s="21" t="n">
        <f aca="false">VLOOKUP(G788,Assumptions!$A$27:$B$30,2,0)</f>
        <v>50</v>
      </c>
      <c r="O788" s="21" t="n">
        <f aca="false">VLOOKUP(D788,Assumptions!$A$34:$B$37,2,0)</f>
        <v>66</v>
      </c>
      <c r="P788" s="21" t="n">
        <f aca="false">VLOOKUP(E788,Assumptions!$A$41:$B$43,2,0)</f>
        <v>100</v>
      </c>
      <c r="Q788" s="22" t="n">
        <f aca="false">L788*Assumptions!$B$7+M788*Assumptions!$B$8+N788*Assumptions!$B$9+O788*Assumptions!$B$10+P788*Assumptions!$B$11</f>
        <v>69.5306818181818</v>
      </c>
      <c r="R788" s="11" t="str">
        <f aca="false">IF(Q788&lt;=33,"High Risk",IF(Q788&lt;=66,"Medium Risk","Low Risk"))</f>
        <v>Low Risk</v>
      </c>
    </row>
    <row r="789" customFormat="false" ht="15" hidden="false" customHeight="true" outlineLevel="0" collapsed="false">
      <c r="A789" s="20" t="n">
        <f aca="false">'Raw Data'!A789</f>
        <v>788</v>
      </c>
      <c r="B789" s="20" t="n">
        <f aca="false">'Raw Data'!B789</f>
        <v>38</v>
      </c>
      <c r="C789" s="20" t="str">
        <f aca="false">'Raw Data'!C789</f>
        <v>male</v>
      </c>
      <c r="D789" s="20" t="n">
        <f aca="false">'Raw Data'!D789</f>
        <v>2</v>
      </c>
      <c r="E789" s="20" t="str">
        <f aca="false">'Raw Data'!E789</f>
        <v>own</v>
      </c>
      <c r="F789" s="20" t="str">
        <f aca="false">'Raw Data'!F789</f>
        <v>none</v>
      </c>
      <c r="G789" s="20" t="str">
        <f aca="false">'Raw Data'!G789</f>
        <v>none</v>
      </c>
      <c r="H789" s="20" t="n">
        <f aca="false">'Raw Data'!H789</f>
        <v>2751</v>
      </c>
      <c r="I789" s="20" t="n">
        <f aca="false">'Raw Data'!I789</f>
        <v>48</v>
      </c>
      <c r="J789" s="20" t="str">
        <f aca="false">'Raw Data'!J789</f>
        <v>car</v>
      </c>
      <c r="K789" s="21" t="n">
        <f aca="false">H789/I789</f>
        <v>57.3125</v>
      </c>
      <c r="L789" s="21" t="n">
        <f aca="false">100-MIN(K789/Assumptions!$B$14,1)*100</f>
        <v>85.671875</v>
      </c>
      <c r="M789" s="21" t="n">
        <f aca="false">VLOOKUP(F789,Assumptions!$A$19:$B$23,2,0)</f>
        <v>40</v>
      </c>
      <c r="N789" s="21" t="n">
        <f aca="false">VLOOKUP(G789,Assumptions!$A$27:$B$30,2,0)</f>
        <v>50</v>
      </c>
      <c r="O789" s="21" t="n">
        <f aca="false">VLOOKUP(D789,Assumptions!$A$34:$B$37,2,0)</f>
        <v>66</v>
      </c>
      <c r="P789" s="21" t="n">
        <f aca="false">VLOOKUP(E789,Assumptions!$A$41:$B$43,2,0)</f>
        <v>100</v>
      </c>
      <c r="Q789" s="22" t="n">
        <f aca="false">L789*Assumptions!$B$7+M789*Assumptions!$B$8+N789*Assumptions!$B$9+O789*Assumptions!$B$10+P789*Assumptions!$B$11</f>
        <v>65.6015625</v>
      </c>
      <c r="R789" s="11" t="str">
        <f aca="false">IF(Q789&lt;=33,"High Risk",IF(Q789&lt;=66,"Medium Risk","Low Risk"))</f>
        <v>Medium Risk</v>
      </c>
    </row>
    <row r="790" customFormat="false" ht="15" hidden="false" customHeight="true" outlineLevel="0" collapsed="false">
      <c r="A790" s="20" t="n">
        <f aca="false">'Raw Data'!A790</f>
        <v>789</v>
      </c>
      <c r="B790" s="20" t="n">
        <f aca="false">'Raw Data'!B790</f>
        <v>50</v>
      </c>
      <c r="C790" s="20" t="str">
        <f aca="false">'Raw Data'!C790</f>
        <v>male</v>
      </c>
      <c r="D790" s="20" t="n">
        <f aca="false">'Raw Data'!D790</f>
        <v>2</v>
      </c>
      <c r="E790" s="20" t="str">
        <f aca="false">'Raw Data'!E790</f>
        <v>free</v>
      </c>
      <c r="F790" s="20" t="str">
        <f aca="false">'Raw Data'!F790</f>
        <v>little</v>
      </c>
      <c r="G790" s="20" t="str">
        <f aca="false">'Raw Data'!G790</f>
        <v>moderate</v>
      </c>
      <c r="H790" s="20" t="n">
        <f aca="false">'Raw Data'!H790</f>
        <v>6224</v>
      </c>
      <c r="I790" s="20" t="n">
        <f aca="false">'Raw Data'!I790</f>
        <v>48</v>
      </c>
      <c r="J790" s="20" t="str">
        <f aca="false">'Raw Data'!J790</f>
        <v>education</v>
      </c>
      <c r="K790" s="21" t="n">
        <f aca="false">H790/I790</f>
        <v>129.666666666667</v>
      </c>
      <c r="L790" s="21" t="n">
        <f aca="false">100-MIN(K790/Assumptions!$B$14,1)*100</f>
        <v>67.5833333333333</v>
      </c>
      <c r="M790" s="21" t="n">
        <f aca="false">VLOOKUP(F790,Assumptions!$A$19:$B$23,2,0)</f>
        <v>25</v>
      </c>
      <c r="N790" s="21" t="n">
        <f aca="false">VLOOKUP(G790,Assumptions!$A$27:$B$30,2,0)</f>
        <v>60</v>
      </c>
      <c r="O790" s="21" t="n">
        <f aca="false">VLOOKUP(D790,Assumptions!$A$34:$B$37,2,0)</f>
        <v>66</v>
      </c>
      <c r="P790" s="21" t="n">
        <f aca="false">VLOOKUP(E790,Assumptions!$A$41:$B$43,2,0)</f>
        <v>60</v>
      </c>
      <c r="Q790" s="22" t="n">
        <f aca="false">L790*Assumptions!$B$7+M790*Assumptions!$B$8+N790*Assumptions!$B$9+O790*Assumptions!$B$10+P790*Assumptions!$B$11</f>
        <v>54.425</v>
      </c>
      <c r="R790" s="11" t="str">
        <f aca="false">IF(Q790&lt;=33,"High Risk",IF(Q790&lt;=66,"Medium Risk","Low Risk"))</f>
        <v>Medium Risk</v>
      </c>
    </row>
    <row r="791" customFormat="false" ht="15" hidden="false" customHeight="true" outlineLevel="0" collapsed="false">
      <c r="A791" s="20" t="n">
        <f aca="false">'Raw Data'!A791</f>
        <v>790</v>
      </c>
      <c r="B791" s="20" t="n">
        <f aca="false">'Raw Data'!B791</f>
        <v>27</v>
      </c>
      <c r="C791" s="20" t="str">
        <f aca="false">'Raw Data'!C791</f>
        <v>male</v>
      </c>
      <c r="D791" s="20" t="n">
        <f aca="false">'Raw Data'!D791</f>
        <v>2</v>
      </c>
      <c r="E791" s="20" t="str">
        <f aca="false">'Raw Data'!E791</f>
        <v>own</v>
      </c>
      <c r="F791" s="20" t="str">
        <f aca="false">'Raw Data'!F791</f>
        <v>little</v>
      </c>
      <c r="G791" s="20" t="str">
        <f aca="false">'Raw Data'!G791</f>
        <v>little</v>
      </c>
      <c r="H791" s="20" t="n">
        <f aca="false">'Raw Data'!H791</f>
        <v>5998</v>
      </c>
      <c r="I791" s="20" t="n">
        <f aca="false">'Raw Data'!I791</f>
        <v>40</v>
      </c>
      <c r="J791" s="20" t="str">
        <f aca="false">'Raw Data'!J791</f>
        <v>education</v>
      </c>
      <c r="K791" s="21" t="n">
        <f aca="false">H791/I791</f>
        <v>149.95</v>
      </c>
      <c r="L791" s="21" t="n">
        <f aca="false">100-MIN(K791/Assumptions!$B$14,1)*100</f>
        <v>62.5125</v>
      </c>
      <c r="M791" s="21" t="n">
        <f aca="false">VLOOKUP(F791,Assumptions!$A$19:$B$23,2,0)</f>
        <v>25</v>
      </c>
      <c r="N791" s="21" t="n">
        <f aca="false">VLOOKUP(G791,Assumptions!$A$27:$B$30,2,0)</f>
        <v>25</v>
      </c>
      <c r="O791" s="21" t="n">
        <f aca="false">VLOOKUP(D791,Assumptions!$A$34:$B$37,2,0)</f>
        <v>66</v>
      </c>
      <c r="P791" s="21" t="n">
        <f aca="false">VLOOKUP(E791,Assumptions!$A$41:$B$43,2,0)</f>
        <v>100</v>
      </c>
      <c r="Q791" s="22" t="n">
        <f aca="false">L791*Assumptions!$B$7+M791*Assumptions!$B$8+N791*Assumptions!$B$9+O791*Assumptions!$B$10+P791*Assumptions!$B$11</f>
        <v>49.90375</v>
      </c>
      <c r="R791" s="11" t="str">
        <f aca="false">IF(Q791&lt;=33,"High Risk",IF(Q791&lt;=66,"Medium Risk","Low Risk"))</f>
        <v>Medium Risk</v>
      </c>
    </row>
    <row r="792" customFormat="false" ht="15" hidden="false" customHeight="true" outlineLevel="0" collapsed="false">
      <c r="A792" s="20" t="n">
        <f aca="false">'Raw Data'!A792</f>
        <v>791</v>
      </c>
      <c r="B792" s="20" t="n">
        <f aca="false">'Raw Data'!B792</f>
        <v>39</v>
      </c>
      <c r="C792" s="20" t="str">
        <f aca="false">'Raw Data'!C792</f>
        <v>female</v>
      </c>
      <c r="D792" s="20" t="n">
        <f aca="false">'Raw Data'!D792</f>
        <v>2</v>
      </c>
      <c r="E792" s="20" t="str">
        <f aca="false">'Raw Data'!E792</f>
        <v>own</v>
      </c>
      <c r="F792" s="20" t="str">
        <f aca="false">'Raw Data'!F792</f>
        <v>little</v>
      </c>
      <c r="G792" s="20" t="str">
        <f aca="false">'Raw Data'!G792</f>
        <v>moderate</v>
      </c>
      <c r="H792" s="20" t="n">
        <f aca="false">'Raw Data'!H792</f>
        <v>1188</v>
      </c>
      <c r="I792" s="20" t="n">
        <f aca="false">'Raw Data'!I792</f>
        <v>21</v>
      </c>
      <c r="J792" s="20" t="str">
        <f aca="false">'Raw Data'!J792</f>
        <v>business</v>
      </c>
      <c r="K792" s="21" t="n">
        <f aca="false">H792/I792</f>
        <v>56.5714285714286</v>
      </c>
      <c r="L792" s="21" t="n">
        <f aca="false">100-MIN(K792/Assumptions!$B$14,1)*100</f>
        <v>85.8571428571429</v>
      </c>
      <c r="M792" s="21" t="n">
        <f aca="false">VLOOKUP(F792,Assumptions!$A$19:$B$23,2,0)</f>
        <v>25</v>
      </c>
      <c r="N792" s="21" t="n">
        <f aca="false">VLOOKUP(G792,Assumptions!$A$27:$B$30,2,0)</f>
        <v>60</v>
      </c>
      <c r="O792" s="21" t="n">
        <f aca="false">VLOOKUP(D792,Assumptions!$A$34:$B$37,2,0)</f>
        <v>66</v>
      </c>
      <c r="P792" s="21" t="n">
        <f aca="false">VLOOKUP(E792,Assumptions!$A$41:$B$43,2,0)</f>
        <v>100</v>
      </c>
      <c r="Q792" s="22" t="n">
        <f aca="false">L792*Assumptions!$B$7+M792*Assumptions!$B$8+N792*Assumptions!$B$9+O792*Assumptions!$B$10+P792*Assumptions!$B$11</f>
        <v>63.9071428571429</v>
      </c>
      <c r="R792" s="11" t="str">
        <f aca="false">IF(Q792&lt;=33,"High Risk",IF(Q792&lt;=66,"Medium Risk","Low Risk"))</f>
        <v>Medium Risk</v>
      </c>
    </row>
    <row r="793" customFormat="false" ht="15" hidden="false" customHeight="true" outlineLevel="0" collapsed="false">
      <c r="A793" s="20" t="n">
        <f aca="false">'Raw Data'!A793</f>
        <v>792</v>
      </c>
      <c r="B793" s="20" t="n">
        <f aca="false">'Raw Data'!B793</f>
        <v>41</v>
      </c>
      <c r="C793" s="20" t="str">
        <f aca="false">'Raw Data'!C793</f>
        <v>male</v>
      </c>
      <c r="D793" s="20" t="n">
        <f aca="false">'Raw Data'!D793</f>
        <v>3</v>
      </c>
      <c r="E793" s="20" t="str">
        <f aca="false">'Raw Data'!E793</f>
        <v>own</v>
      </c>
      <c r="F793" s="20" t="str">
        <f aca="false">'Raw Data'!F793</f>
        <v>none</v>
      </c>
      <c r="G793" s="20" t="str">
        <f aca="false">'Raw Data'!G793</f>
        <v>none</v>
      </c>
      <c r="H793" s="20" t="n">
        <f aca="false">'Raw Data'!H793</f>
        <v>6313</v>
      </c>
      <c r="I793" s="20" t="n">
        <f aca="false">'Raw Data'!I793</f>
        <v>24</v>
      </c>
      <c r="J793" s="20" t="str">
        <f aca="false">'Raw Data'!J793</f>
        <v>car</v>
      </c>
      <c r="K793" s="21" t="n">
        <f aca="false">H793/I793</f>
        <v>263.041666666667</v>
      </c>
      <c r="L793" s="21" t="n">
        <f aca="false">100-MIN(K793/Assumptions!$B$14,1)*100</f>
        <v>34.2395833333333</v>
      </c>
      <c r="M793" s="21" t="n">
        <f aca="false">VLOOKUP(F793,Assumptions!$A$19:$B$23,2,0)</f>
        <v>40</v>
      </c>
      <c r="N793" s="21" t="n">
        <f aca="false">VLOOKUP(G793,Assumptions!$A$27:$B$30,2,0)</f>
        <v>50</v>
      </c>
      <c r="O793" s="21" t="n">
        <f aca="false">VLOOKUP(D793,Assumptions!$A$34:$B$37,2,0)</f>
        <v>100</v>
      </c>
      <c r="P793" s="21" t="n">
        <f aca="false">VLOOKUP(E793,Assumptions!$A$41:$B$43,2,0)</f>
        <v>100</v>
      </c>
      <c r="Q793" s="22" t="n">
        <f aca="false">L793*Assumptions!$B$7+M793*Assumptions!$B$8+N793*Assumptions!$B$9+O793*Assumptions!$B$10+P793*Assumptions!$B$11</f>
        <v>55.271875</v>
      </c>
      <c r="R793" s="11" t="str">
        <f aca="false">IF(Q793&lt;=33,"High Risk",IF(Q793&lt;=66,"Medium Risk","Low Risk"))</f>
        <v>Medium Risk</v>
      </c>
    </row>
    <row r="794" customFormat="false" ht="15" hidden="false" customHeight="true" outlineLevel="0" collapsed="false">
      <c r="A794" s="20" t="n">
        <f aca="false">'Raw Data'!A794</f>
        <v>793</v>
      </c>
      <c r="B794" s="20" t="n">
        <f aca="false">'Raw Data'!B794</f>
        <v>27</v>
      </c>
      <c r="C794" s="20" t="str">
        <f aca="false">'Raw Data'!C794</f>
        <v>male</v>
      </c>
      <c r="D794" s="20" t="n">
        <f aca="false">'Raw Data'!D794</f>
        <v>2</v>
      </c>
      <c r="E794" s="20" t="str">
        <f aca="false">'Raw Data'!E794</f>
        <v>own</v>
      </c>
      <c r="F794" s="20" t="str">
        <f aca="false">'Raw Data'!F794</f>
        <v>none</v>
      </c>
      <c r="G794" s="20" t="str">
        <f aca="false">'Raw Data'!G794</f>
        <v>none</v>
      </c>
      <c r="H794" s="20" t="n">
        <f aca="false">'Raw Data'!H794</f>
        <v>1221</v>
      </c>
      <c r="I794" s="20" t="n">
        <f aca="false">'Raw Data'!I794</f>
        <v>6</v>
      </c>
      <c r="J794" s="20" t="str">
        <f aca="false">'Raw Data'!J794</f>
        <v>furniture/equipment</v>
      </c>
      <c r="K794" s="21" t="n">
        <f aca="false">H794/I794</f>
        <v>203.5</v>
      </c>
      <c r="L794" s="21" t="n">
        <f aca="false">100-MIN(K794/Assumptions!$B$14,1)*100</f>
        <v>49.125</v>
      </c>
      <c r="M794" s="21" t="n">
        <f aca="false">VLOOKUP(F794,Assumptions!$A$19:$B$23,2,0)</f>
        <v>40</v>
      </c>
      <c r="N794" s="21" t="n">
        <f aca="false">VLOOKUP(G794,Assumptions!$A$27:$B$30,2,0)</f>
        <v>50</v>
      </c>
      <c r="O794" s="21" t="n">
        <f aca="false">VLOOKUP(D794,Assumptions!$A$34:$B$37,2,0)</f>
        <v>66</v>
      </c>
      <c r="P794" s="21" t="n">
        <f aca="false">VLOOKUP(E794,Assumptions!$A$41:$B$43,2,0)</f>
        <v>100</v>
      </c>
      <c r="Q794" s="22" t="n">
        <f aca="false">L794*Assumptions!$B$7+M794*Assumptions!$B$8+N794*Assumptions!$B$9+O794*Assumptions!$B$10+P794*Assumptions!$B$11</f>
        <v>54.6375</v>
      </c>
      <c r="R794" s="11" t="str">
        <f aca="false">IF(Q794&lt;=33,"High Risk",IF(Q794&lt;=66,"Medium Risk","Low Risk"))</f>
        <v>Medium Risk</v>
      </c>
    </row>
    <row r="795" customFormat="false" ht="15" hidden="false" customHeight="true" outlineLevel="0" collapsed="false">
      <c r="A795" s="20" t="n">
        <f aca="false">'Raw Data'!A795</f>
        <v>794</v>
      </c>
      <c r="B795" s="20" t="n">
        <f aca="false">'Raw Data'!B795</f>
        <v>51</v>
      </c>
      <c r="C795" s="20" t="str">
        <f aca="false">'Raw Data'!C795</f>
        <v>male</v>
      </c>
      <c r="D795" s="20" t="n">
        <f aca="false">'Raw Data'!D795</f>
        <v>2</v>
      </c>
      <c r="E795" s="20" t="str">
        <f aca="false">'Raw Data'!E795</f>
        <v>free</v>
      </c>
      <c r="F795" s="20" t="str">
        <f aca="false">'Raw Data'!F795</f>
        <v>little</v>
      </c>
      <c r="G795" s="20" t="str">
        <f aca="false">'Raw Data'!G795</f>
        <v>rich</v>
      </c>
      <c r="H795" s="20" t="n">
        <f aca="false">'Raw Data'!H795</f>
        <v>2892</v>
      </c>
      <c r="I795" s="20" t="n">
        <f aca="false">'Raw Data'!I795</f>
        <v>24</v>
      </c>
      <c r="J795" s="20" t="str">
        <f aca="false">'Raw Data'!J795</f>
        <v>furniture/equipment</v>
      </c>
      <c r="K795" s="21" t="n">
        <f aca="false">H795/I795</f>
        <v>120.5</v>
      </c>
      <c r="L795" s="21" t="n">
        <f aca="false">100-MIN(K795/Assumptions!$B$14,1)*100</f>
        <v>69.875</v>
      </c>
      <c r="M795" s="21" t="n">
        <f aca="false">VLOOKUP(F795,Assumptions!$A$19:$B$23,2,0)</f>
        <v>25</v>
      </c>
      <c r="N795" s="21" t="n">
        <f aca="false">VLOOKUP(G795,Assumptions!$A$27:$B$30,2,0)</f>
        <v>100</v>
      </c>
      <c r="O795" s="21" t="n">
        <f aca="false">VLOOKUP(D795,Assumptions!$A$34:$B$37,2,0)</f>
        <v>66</v>
      </c>
      <c r="P795" s="21" t="n">
        <f aca="false">VLOOKUP(E795,Assumptions!$A$41:$B$43,2,0)</f>
        <v>60</v>
      </c>
      <c r="Q795" s="22" t="n">
        <f aca="false">L795*Assumptions!$B$7+M795*Assumptions!$B$8+N795*Assumptions!$B$9+O795*Assumptions!$B$10+P795*Assumptions!$B$11</f>
        <v>63.1125</v>
      </c>
      <c r="R795" s="11" t="str">
        <f aca="false">IF(Q795&lt;=33,"High Risk",IF(Q795&lt;=66,"Medium Risk","Low Risk"))</f>
        <v>Medium Risk</v>
      </c>
    </row>
    <row r="796" customFormat="false" ht="15" hidden="false" customHeight="true" outlineLevel="0" collapsed="false">
      <c r="A796" s="20" t="n">
        <f aca="false">'Raw Data'!A796</f>
        <v>795</v>
      </c>
      <c r="B796" s="20" t="n">
        <f aca="false">'Raw Data'!B796</f>
        <v>32</v>
      </c>
      <c r="C796" s="20" t="str">
        <f aca="false">'Raw Data'!C796</f>
        <v>male</v>
      </c>
      <c r="D796" s="20" t="n">
        <f aca="false">'Raw Data'!D796</f>
        <v>2</v>
      </c>
      <c r="E796" s="20" t="str">
        <f aca="false">'Raw Data'!E796</f>
        <v>rent</v>
      </c>
      <c r="F796" s="20" t="str">
        <f aca="false">'Raw Data'!F796</f>
        <v>quite rich</v>
      </c>
      <c r="G796" s="20" t="str">
        <f aca="false">'Raw Data'!G796</f>
        <v>none</v>
      </c>
      <c r="H796" s="20" t="n">
        <f aca="false">'Raw Data'!H796</f>
        <v>3062</v>
      </c>
      <c r="I796" s="20" t="n">
        <f aca="false">'Raw Data'!I796</f>
        <v>24</v>
      </c>
      <c r="J796" s="20" t="str">
        <f aca="false">'Raw Data'!J796</f>
        <v>furniture/equipment</v>
      </c>
      <c r="K796" s="21" t="n">
        <f aca="false">H796/I796</f>
        <v>127.583333333333</v>
      </c>
      <c r="L796" s="21" t="n">
        <f aca="false">100-MIN(K796/Assumptions!$B$14,1)*100</f>
        <v>68.1041666666667</v>
      </c>
      <c r="M796" s="21" t="n">
        <f aca="false">VLOOKUP(F796,Assumptions!$A$19:$B$23,2,0)</f>
        <v>75</v>
      </c>
      <c r="N796" s="21" t="n">
        <f aca="false">VLOOKUP(G796,Assumptions!$A$27:$B$30,2,0)</f>
        <v>50</v>
      </c>
      <c r="O796" s="21" t="n">
        <f aca="false">VLOOKUP(D796,Assumptions!$A$34:$B$37,2,0)</f>
        <v>66</v>
      </c>
      <c r="P796" s="21" t="n">
        <f aca="false">VLOOKUP(E796,Assumptions!$A$41:$B$43,2,0)</f>
        <v>30</v>
      </c>
      <c r="Q796" s="22" t="n">
        <f aca="false">L796*Assumptions!$B$7+M796*Assumptions!$B$8+N796*Assumptions!$B$9+O796*Assumptions!$B$10+P796*Assumptions!$B$11</f>
        <v>62.08125</v>
      </c>
      <c r="R796" s="11" t="str">
        <f aca="false">IF(Q796&lt;=33,"High Risk",IF(Q796&lt;=66,"Medium Risk","Low Risk"))</f>
        <v>Medium Risk</v>
      </c>
    </row>
    <row r="797" customFormat="false" ht="15" hidden="false" customHeight="true" outlineLevel="0" collapsed="false">
      <c r="A797" s="20" t="n">
        <f aca="false">'Raw Data'!A797</f>
        <v>796</v>
      </c>
      <c r="B797" s="20" t="n">
        <f aca="false">'Raw Data'!B797</f>
        <v>22</v>
      </c>
      <c r="C797" s="20" t="str">
        <f aca="false">'Raw Data'!C797</f>
        <v>female</v>
      </c>
      <c r="D797" s="20" t="n">
        <f aca="false">'Raw Data'!D797</f>
        <v>2</v>
      </c>
      <c r="E797" s="20" t="str">
        <f aca="false">'Raw Data'!E797</f>
        <v>rent</v>
      </c>
      <c r="F797" s="20" t="str">
        <f aca="false">'Raw Data'!F797</f>
        <v>moderate</v>
      </c>
      <c r="G797" s="20" t="str">
        <f aca="false">'Raw Data'!G797</f>
        <v>none</v>
      </c>
      <c r="H797" s="20" t="n">
        <f aca="false">'Raw Data'!H797</f>
        <v>2301</v>
      </c>
      <c r="I797" s="20" t="n">
        <f aca="false">'Raw Data'!I797</f>
        <v>9</v>
      </c>
      <c r="J797" s="20" t="str">
        <f aca="false">'Raw Data'!J797</f>
        <v>furniture/equipment</v>
      </c>
      <c r="K797" s="21" t="n">
        <f aca="false">H797/I797</f>
        <v>255.666666666667</v>
      </c>
      <c r="L797" s="21" t="n">
        <f aca="false">100-MIN(K797/Assumptions!$B$14,1)*100</f>
        <v>36.0833333333333</v>
      </c>
      <c r="M797" s="21" t="n">
        <f aca="false">VLOOKUP(F797,Assumptions!$A$19:$B$23,2,0)</f>
        <v>50</v>
      </c>
      <c r="N797" s="21" t="n">
        <f aca="false">VLOOKUP(G797,Assumptions!$A$27:$B$30,2,0)</f>
        <v>50</v>
      </c>
      <c r="O797" s="21" t="n">
        <f aca="false">VLOOKUP(D797,Assumptions!$A$34:$B$37,2,0)</f>
        <v>66</v>
      </c>
      <c r="P797" s="21" t="n">
        <f aca="false">VLOOKUP(E797,Assumptions!$A$41:$B$43,2,0)</f>
        <v>30</v>
      </c>
      <c r="Q797" s="22" t="n">
        <f aca="false">L797*Assumptions!$B$7+M797*Assumptions!$B$8+N797*Assumptions!$B$9+O797*Assumptions!$B$10+P797*Assumptions!$B$11</f>
        <v>46.225</v>
      </c>
      <c r="R797" s="11" t="str">
        <f aca="false">IF(Q797&lt;=33,"High Risk",IF(Q797&lt;=66,"Medium Risk","Low Risk"))</f>
        <v>Medium Risk</v>
      </c>
    </row>
    <row r="798" customFormat="false" ht="15" hidden="false" customHeight="true" outlineLevel="0" collapsed="false">
      <c r="A798" s="20" t="n">
        <f aca="false">'Raw Data'!A798</f>
        <v>797</v>
      </c>
      <c r="B798" s="20" t="n">
        <f aca="false">'Raw Data'!B798</f>
        <v>51</v>
      </c>
      <c r="C798" s="20" t="str">
        <f aca="false">'Raw Data'!C798</f>
        <v>male</v>
      </c>
      <c r="D798" s="20" t="n">
        <f aca="false">'Raw Data'!D798</f>
        <v>2</v>
      </c>
      <c r="E798" s="20" t="str">
        <f aca="false">'Raw Data'!E798</f>
        <v>free</v>
      </c>
      <c r="F798" s="20" t="str">
        <f aca="false">'Raw Data'!F798</f>
        <v>none</v>
      </c>
      <c r="G798" s="20" t="str">
        <f aca="false">'Raw Data'!G798</f>
        <v>little</v>
      </c>
      <c r="H798" s="20" t="n">
        <f aca="false">'Raw Data'!H798</f>
        <v>7511</v>
      </c>
      <c r="I798" s="20" t="n">
        <f aca="false">'Raw Data'!I798</f>
        <v>18</v>
      </c>
      <c r="J798" s="20" t="str">
        <f aca="false">'Raw Data'!J798</f>
        <v>car</v>
      </c>
      <c r="K798" s="21" t="n">
        <f aca="false">H798/I798</f>
        <v>417.277777777778</v>
      </c>
      <c r="L798" s="21" t="n">
        <f aca="false">100-MIN(K798/Assumptions!$B$14,1)*100</f>
        <v>0</v>
      </c>
      <c r="M798" s="21" t="n">
        <f aca="false">VLOOKUP(F798,Assumptions!$A$19:$B$23,2,0)</f>
        <v>40</v>
      </c>
      <c r="N798" s="21" t="n">
        <f aca="false">VLOOKUP(G798,Assumptions!$A$27:$B$30,2,0)</f>
        <v>25</v>
      </c>
      <c r="O798" s="21" t="n">
        <f aca="false">VLOOKUP(D798,Assumptions!$A$34:$B$37,2,0)</f>
        <v>66</v>
      </c>
      <c r="P798" s="21" t="n">
        <f aca="false">VLOOKUP(E798,Assumptions!$A$41:$B$43,2,0)</f>
        <v>60</v>
      </c>
      <c r="Q798" s="22" t="n">
        <f aca="false">L798*Assumptions!$B$7+M798*Assumptions!$B$8+N798*Assumptions!$B$9+O798*Assumptions!$B$10+P798*Assumptions!$B$11</f>
        <v>30.9</v>
      </c>
      <c r="R798" s="11" t="str">
        <f aca="false">IF(Q798&lt;=33,"High Risk",IF(Q798&lt;=66,"Medium Risk","Low Risk"))</f>
        <v>High Risk</v>
      </c>
    </row>
    <row r="799" customFormat="false" ht="15" hidden="false" customHeight="true" outlineLevel="0" collapsed="false">
      <c r="A799" s="20" t="n">
        <f aca="false">'Raw Data'!A799</f>
        <v>798</v>
      </c>
      <c r="B799" s="20" t="n">
        <f aca="false">'Raw Data'!B799</f>
        <v>22</v>
      </c>
      <c r="C799" s="20" t="str">
        <f aca="false">'Raw Data'!C799</f>
        <v>female</v>
      </c>
      <c r="D799" s="20" t="n">
        <f aca="false">'Raw Data'!D799</f>
        <v>1</v>
      </c>
      <c r="E799" s="20" t="str">
        <f aca="false">'Raw Data'!E799</f>
        <v>rent</v>
      </c>
      <c r="F799" s="20" t="str">
        <f aca="false">'Raw Data'!F799</f>
        <v>little</v>
      </c>
      <c r="G799" s="20" t="str">
        <f aca="false">'Raw Data'!G799</f>
        <v>none</v>
      </c>
      <c r="H799" s="20" t="n">
        <f aca="false">'Raw Data'!H799</f>
        <v>1258</v>
      </c>
      <c r="I799" s="20" t="n">
        <f aca="false">'Raw Data'!I799</f>
        <v>12</v>
      </c>
      <c r="J799" s="20" t="str">
        <f aca="false">'Raw Data'!J799</f>
        <v>furniture/equipment</v>
      </c>
      <c r="K799" s="21" t="n">
        <f aca="false">H799/I799</f>
        <v>104.833333333333</v>
      </c>
      <c r="L799" s="21" t="n">
        <f aca="false">100-MIN(K799/Assumptions!$B$14,1)*100</f>
        <v>73.7916666666667</v>
      </c>
      <c r="M799" s="21" t="n">
        <f aca="false">VLOOKUP(F799,Assumptions!$A$19:$B$23,2,0)</f>
        <v>25</v>
      </c>
      <c r="N799" s="21" t="n">
        <f aca="false">VLOOKUP(G799,Assumptions!$A$27:$B$30,2,0)</f>
        <v>50</v>
      </c>
      <c r="O799" s="21" t="n">
        <f aca="false">VLOOKUP(D799,Assumptions!$A$34:$B$37,2,0)</f>
        <v>33</v>
      </c>
      <c r="P799" s="21" t="n">
        <f aca="false">VLOOKUP(E799,Assumptions!$A$41:$B$43,2,0)</f>
        <v>30</v>
      </c>
      <c r="Q799" s="22" t="n">
        <f aca="false">L799*Assumptions!$B$7+M799*Assumptions!$B$8+N799*Assumptions!$B$9+O799*Assumptions!$B$10+P799*Assumptions!$B$11</f>
        <v>46.3375</v>
      </c>
      <c r="R799" s="11" t="str">
        <f aca="false">IF(Q799&lt;=33,"High Risk",IF(Q799&lt;=66,"Medium Risk","Low Risk"))</f>
        <v>Medium Risk</v>
      </c>
    </row>
    <row r="800" customFormat="false" ht="15" hidden="false" customHeight="true" outlineLevel="0" collapsed="false">
      <c r="A800" s="20" t="n">
        <f aca="false">'Raw Data'!A800</f>
        <v>799</v>
      </c>
      <c r="B800" s="20" t="n">
        <f aca="false">'Raw Data'!B800</f>
        <v>54</v>
      </c>
      <c r="C800" s="20" t="str">
        <f aca="false">'Raw Data'!C800</f>
        <v>male</v>
      </c>
      <c r="D800" s="20" t="n">
        <f aca="false">'Raw Data'!D800</f>
        <v>2</v>
      </c>
      <c r="E800" s="20" t="str">
        <f aca="false">'Raw Data'!E800</f>
        <v>own</v>
      </c>
      <c r="F800" s="20" t="str">
        <f aca="false">'Raw Data'!F800</f>
        <v>none</v>
      </c>
      <c r="G800" s="20" t="str">
        <f aca="false">'Raw Data'!G800</f>
        <v>none</v>
      </c>
      <c r="H800" s="20" t="n">
        <f aca="false">'Raw Data'!H800</f>
        <v>717</v>
      </c>
      <c r="I800" s="20" t="n">
        <f aca="false">'Raw Data'!I800</f>
        <v>24</v>
      </c>
      <c r="J800" s="20" t="str">
        <f aca="false">'Raw Data'!J800</f>
        <v>car</v>
      </c>
      <c r="K800" s="21" t="n">
        <f aca="false">H800/I800</f>
        <v>29.875</v>
      </c>
      <c r="L800" s="21" t="n">
        <f aca="false">100-MIN(K800/Assumptions!$B$14,1)*100</f>
        <v>92.53125</v>
      </c>
      <c r="M800" s="21" t="n">
        <f aca="false">VLOOKUP(F800,Assumptions!$A$19:$B$23,2,0)</f>
        <v>40</v>
      </c>
      <c r="N800" s="21" t="n">
        <f aca="false">VLOOKUP(G800,Assumptions!$A$27:$B$30,2,0)</f>
        <v>50</v>
      </c>
      <c r="O800" s="21" t="n">
        <f aca="false">VLOOKUP(D800,Assumptions!$A$34:$B$37,2,0)</f>
        <v>66</v>
      </c>
      <c r="P800" s="21" t="n">
        <f aca="false">VLOOKUP(E800,Assumptions!$A$41:$B$43,2,0)</f>
        <v>100</v>
      </c>
      <c r="Q800" s="22" t="n">
        <f aca="false">L800*Assumptions!$B$7+M800*Assumptions!$B$8+N800*Assumptions!$B$9+O800*Assumptions!$B$10+P800*Assumptions!$B$11</f>
        <v>67.659375</v>
      </c>
      <c r="R800" s="11" t="str">
        <f aca="false">IF(Q800&lt;=33,"High Risk",IF(Q800&lt;=66,"Medium Risk","Low Risk"))</f>
        <v>Low Risk</v>
      </c>
    </row>
    <row r="801" customFormat="false" ht="15" hidden="false" customHeight="true" outlineLevel="0" collapsed="false">
      <c r="A801" s="20" t="n">
        <f aca="false">'Raw Data'!A801</f>
        <v>800</v>
      </c>
      <c r="B801" s="20" t="n">
        <f aca="false">'Raw Data'!B801</f>
        <v>35</v>
      </c>
      <c r="C801" s="20" t="str">
        <f aca="false">'Raw Data'!C801</f>
        <v>male</v>
      </c>
      <c r="D801" s="20" t="n">
        <f aca="false">'Raw Data'!D801</f>
        <v>0</v>
      </c>
      <c r="E801" s="20" t="str">
        <f aca="false">'Raw Data'!E801</f>
        <v>own</v>
      </c>
      <c r="F801" s="20" t="str">
        <f aca="false">'Raw Data'!F801</f>
        <v>none</v>
      </c>
      <c r="G801" s="20" t="str">
        <f aca="false">'Raw Data'!G801</f>
        <v>moderate</v>
      </c>
      <c r="H801" s="20" t="n">
        <f aca="false">'Raw Data'!H801</f>
        <v>1549</v>
      </c>
      <c r="I801" s="20" t="n">
        <f aca="false">'Raw Data'!I801</f>
        <v>9</v>
      </c>
      <c r="J801" s="20" t="str">
        <f aca="false">'Raw Data'!J801</f>
        <v>car</v>
      </c>
      <c r="K801" s="21" t="n">
        <f aca="false">H801/I801</f>
        <v>172.111111111111</v>
      </c>
      <c r="L801" s="21" t="n">
        <f aca="false">100-MIN(K801/Assumptions!$B$14,1)*100</f>
        <v>56.9722222222222</v>
      </c>
      <c r="M801" s="21" t="n">
        <f aca="false">VLOOKUP(F801,Assumptions!$A$19:$B$23,2,0)</f>
        <v>40</v>
      </c>
      <c r="N801" s="21" t="n">
        <f aca="false">VLOOKUP(G801,Assumptions!$A$27:$B$30,2,0)</f>
        <v>60</v>
      </c>
      <c r="O801" s="21" t="n">
        <f aca="false">VLOOKUP(D801,Assumptions!$A$34:$B$37,2,0)</f>
        <v>0</v>
      </c>
      <c r="P801" s="21" t="n">
        <f aca="false">VLOOKUP(E801,Assumptions!$A$41:$B$43,2,0)</f>
        <v>100</v>
      </c>
      <c r="Q801" s="22" t="n">
        <f aca="false">L801*Assumptions!$B$7+M801*Assumptions!$B$8+N801*Assumptions!$B$9+O801*Assumptions!$B$10+P801*Assumptions!$B$11</f>
        <v>49.0916666666667</v>
      </c>
      <c r="R801" s="11" t="str">
        <f aca="false">IF(Q801&lt;=33,"High Risk",IF(Q801&lt;=66,"Medium Risk","Low Risk"))</f>
        <v>Medium Risk</v>
      </c>
    </row>
    <row r="802" customFormat="false" ht="15" hidden="false" customHeight="true" outlineLevel="0" collapsed="false">
      <c r="A802" s="20" t="n">
        <f aca="false">'Raw Data'!A802</f>
        <v>801</v>
      </c>
      <c r="B802" s="20" t="n">
        <f aca="false">'Raw Data'!B802</f>
        <v>54</v>
      </c>
      <c r="C802" s="20" t="str">
        <f aca="false">'Raw Data'!C802</f>
        <v>male</v>
      </c>
      <c r="D802" s="20" t="n">
        <f aca="false">'Raw Data'!D802</f>
        <v>2</v>
      </c>
      <c r="E802" s="20" t="str">
        <f aca="false">'Raw Data'!E802</f>
        <v>free</v>
      </c>
      <c r="F802" s="20" t="str">
        <f aca="false">'Raw Data'!F802</f>
        <v>little</v>
      </c>
      <c r="G802" s="20" t="str">
        <f aca="false">'Raw Data'!G802</f>
        <v>none</v>
      </c>
      <c r="H802" s="20" t="n">
        <f aca="false">'Raw Data'!H802</f>
        <v>1597</v>
      </c>
      <c r="I802" s="20" t="n">
        <f aca="false">'Raw Data'!I802</f>
        <v>24</v>
      </c>
      <c r="J802" s="20" t="str">
        <f aca="false">'Raw Data'!J802</f>
        <v>education</v>
      </c>
      <c r="K802" s="21" t="n">
        <f aca="false">H802/I802</f>
        <v>66.5416666666667</v>
      </c>
      <c r="L802" s="21" t="n">
        <f aca="false">100-MIN(K802/Assumptions!$B$14,1)*100</f>
        <v>83.3645833333333</v>
      </c>
      <c r="M802" s="21" t="n">
        <f aca="false">VLOOKUP(F802,Assumptions!$A$19:$B$23,2,0)</f>
        <v>25</v>
      </c>
      <c r="N802" s="21" t="n">
        <f aca="false">VLOOKUP(G802,Assumptions!$A$27:$B$30,2,0)</f>
        <v>50</v>
      </c>
      <c r="O802" s="21" t="n">
        <f aca="false">VLOOKUP(D802,Assumptions!$A$34:$B$37,2,0)</f>
        <v>66</v>
      </c>
      <c r="P802" s="21" t="n">
        <f aca="false">VLOOKUP(E802,Assumptions!$A$41:$B$43,2,0)</f>
        <v>60</v>
      </c>
      <c r="Q802" s="22" t="n">
        <f aca="false">L802*Assumptions!$B$7+M802*Assumptions!$B$8+N802*Assumptions!$B$9+O802*Assumptions!$B$10+P802*Assumptions!$B$11</f>
        <v>57.159375</v>
      </c>
      <c r="R802" s="11" t="str">
        <f aca="false">IF(Q802&lt;=33,"High Risk",IF(Q802&lt;=66,"Medium Risk","Low Risk"))</f>
        <v>Medium Risk</v>
      </c>
    </row>
    <row r="803" customFormat="false" ht="15" hidden="false" customHeight="true" outlineLevel="0" collapsed="false">
      <c r="A803" s="20" t="n">
        <f aca="false">'Raw Data'!A803</f>
        <v>802</v>
      </c>
      <c r="B803" s="20" t="n">
        <f aca="false">'Raw Data'!B803</f>
        <v>48</v>
      </c>
      <c r="C803" s="20" t="str">
        <f aca="false">'Raw Data'!C803</f>
        <v>female</v>
      </c>
      <c r="D803" s="20" t="n">
        <f aca="false">'Raw Data'!D803</f>
        <v>1</v>
      </c>
      <c r="E803" s="20" t="str">
        <f aca="false">'Raw Data'!E803</f>
        <v>rent</v>
      </c>
      <c r="F803" s="20" t="str">
        <f aca="false">'Raw Data'!F803</f>
        <v>little</v>
      </c>
      <c r="G803" s="20" t="str">
        <f aca="false">'Raw Data'!G803</f>
        <v>moderate</v>
      </c>
      <c r="H803" s="20" t="n">
        <f aca="false">'Raw Data'!H803</f>
        <v>1795</v>
      </c>
      <c r="I803" s="20" t="n">
        <f aca="false">'Raw Data'!I803</f>
        <v>18</v>
      </c>
      <c r="J803" s="20" t="str">
        <f aca="false">'Raw Data'!J803</f>
        <v>radio/TV</v>
      </c>
      <c r="K803" s="21" t="n">
        <f aca="false">H803/I803</f>
        <v>99.7222222222222</v>
      </c>
      <c r="L803" s="21" t="n">
        <f aca="false">100-MIN(K803/Assumptions!$B$14,1)*100</f>
        <v>75.0694444444444</v>
      </c>
      <c r="M803" s="21" t="n">
        <f aca="false">VLOOKUP(F803,Assumptions!$A$19:$B$23,2,0)</f>
        <v>25</v>
      </c>
      <c r="N803" s="21" t="n">
        <f aca="false">VLOOKUP(G803,Assumptions!$A$27:$B$30,2,0)</f>
        <v>60</v>
      </c>
      <c r="O803" s="21" t="n">
        <f aca="false">VLOOKUP(D803,Assumptions!$A$34:$B$37,2,0)</f>
        <v>33</v>
      </c>
      <c r="P803" s="21" t="n">
        <f aca="false">VLOOKUP(E803,Assumptions!$A$41:$B$43,2,0)</f>
        <v>30</v>
      </c>
      <c r="Q803" s="22" t="n">
        <f aca="false">L803*Assumptions!$B$7+M803*Assumptions!$B$8+N803*Assumptions!$B$9+O803*Assumptions!$B$10+P803*Assumptions!$B$11</f>
        <v>48.7208333333333</v>
      </c>
      <c r="R803" s="11" t="str">
        <f aca="false">IF(Q803&lt;=33,"High Risk",IF(Q803&lt;=66,"Medium Risk","Low Risk"))</f>
        <v>Medium Risk</v>
      </c>
    </row>
    <row r="804" customFormat="false" ht="15" hidden="false" customHeight="true" outlineLevel="0" collapsed="false">
      <c r="A804" s="20" t="n">
        <f aca="false">'Raw Data'!A804</f>
        <v>803</v>
      </c>
      <c r="B804" s="20" t="n">
        <f aca="false">'Raw Data'!B804</f>
        <v>24</v>
      </c>
      <c r="C804" s="20" t="str">
        <f aca="false">'Raw Data'!C804</f>
        <v>female</v>
      </c>
      <c r="D804" s="20" t="n">
        <f aca="false">'Raw Data'!D804</f>
        <v>2</v>
      </c>
      <c r="E804" s="20" t="str">
        <f aca="false">'Raw Data'!E804</f>
        <v>own</v>
      </c>
      <c r="F804" s="20" t="str">
        <f aca="false">'Raw Data'!F804</f>
        <v>little</v>
      </c>
      <c r="G804" s="20" t="str">
        <f aca="false">'Raw Data'!G804</f>
        <v>little</v>
      </c>
      <c r="H804" s="20" t="n">
        <f aca="false">'Raw Data'!H804</f>
        <v>4272</v>
      </c>
      <c r="I804" s="20" t="n">
        <f aca="false">'Raw Data'!I804</f>
        <v>20</v>
      </c>
      <c r="J804" s="20" t="str">
        <f aca="false">'Raw Data'!J804</f>
        <v>furniture/equipment</v>
      </c>
      <c r="K804" s="21" t="n">
        <f aca="false">H804/I804</f>
        <v>213.6</v>
      </c>
      <c r="L804" s="21" t="n">
        <f aca="false">100-MIN(K804/Assumptions!$B$14,1)*100</f>
        <v>46.6</v>
      </c>
      <c r="M804" s="21" t="n">
        <f aca="false">VLOOKUP(F804,Assumptions!$A$19:$B$23,2,0)</f>
        <v>25</v>
      </c>
      <c r="N804" s="21" t="n">
        <f aca="false">VLOOKUP(G804,Assumptions!$A$27:$B$30,2,0)</f>
        <v>25</v>
      </c>
      <c r="O804" s="21" t="n">
        <f aca="false">VLOOKUP(D804,Assumptions!$A$34:$B$37,2,0)</f>
        <v>66</v>
      </c>
      <c r="P804" s="21" t="n">
        <f aca="false">VLOOKUP(E804,Assumptions!$A$41:$B$43,2,0)</f>
        <v>100</v>
      </c>
      <c r="Q804" s="22" t="n">
        <f aca="false">L804*Assumptions!$B$7+M804*Assumptions!$B$8+N804*Assumptions!$B$9+O804*Assumptions!$B$10+P804*Assumptions!$B$11</f>
        <v>45.13</v>
      </c>
      <c r="R804" s="11" t="str">
        <f aca="false">IF(Q804&lt;=33,"High Risk",IF(Q804&lt;=66,"Medium Risk","Low Risk"))</f>
        <v>Medium Risk</v>
      </c>
    </row>
    <row r="805" customFormat="false" ht="15" hidden="false" customHeight="true" outlineLevel="0" collapsed="false">
      <c r="A805" s="20" t="n">
        <f aca="false">'Raw Data'!A805</f>
        <v>804</v>
      </c>
      <c r="B805" s="20" t="n">
        <f aca="false">'Raw Data'!B805</f>
        <v>35</v>
      </c>
      <c r="C805" s="20" t="str">
        <f aca="false">'Raw Data'!C805</f>
        <v>male</v>
      </c>
      <c r="D805" s="20" t="n">
        <f aca="false">'Raw Data'!D805</f>
        <v>2</v>
      </c>
      <c r="E805" s="20" t="str">
        <f aca="false">'Raw Data'!E805</f>
        <v>own</v>
      </c>
      <c r="F805" s="20" t="str">
        <f aca="false">'Raw Data'!F805</f>
        <v>none</v>
      </c>
      <c r="G805" s="20" t="str">
        <f aca="false">'Raw Data'!G805</f>
        <v>none</v>
      </c>
      <c r="H805" s="20" t="n">
        <f aca="false">'Raw Data'!H805</f>
        <v>976</v>
      </c>
      <c r="I805" s="20" t="n">
        <f aca="false">'Raw Data'!I805</f>
        <v>12</v>
      </c>
      <c r="J805" s="20" t="str">
        <f aca="false">'Raw Data'!J805</f>
        <v>radio/TV</v>
      </c>
      <c r="K805" s="21" t="n">
        <f aca="false">H805/I805</f>
        <v>81.3333333333333</v>
      </c>
      <c r="L805" s="21" t="n">
        <f aca="false">100-MIN(K805/Assumptions!$B$14,1)*100</f>
        <v>79.6666666666667</v>
      </c>
      <c r="M805" s="21" t="n">
        <f aca="false">VLOOKUP(F805,Assumptions!$A$19:$B$23,2,0)</f>
        <v>40</v>
      </c>
      <c r="N805" s="21" t="n">
        <f aca="false">VLOOKUP(G805,Assumptions!$A$27:$B$30,2,0)</f>
        <v>50</v>
      </c>
      <c r="O805" s="21" t="n">
        <f aca="false">VLOOKUP(D805,Assumptions!$A$34:$B$37,2,0)</f>
        <v>66</v>
      </c>
      <c r="P805" s="21" t="n">
        <f aca="false">VLOOKUP(E805,Assumptions!$A$41:$B$43,2,0)</f>
        <v>100</v>
      </c>
      <c r="Q805" s="22" t="n">
        <f aca="false">L805*Assumptions!$B$7+M805*Assumptions!$B$8+N805*Assumptions!$B$9+O805*Assumptions!$B$10+P805*Assumptions!$B$11</f>
        <v>63.8</v>
      </c>
      <c r="R805" s="11" t="str">
        <f aca="false">IF(Q805&lt;=33,"High Risk",IF(Q805&lt;=66,"Medium Risk","Low Risk"))</f>
        <v>Medium Risk</v>
      </c>
    </row>
    <row r="806" customFormat="false" ht="15" hidden="false" customHeight="true" outlineLevel="0" collapsed="false">
      <c r="A806" s="20" t="n">
        <f aca="false">'Raw Data'!A806</f>
        <v>805</v>
      </c>
      <c r="B806" s="20" t="n">
        <f aca="false">'Raw Data'!B806</f>
        <v>24</v>
      </c>
      <c r="C806" s="20" t="str">
        <f aca="false">'Raw Data'!C806</f>
        <v>female</v>
      </c>
      <c r="D806" s="20" t="n">
        <f aca="false">'Raw Data'!D806</f>
        <v>0</v>
      </c>
      <c r="E806" s="20" t="str">
        <f aca="false">'Raw Data'!E806</f>
        <v>rent</v>
      </c>
      <c r="F806" s="20" t="str">
        <f aca="false">'Raw Data'!F806</f>
        <v>none</v>
      </c>
      <c r="G806" s="20" t="str">
        <f aca="false">'Raw Data'!G806</f>
        <v>moderate</v>
      </c>
      <c r="H806" s="20" t="n">
        <f aca="false">'Raw Data'!H806</f>
        <v>7472</v>
      </c>
      <c r="I806" s="20" t="n">
        <f aca="false">'Raw Data'!I806</f>
        <v>12</v>
      </c>
      <c r="J806" s="20" t="str">
        <f aca="false">'Raw Data'!J806</f>
        <v>car</v>
      </c>
      <c r="K806" s="21" t="n">
        <f aca="false">H806/I806</f>
        <v>622.666666666667</v>
      </c>
      <c r="L806" s="21" t="n">
        <f aca="false">100-MIN(K806/Assumptions!$B$14,1)*100</f>
        <v>0</v>
      </c>
      <c r="M806" s="21" t="n">
        <f aca="false">VLOOKUP(F806,Assumptions!$A$19:$B$23,2,0)</f>
        <v>40</v>
      </c>
      <c r="N806" s="21" t="n">
        <f aca="false">VLOOKUP(G806,Assumptions!$A$27:$B$30,2,0)</f>
        <v>60</v>
      </c>
      <c r="O806" s="21" t="n">
        <f aca="false">VLOOKUP(D806,Assumptions!$A$34:$B$37,2,0)</f>
        <v>0</v>
      </c>
      <c r="P806" s="21" t="n">
        <f aca="false">VLOOKUP(E806,Assumptions!$A$41:$B$43,2,0)</f>
        <v>30</v>
      </c>
      <c r="Q806" s="22" t="n">
        <f aca="false">L806*Assumptions!$B$7+M806*Assumptions!$B$8+N806*Assumptions!$B$9+O806*Assumptions!$B$10+P806*Assumptions!$B$11</f>
        <v>25</v>
      </c>
      <c r="R806" s="11" t="str">
        <f aca="false">IF(Q806&lt;=33,"High Risk",IF(Q806&lt;=66,"Medium Risk","Low Risk"))</f>
        <v>High Risk</v>
      </c>
    </row>
    <row r="807" customFormat="false" ht="15" hidden="false" customHeight="true" outlineLevel="0" collapsed="false">
      <c r="A807" s="20" t="n">
        <f aca="false">'Raw Data'!A807</f>
        <v>806</v>
      </c>
      <c r="B807" s="20" t="n">
        <f aca="false">'Raw Data'!B807</f>
        <v>24</v>
      </c>
      <c r="C807" s="20" t="str">
        <f aca="false">'Raw Data'!C807</f>
        <v>male</v>
      </c>
      <c r="D807" s="20" t="n">
        <f aca="false">'Raw Data'!D807</f>
        <v>2</v>
      </c>
      <c r="E807" s="20" t="str">
        <f aca="false">'Raw Data'!E807</f>
        <v>own</v>
      </c>
      <c r="F807" s="20" t="str">
        <f aca="false">'Raw Data'!F807</f>
        <v>little</v>
      </c>
      <c r="G807" s="20" t="str">
        <f aca="false">'Raw Data'!G807</f>
        <v>little</v>
      </c>
      <c r="H807" s="20" t="n">
        <f aca="false">'Raw Data'!H807</f>
        <v>9271</v>
      </c>
      <c r="I807" s="20" t="n">
        <f aca="false">'Raw Data'!I807</f>
        <v>36</v>
      </c>
      <c r="J807" s="20" t="str">
        <f aca="false">'Raw Data'!J807</f>
        <v>car</v>
      </c>
      <c r="K807" s="21" t="n">
        <f aca="false">H807/I807</f>
        <v>257.527777777778</v>
      </c>
      <c r="L807" s="21" t="n">
        <f aca="false">100-MIN(K807/Assumptions!$B$14,1)*100</f>
        <v>35.6180555555556</v>
      </c>
      <c r="M807" s="21" t="n">
        <f aca="false">VLOOKUP(F807,Assumptions!$A$19:$B$23,2,0)</f>
        <v>25</v>
      </c>
      <c r="N807" s="21" t="n">
        <f aca="false">VLOOKUP(G807,Assumptions!$A$27:$B$30,2,0)</f>
        <v>25</v>
      </c>
      <c r="O807" s="21" t="n">
        <f aca="false">VLOOKUP(D807,Assumptions!$A$34:$B$37,2,0)</f>
        <v>66</v>
      </c>
      <c r="P807" s="21" t="n">
        <f aca="false">VLOOKUP(E807,Assumptions!$A$41:$B$43,2,0)</f>
        <v>100</v>
      </c>
      <c r="Q807" s="22" t="n">
        <f aca="false">L807*Assumptions!$B$7+M807*Assumptions!$B$8+N807*Assumptions!$B$9+O807*Assumptions!$B$10+P807*Assumptions!$B$11</f>
        <v>41.8354166666667</v>
      </c>
      <c r="R807" s="11" t="str">
        <f aca="false">IF(Q807&lt;=33,"High Risk",IF(Q807&lt;=66,"Medium Risk","Low Risk"))</f>
        <v>Medium Risk</v>
      </c>
    </row>
    <row r="808" customFormat="false" ht="15" hidden="false" customHeight="true" outlineLevel="0" collapsed="false">
      <c r="A808" s="20" t="n">
        <f aca="false">'Raw Data'!A808</f>
        <v>807</v>
      </c>
      <c r="B808" s="20" t="n">
        <f aca="false">'Raw Data'!B808</f>
        <v>26</v>
      </c>
      <c r="C808" s="20" t="str">
        <f aca="false">'Raw Data'!C808</f>
        <v>male</v>
      </c>
      <c r="D808" s="20" t="n">
        <f aca="false">'Raw Data'!D808</f>
        <v>1</v>
      </c>
      <c r="E808" s="20" t="str">
        <f aca="false">'Raw Data'!E808</f>
        <v>own</v>
      </c>
      <c r="F808" s="20" t="str">
        <f aca="false">'Raw Data'!F808</f>
        <v>little</v>
      </c>
      <c r="G808" s="20" t="str">
        <f aca="false">'Raw Data'!G808</f>
        <v>moderate</v>
      </c>
      <c r="H808" s="20" t="n">
        <f aca="false">'Raw Data'!H808</f>
        <v>590</v>
      </c>
      <c r="I808" s="20" t="n">
        <f aca="false">'Raw Data'!I808</f>
        <v>6</v>
      </c>
      <c r="J808" s="20" t="str">
        <f aca="false">'Raw Data'!J808</f>
        <v>radio/TV</v>
      </c>
      <c r="K808" s="21" t="n">
        <f aca="false">H808/I808</f>
        <v>98.3333333333333</v>
      </c>
      <c r="L808" s="21" t="n">
        <f aca="false">100-MIN(K808/Assumptions!$B$14,1)*100</f>
        <v>75.4166666666667</v>
      </c>
      <c r="M808" s="21" t="n">
        <f aca="false">VLOOKUP(F808,Assumptions!$A$19:$B$23,2,0)</f>
        <v>25</v>
      </c>
      <c r="N808" s="21" t="n">
        <f aca="false">VLOOKUP(G808,Assumptions!$A$27:$B$30,2,0)</f>
        <v>60</v>
      </c>
      <c r="O808" s="21" t="n">
        <f aca="false">VLOOKUP(D808,Assumptions!$A$34:$B$37,2,0)</f>
        <v>33</v>
      </c>
      <c r="P808" s="21" t="n">
        <f aca="false">VLOOKUP(E808,Assumptions!$A$41:$B$43,2,0)</f>
        <v>100</v>
      </c>
      <c r="Q808" s="22" t="n">
        <f aca="false">L808*Assumptions!$B$7+M808*Assumptions!$B$8+N808*Assumptions!$B$9+O808*Assumptions!$B$10+P808*Assumptions!$B$11</f>
        <v>55.825</v>
      </c>
      <c r="R808" s="11" t="str">
        <f aca="false">IF(Q808&lt;=33,"High Risk",IF(Q808&lt;=66,"Medium Risk","Low Risk"))</f>
        <v>Medium Risk</v>
      </c>
    </row>
    <row r="809" customFormat="false" ht="15" hidden="false" customHeight="true" outlineLevel="0" collapsed="false">
      <c r="A809" s="20" t="n">
        <f aca="false">'Raw Data'!A809</f>
        <v>808</v>
      </c>
      <c r="B809" s="20" t="n">
        <f aca="false">'Raw Data'!B809</f>
        <v>65</v>
      </c>
      <c r="C809" s="20" t="str">
        <f aca="false">'Raw Data'!C809</f>
        <v>male</v>
      </c>
      <c r="D809" s="20" t="n">
        <f aca="false">'Raw Data'!D809</f>
        <v>2</v>
      </c>
      <c r="E809" s="20" t="str">
        <f aca="false">'Raw Data'!E809</f>
        <v>own</v>
      </c>
      <c r="F809" s="20" t="str">
        <f aca="false">'Raw Data'!F809</f>
        <v>none</v>
      </c>
      <c r="G809" s="20" t="str">
        <f aca="false">'Raw Data'!G809</f>
        <v>none</v>
      </c>
      <c r="H809" s="20" t="n">
        <f aca="false">'Raw Data'!H809</f>
        <v>930</v>
      </c>
      <c r="I809" s="20" t="n">
        <f aca="false">'Raw Data'!I809</f>
        <v>12</v>
      </c>
      <c r="J809" s="20" t="str">
        <f aca="false">'Raw Data'!J809</f>
        <v>radio/TV</v>
      </c>
      <c r="K809" s="21" t="n">
        <f aca="false">H809/I809</f>
        <v>77.5</v>
      </c>
      <c r="L809" s="21" t="n">
        <f aca="false">100-MIN(K809/Assumptions!$B$14,1)*100</f>
        <v>80.625</v>
      </c>
      <c r="M809" s="21" t="n">
        <f aca="false">VLOOKUP(F809,Assumptions!$A$19:$B$23,2,0)</f>
        <v>40</v>
      </c>
      <c r="N809" s="21" t="n">
        <f aca="false">VLOOKUP(G809,Assumptions!$A$27:$B$30,2,0)</f>
        <v>50</v>
      </c>
      <c r="O809" s="21" t="n">
        <f aca="false">VLOOKUP(D809,Assumptions!$A$34:$B$37,2,0)</f>
        <v>66</v>
      </c>
      <c r="P809" s="21" t="n">
        <f aca="false">VLOOKUP(E809,Assumptions!$A$41:$B$43,2,0)</f>
        <v>100</v>
      </c>
      <c r="Q809" s="22" t="n">
        <f aca="false">L809*Assumptions!$B$7+M809*Assumptions!$B$8+N809*Assumptions!$B$9+O809*Assumptions!$B$10+P809*Assumptions!$B$11</f>
        <v>64.0875</v>
      </c>
      <c r="R809" s="11" t="str">
        <f aca="false">IF(Q809&lt;=33,"High Risk",IF(Q809&lt;=66,"Medium Risk","Low Risk"))</f>
        <v>Medium Risk</v>
      </c>
    </row>
    <row r="810" customFormat="false" ht="15" hidden="false" customHeight="true" outlineLevel="0" collapsed="false">
      <c r="A810" s="20" t="n">
        <f aca="false">'Raw Data'!A810</f>
        <v>809</v>
      </c>
      <c r="B810" s="20" t="n">
        <f aca="false">'Raw Data'!B810</f>
        <v>55</v>
      </c>
      <c r="C810" s="20" t="str">
        <f aca="false">'Raw Data'!C810</f>
        <v>male</v>
      </c>
      <c r="D810" s="20" t="n">
        <f aca="false">'Raw Data'!D810</f>
        <v>3</v>
      </c>
      <c r="E810" s="20" t="str">
        <f aca="false">'Raw Data'!E810</f>
        <v>free</v>
      </c>
      <c r="F810" s="20" t="str">
        <f aca="false">'Raw Data'!F810</f>
        <v>little</v>
      </c>
      <c r="G810" s="20" t="str">
        <f aca="false">'Raw Data'!G810</f>
        <v>moderate</v>
      </c>
      <c r="H810" s="20" t="n">
        <f aca="false">'Raw Data'!H810</f>
        <v>9283</v>
      </c>
      <c r="I810" s="20" t="n">
        <f aca="false">'Raw Data'!I810</f>
        <v>42</v>
      </c>
      <c r="J810" s="20" t="str">
        <f aca="false">'Raw Data'!J810</f>
        <v>car</v>
      </c>
      <c r="K810" s="21" t="n">
        <f aca="false">H810/I810</f>
        <v>221.02380952381</v>
      </c>
      <c r="L810" s="21" t="n">
        <f aca="false">100-MIN(K810/Assumptions!$B$14,1)*100</f>
        <v>44.7440476190476</v>
      </c>
      <c r="M810" s="21" t="n">
        <f aca="false">VLOOKUP(F810,Assumptions!$A$19:$B$23,2,0)</f>
        <v>25</v>
      </c>
      <c r="N810" s="21" t="n">
        <f aca="false">VLOOKUP(G810,Assumptions!$A$27:$B$30,2,0)</f>
        <v>60</v>
      </c>
      <c r="O810" s="21" t="n">
        <f aca="false">VLOOKUP(D810,Assumptions!$A$34:$B$37,2,0)</f>
        <v>100</v>
      </c>
      <c r="P810" s="21" t="n">
        <f aca="false">VLOOKUP(E810,Assumptions!$A$41:$B$43,2,0)</f>
        <v>60</v>
      </c>
      <c r="Q810" s="22" t="n">
        <f aca="false">L810*Assumptions!$B$7+M810*Assumptions!$B$8+N810*Assumptions!$B$9+O810*Assumptions!$B$10+P810*Assumptions!$B$11</f>
        <v>52.6732142857143</v>
      </c>
      <c r="R810" s="11" t="str">
        <f aca="false">IF(Q810&lt;=33,"High Risk",IF(Q810&lt;=66,"Medium Risk","Low Risk"))</f>
        <v>Medium Risk</v>
      </c>
    </row>
    <row r="811" customFormat="false" ht="15" hidden="false" customHeight="true" outlineLevel="0" collapsed="false">
      <c r="A811" s="20" t="n">
        <f aca="false">'Raw Data'!A811</f>
        <v>810</v>
      </c>
      <c r="B811" s="20" t="n">
        <f aca="false">'Raw Data'!B811</f>
        <v>26</v>
      </c>
      <c r="C811" s="20" t="str">
        <f aca="false">'Raw Data'!C811</f>
        <v>female</v>
      </c>
      <c r="D811" s="20" t="n">
        <f aca="false">'Raw Data'!D811</f>
        <v>0</v>
      </c>
      <c r="E811" s="20" t="str">
        <f aca="false">'Raw Data'!E811</f>
        <v>rent</v>
      </c>
      <c r="F811" s="20" t="str">
        <f aca="false">'Raw Data'!F811</f>
        <v>little</v>
      </c>
      <c r="G811" s="20" t="str">
        <f aca="false">'Raw Data'!G811</f>
        <v>moderate</v>
      </c>
      <c r="H811" s="20" t="n">
        <f aca="false">'Raw Data'!H811</f>
        <v>1778</v>
      </c>
      <c r="I811" s="20" t="n">
        <f aca="false">'Raw Data'!I811</f>
        <v>15</v>
      </c>
      <c r="J811" s="20" t="str">
        <f aca="false">'Raw Data'!J811</f>
        <v>car</v>
      </c>
      <c r="K811" s="21" t="n">
        <f aca="false">H811/I811</f>
        <v>118.533333333333</v>
      </c>
      <c r="L811" s="21" t="n">
        <f aca="false">100-MIN(K811/Assumptions!$B$14,1)*100</f>
        <v>70.3666666666667</v>
      </c>
      <c r="M811" s="21" t="n">
        <f aca="false">VLOOKUP(F811,Assumptions!$A$19:$B$23,2,0)</f>
        <v>25</v>
      </c>
      <c r="N811" s="21" t="n">
        <f aca="false">VLOOKUP(G811,Assumptions!$A$27:$B$30,2,0)</f>
        <v>60</v>
      </c>
      <c r="O811" s="21" t="n">
        <f aca="false">VLOOKUP(D811,Assumptions!$A$34:$B$37,2,0)</f>
        <v>0</v>
      </c>
      <c r="P811" s="21" t="n">
        <f aca="false">VLOOKUP(E811,Assumptions!$A$41:$B$43,2,0)</f>
        <v>30</v>
      </c>
      <c r="Q811" s="22" t="n">
        <f aca="false">L811*Assumptions!$B$7+M811*Assumptions!$B$8+N811*Assumptions!$B$9+O811*Assumptions!$B$10+P811*Assumptions!$B$11</f>
        <v>42.36</v>
      </c>
      <c r="R811" s="11" t="str">
        <f aca="false">IF(Q811&lt;=33,"High Risk",IF(Q811&lt;=66,"Medium Risk","Low Risk"))</f>
        <v>Medium Risk</v>
      </c>
    </row>
    <row r="812" customFormat="false" ht="15" hidden="false" customHeight="true" outlineLevel="0" collapsed="false">
      <c r="A812" s="20" t="n">
        <f aca="false">'Raw Data'!A812</f>
        <v>811</v>
      </c>
      <c r="B812" s="20" t="n">
        <f aca="false">'Raw Data'!B812</f>
        <v>26</v>
      </c>
      <c r="C812" s="20" t="str">
        <f aca="false">'Raw Data'!C812</f>
        <v>male</v>
      </c>
      <c r="D812" s="20" t="n">
        <f aca="false">'Raw Data'!D812</f>
        <v>2</v>
      </c>
      <c r="E812" s="20" t="str">
        <f aca="false">'Raw Data'!E812</f>
        <v>own</v>
      </c>
      <c r="F812" s="20" t="str">
        <f aca="false">'Raw Data'!F812</f>
        <v>little</v>
      </c>
      <c r="G812" s="20" t="str">
        <f aca="false">'Raw Data'!G812</f>
        <v>moderate</v>
      </c>
      <c r="H812" s="20" t="n">
        <f aca="false">'Raw Data'!H812</f>
        <v>907</v>
      </c>
      <c r="I812" s="20" t="n">
        <f aca="false">'Raw Data'!I812</f>
        <v>8</v>
      </c>
      <c r="J812" s="20" t="str">
        <f aca="false">'Raw Data'!J812</f>
        <v>business</v>
      </c>
      <c r="K812" s="21" t="n">
        <f aca="false">H812/I812</f>
        <v>113.375</v>
      </c>
      <c r="L812" s="21" t="n">
        <f aca="false">100-MIN(K812/Assumptions!$B$14,1)*100</f>
        <v>71.65625</v>
      </c>
      <c r="M812" s="21" t="n">
        <f aca="false">VLOOKUP(F812,Assumptions!$A$19:$B$23,2,0)</f>
        <v>25</v>
      </c>
      <c r="N812" s="21" t="n">
        <f aca="false">VLOOKUP(G812,Assumptions!$A$27:$B$30,2,0)</f>
        <v>60</v>
      </c>
      <c r="O812" s="21" t="n">
        <f aca="false">VLOOKUP(D812,Assumptions!$A$34:$B$37,2,0)</f>
        <v>66</v>
      </c>
      <c r="P812" s="21" t="n">
        <f aca="false">VLOOKUP(E812,Assumptions!$A$41:$B$43,2,0)</f>
        <v>100</v>
      </c>
      <c r="Q812" s="22" t="n">
        <f aca="false">L812*Assumptions!$B$7+M812*Assumptions!$B$8+N812*Assumptions!$B$9+O812*Assumptions!$B$10+P812*Assumptions!$B$11</f>
        <v>59.646875</v>
      </c>
      <c r="R812" s="11" t="str">
        <f aca="false">IF(Q812&lt;=33,"High Risk",IF(Q812&lt;=66,"Medium Risk","Low Risk"))</f>
        <v>Medium Risk</v>
      </c>
    </row>
    <row r="813" customFormat="false" ht="15" hidden="false" customHeight="true" outlineLevel="0" collapsed="false">
      <c r="A813" s="20" t="n">
        <f aca="false">'Raw Data'!A813</f>
        <v>812</v>
      </c>
      <c r="B813" s="20" t="n">
        <f aca="false">'Raw Data'!B813</f>
        <v>28</v>
      </c>
      <c r="C813" s="20" t="str">
        <f aca="false">'Raw Data'!C813</f>
        <v>male</v>
      </c>
      <c r="D813" s="20" t="n">
        <f aca="false">'Raw Data'!D813</f>
        <v>1</v>
      </c>
      <c r="E813" s="20" t="str">
        <f aca="false">'Raw Data'!E813</f>
        <v>own</v>
      </c>
      <c r="F813" s="20" t="str">
        <f aca="false">'Raw Data'!F813</f>
        <v>little</v>
      </c>
      <c r="G813" s="20" t="str">
        <f aca="false">'Raw Data'!G813</f>
        <v>moderate</v>
      </c>
      <c r="H813" s="20" t="n">
        <f aca="false">'Raw Data'!H813</f>
        <v>484</v>
      </c>
      <c r="I813" s="20" t="n">
        <f aca="false">'Raw Data'!I813</f>
        <v>6</v>
      </c>
      <c r="J813" s="20" t="str">
        <f aca="false">'Raw Data'!J813</f>
        <v>radio/TV</v>
      </c>
      <c r="K813" s="21" t="n">
        <f aca="false">H813/I813</f>
        <v>80.6666666666667</v>
      </c>
      <c r="L813" s="21" t="n">
        <f aca="false">100-MIN(K813/Assumptions!$B$14,1)*100</f>
        <v>79.8333333333333</v>
      </c>
      <c r="M813" s="21" t="n">
        <f aca="false">VLOOKUP(F813,Assumptions!$A$19:$B$23,2,0)</f>
        <v>25</v>
      </c>
      <c r="N813" s="21" t="n">
        <f aca="false">VLOOKUP(G813,Assumptions!$A$27:$B$30,2,0)</f>
        <v>60</v>
      </c>
      <c r="O813" s="21" t="n">
        <f aca="false">VLOOKUP(D813,Assumptions!$A$34:$B$37,2,0)</f>
        <v>33</v>
      </c>
      <c r="P813" s="21" t="n">
        <f aca="false">VLOOKUP(E813,Assumptions!$A$41:$B$43,2,0)</f>
        <v>100</v>
      </c>
      <c r="Q813" s="22" t="n">
        <f aca="false">L813*Assumptions!$B$7+M813*Assumptions!$B$8+N813*Assumptions!$B$9+O813*Assumptions!$B$10+P813*Assumptions!$B$11</f>
        <v>57.15</v>
      </c>
      <c r="R813" s="11" t="str">
        <f aca="false">IF(Q813&lt;=33,"High Risk",IF(Q813&lt;=66,"Medium Risk","Low Risk"))</f>
        <v>Medium Risk</v>
      </c>
    </row>
    <row r="814" customFormat="false" ht="15" hidden="false" customHeight="true" outlineLevel="0" collapsed="false">
      <c r="A814" s="20" t="n">
        <f aca="false">'Raw Data'!A814</f>
        <v>813</v>
      </c>
      <c r="B814" s="20" t="n">
        <f aca="false">'Raw Data'!B814</f>
        <v>24</v>
      </c>
      <c r="C814" s="20" t="str">
        <f aca="false">'Raw Data'!C814</f>
        <v>male</v>
      </c>
      <c r="D814" s="20" t="n">
        <f aca="false">'Raw Data'!D814</f>
        <v>2</v>
      </c>
      <c r="E814" s="20" t="str">
        <f aca="false">'Raw Data'!E814</f>
        <v>own</v>
      </c>
      <c r="F814" s="20" t="str">
        <f aca="false">'Raw Data'!F814</f>
        <v>little</v>
      </c>
      <c r="G814" s="20" t="str">
        <f aca="false">'Raw Data'!G814</f>
        <v>little</v>
      </c>
      <c r="H814" s="20" t="n">
        <f aca="false">'Raw Data'!H814</f>
        <v>9629</v>
      </c>
      <c r="I814" s="20" t="n">
        <f aca="false">'Raw Data'!I814</f>
        <v>36</v>
      </c>
      <c r="J814" s="20" t="str">
        <f aca="false">'Raw Data'!J814</f>
        <v>car</v>
      </c>
      <c r="K814" s="21" t="n">
        <f aca="false">H814/I814</f>
        <v>267.472222222222</v>
      </c>
      <c r="L814" s="21" t="n">
        <f aca="false">100-MIN(K814/Assumptions!$B$14,1)*100</f>
        <v>33.1319444444444</v>
      </c>
      <c r="M814" s="21" t="n">
        <f aca="false">VLOOKUP(F814,Assumptions!$A$19:$B$23,2,0)</f>
        <v>25</v>
      </c>
      <c r="N814" s="21" t="n">
        <f aca="false">VLOOKUP(G814,Assumptions!$A$27:$B$30,2,0)</f>
        <v>25</v>
      </c>
      <c r="O814" s="21" t="n">
        <f aca="false">VLOOKUP(D814,Assumptions!$A$34:$B$37,2,0)</f>
        <v>66</v>
      </c>
      <c r="P814" s="21" t="n">
        <f aca="false">VLOOKUP(E814,Assumptions!$A$41:$B$43,2,0)</f>
        <v>100</v>
      </c>
      <c r="Q814" s="22" t="n">
        <f aca="false">L814*Assumptions!$B$7+M814*Assumptions!$B$8+N814*Assumptions!$B$9+O814*Assumptions!$B$10+P814*Assumptions!$B$11</f>
        <v>41.0895833333333</v>
      </c>
      <c r="R814" s="11" t="str">
        <f aca="false">IF(Q814&lt;=33,"High Risk",IF(Q814&lt;=66,"Medium Risk","Low Risk"))</f>
        <v>Medium Risk</v>
      </c>
    </row>
    <row r="815" customFormat="false" ht="15" hidden="false" customHeight="true" outlineLevel="0" collapsed="false">
      <c r="A815" s="20" t="n">
        <f aca="false">'Raw Data'!A815</f>
        <v>814</v>
      </c>
      <c r="B815" s="20" t="n">
        <f aca="false">'Raw Data'!B815</f>
        <v>54</v>
      </c>
      <c r="C815" s="20" t="str">
        <f aca="false">'Raw Data'!C815</f>
        <v>male</v>
      </c>
      <c r="D815" s="20" t="n">
        <f aca="false">'Raw Data'!D815</f>
        <v>2</v>
      </c>
      <c r="E815" s="20" t="str">
        <f aca="false">'Raw Data'!E815</f>
        <v>own</v>
      </c>
      <c r="F815" s="20" t="str">
        <f aca="false">'Raw Data'!F815</f>
        <v>little</v>
      </c>
      <c r="G815" s="20" t="str">
        <f aca="false">'Raw Data'!G815</f>
        <v>little</v>
      </c>
      <c r="H815" s="20" t="n">
        <f aca="false">'Raw Data'!H815</f>
        <v>3051</v>
      </c>
      <c r="I815" s="20" t="n">
        <f aca="false">'Raw Data'!I815</f>
        <v>48</v>
      </c>
      <c r="J815" s="20" t="str">
        <f aca="false">'Raw Data'!J815</f>
        <v>domestic appliances</v>
      </c>
      <c r="K815" s="21" t="n">
        <f aca="false">H815/I815</f>
        <v>63.5625</v>
      </c>
      <c r="L815" s="21" t="n">
        <f aca="false">100-MIN(K815/Assumptions!$B$14,1)*100</f>
        <v>84.109375</v>
      </c>
      <c r="M815" s="21" t="n">
        <f aca="false">VLOOKUP(F815,Assumptions!$A$19:$B$23,2,0)</f>
        <v>25</v>
      </c>
      <c r="N815" s="21" t="n">
        <f aca="false">VLOOKUP(G815,Assumptions!$A$27:$B$30,2,0)</f>
        <v>25</v>
      </c>
      <c r="O815" s="21" t="n">
        <f aca="false">VLOOKUP(D815,Assumptions!$A$34:$B$37,2,0)</f>
        <v>66</v>
      </c>
      <c r="P815" s="21" t="n">
        <f aca="false">VLOOKUP(E815,Assumptions!$A$41:$B$43,2,0)</f>
        <v>100</v>
      </c>
      <c r="Q815" s="22" t="n">
        <f aca="false">L815*Assumptions!$B$7+M815*Assumptions!$B$8+N815*Assumptions!$B$9+O815*Assumptions!$B$10+P815*Assumptions!$B$11</f>
        <v>56.3828125</v>
      </c>
      <c r="R815" s="11" t="str">
        <f aca="false">IF(Q815&lt;=33,"High Risk",IF(Q815&lt;=66,"Medium Risk","Low Risk"))</f>
        <v>Medium Risk</v>
      </c>
    </row>
    <row r="816" customFormat="false" ht="15" hidden="false" customHeight="true" outlineLevel="0" collapsed="false">
      <c r="A816" s="20" t="n">
        <f aca="false">'Raw Data'!A816</f>
        <v>815</v>
      </c>
      <c r="B816" s="20" t="n">
        <f aca="false">'Raw Data'!B816</f>
        <v>46</v>
      </c>
      <c r="C816" s="20" t="str">
        <f aca="false">'Raw Data'!C816</f>
        <v>male</v>
      </c>
      <c r="D816" s="20" t="n">
        <f aca="false">'Raw Data'!D816</f>
        <v>2</v>
      </c>
      <c r="E816" s="20" t="str">
        <f aca="false">'Raw Data'!E816</f>
        <v>free</v>
      </c>
      <c r="F816" s="20" t="str">
        <f aca="false">'Raw Data'!F816</f>
        <v>little</v>
      </c>
      <c r="G816" s="20" t="str">
        <f aca="false">'Raw Data'!G816</f>
        <v>little</v>
      </c>
      <c r="H816" s="20" t="n">
        <f aca="false">'Raw Data'!H816</f>
        <v>3931</v>
      </c>
      <c r="I816" s="20" t="n">
        <f aca="false">'Raw Data'!I816</f>
        <v>48</v>
      </c>
      <c r="J816" s="20" t="str">
        <f aca="false">'Raw Data'!J816</f>
        <v>car</v>
      </c>
      <c r="K816" s="21" t="n">
        <f aca="false">H816/I816</f>
        <v>81.8958333333333</v>
      </c>
      <c r="L816" s="21" t="n">
        <f aca="false">100-MIN(K816/Assumptions!$B$14,1)*100</f>
        <v>79.5260416666667</v>
      </c>
      <c r="M816" s="21" t="n">
        <f aca="false">VLOOKUP(F816,Assumptions!$A$19:$B$23,2,0)</f>
        <v>25</v>
      </c>
      <c r="N816" s="21" t="n">
        <f aca="false">VLOOKUP(G816,Assumptions!$A$27:$B$30,2,0)</f>
        <v>25</v>
      </c>
      <c r="O816" s="21" t="n">
        <f aca="false">VLOOKUP(D816,Assumptions!$A$34:$B$37,2,0)</f>
        <v>66</v>
      </c>
      <c r="P816" s="21" t="n">
        <f aca="false">VLOOKUP(E816,Assumptions!$A$41:$B$43,2,0)</f>
        <v>60</v>
      </c>
      <c r="Q816" s="22" t="n">
        <f aca="false">L816*Assumptions!$B$7+M816*Assumptions!$B$8+N816*Assumptions!$B$9+O816*Assumptions!$B$10+P816*Assumptions!$B$11</f>
        <v>51.0078125</v>
      </c>
      <c r="R816" s="11" t="str">
        <f aca="false">IF(Q816&lt;=33,"High Risk",IF(Q816&lt;=66,"Medium Risk","Low Risk"))</f>
        <v>Medium Risk</v>
      </c>
    </row>
    <row r="817" customFormat="false" ht="15" hidden="false" customHeight="true" outlineLevel="0" collapsed="false">
      <c r="A817" s="20" t="n">
        <f aca="false">'Raw Data'!A817</f>
        <v>816</v>
      </c>
      <c r="B817" s="20" t="n">
        <f aca="false">'Raw Data'!B817</f>
        <v>54</v>
      </c>
      <c r="C817" s="20" t="str">
        <f aca="false">'Raw Data'!C817</f>
        <v>female</v>
      </c>
      <c r="D817" s="20" t="n">
        <f aca="false">'Raw Data'!D817</f>
        <v>2</v>
      </c>
      <c r="E817" s="20" t="str">
        <f aca="false">'Raw Data'!E817</f>
        <v>rent</v>
      </c>
      <c r="F817" s="20" t="str">
        <f aca="false">'Raw Data'!F817</f>
        <v>little</v>
      </c>
      <c r="G817" s="20" t="str">
        <f aca="false">'Raw Data'!G817</f>
        <v>moderate</v>
      </c>
      <c r="H817" s="20" t="n">
        <f aca="false">'Raw Data'!H817</f>
        <v>7432</v>
      </c>
      <c r="I817" s="20" t="n">
        <f aca="false">'Raw Data'!I817</f>
        <v>36</v>
      </c>
      <c r="J817" s="20" t="str">
        <f aca="false">'Raw Data'!J817</f>
        <v>car</v>
      </c>
      <c r="K817" s="21" t="n">
        <f aca="false">H817/I817</f>
        <v>206.444444444444</v>
      </c>
      <c r="L817" s="21" t="n">
        <f aca="false">100-MIN(K817/Assumptions!$B$14,1)*100</f>
        <v>48.3888888888889</v>
      </c>
      <c r="M817" s="21" t="n">
        <f aca="false">VLOOKUP(F817,Assumptions!$A$19:$B$23,2,0)</f>
        <v>25</v>
      </c>
      <c r="N817" s="21" t="n">
        <f aca="false">VLOOKUP(G817,Assumptions!$A$27:$B$30,2,0)</f>
        <v>60</v>
      </c>
      <c r="O817" s="21" t="n">
        <f aca="false">VLOOKUP(D817,Assumptions!$A$34:$B$37,2,0)</f>
        <v>66</v>
      </c>
      <c r="P817" s="21" t="n">
        <f aca="false">VLOOKUP(E817,Assumptions!$A$41:$B$43,2,0)</f>
        <v>30</v>
      </c>
      <c r="Q817" s="22" t="n">
        <f aca="false">L817*Assumptions!$B$7+M817*Assumptions!$B$8+N817*Assumptions!$B$9+O817*Assumptions!$B$10+P817*Assumptions!$B$11</f>
        <v>45.6666666666667</v>
      </c>
      <c r="R817" s="11" t="str">
        <f aca="false">IF(Q817&lt;=33,"High Risk",IF(Q817&lt;=66,"Medium Risk","Low Risk"))</f>
        <v>Medium Risk</v>
      </c>
    </row>
    <row r="818" customFormat="false" ht="15" hidden="false" customHeight="true" outlineLevel="0" collapsed="false">
      <c r="A818" s="20" t="n">
        <f aca="false">'Raw Data'!A818</f>
        <v>817</v>
      </c>
      <c r="B818" s="20" t="n">
        <f aca="false">'Raw Data'!B818</f>
        <v>62</v>
      </c>
      <c r="C818" s="20" t="str">
        <f aca="false">'Raw Data'!C818</f>
        <v>male</v>
      </c>
      <c r="D818" s="20" t="n">
        <f aca="false">'Raw Data'!D818</f>
        <v>2</v>
      </c>
      <c r="E818" s="20" t="str">
        <f aca="false">'Raw Data'!E818</f>
        <v>own</v>
      </c>
      <c r="F818" s="20" t="str">
        <f aca="false">'Raw Data'!F818</f>
        <v>quite rich</v>
      </c>
      <c r="G818" s="20" t="str">
        <f aca="false">'Raw Data'!G818</f>
        <v>none</v>
      </c>
      <c r="H818" s="20" t="n">
        <f aca="false">'Raw Data'!H818</f>
        <v>1338</v>
      </c>
      <c r="I818" s="20" t="n">
        <f aca="false">'Raw Data'!I818</f>
        <v>6</v>
      </c>
      <c r="J818" s="20" t="str">
        <f aca="false">'Raw Data'!J818</f>
        <v>domestic appliances</v>
      </c>
      <c r="K818" s="21" t="n">
        <f aca="false">H818/I818</f>
        <v>223</v>
      </c>
      <c r="L818" s="21" t="n">
        <f aca="false">100-MIN(K818/Assumptions!$B$14,1)*100</f>
        <v>44.25</v>
      </c>
      <c r="M818" s="21" t="n">
        <f aca="false">VLOOKUP(F818,Assumptions!$A$19:$B$23,2,0)</f>
        <v>75</v>
      </c>
      <c r="N818" s="21" t="n">
        <f aca="false">VLOOKUP(G818,Assumptions!$A$27:$B$30,2,0)</f>
        <v>50</v>
      </c>
      <c r="O818" s="21" t="n">
        <f aca="false">VLOOKUP(D818,Assumptions!$A$34:$B$37,2,0)</f>
        <v>66</v>
      </c>
      <c r="P818" s="21" t="n">
        <f aca="false">VLOOKUP(E818,Assumptions!$A$41:$B$43,2,0)</f>
        <v>100</v>
      </c>
      <c r="Q818" s="22" t="n">
        <f aca="false">L818*Assumptions!$B$7+M818*Assumptions!$B$8+N818*Assumptions!$B$9+O818*Assumptions!$B$10+P818*Assumptions!$B$11</f>
        <v>61.925</v>
      </c>
      <c r="R818" s="11" t="str">
        <f aca="false">IF(Q818&lt;=33,"High Risk",IF(Q818&lt;=66,"Medium Risk","Low Risk"))</f>
        <v>Medium Risk</v>
      </c>
    </row>
    <row r="819" customFormat="false" ht="15" hidden="false" customHeight="true" outlineLevel="0" collapsed="false">
      <c r="A819" s="20" t="n">
        <f aca="false">'Raw Data'!A819</f>
        <v>818</v>
      </c>
      <c r="B819" s="20" t="n">
        <f aca="false">'Raw Data'!B819</f>
        <v>24</v>
      </c>
      <c r="C819" s="20" t="str">
        <f aca="false">'Raw Data'!C819</f>
        <v>female</v>
      </c>
      <c r="D819" s="20" t="n">
        <f aca="false">'Raw Data'!D819</f>
        <v>2</v>
      </c>
      <c r="E819" s="20" t="str">
        <f aca="false">'Raw Data'!E819</f>
        <v>rent</v>
      </c>
      <c r="F819" s="20" t="str">
        <f aca="false">'Raw Data'!F819</f>
        <v>little</v>
      </c>
      <c r="G819" s="20" t="str">
        <f aca="false">'Raw Data'!G819</f>
        <v>none</v>
      </c>
      <c r="H819" s="20" t="n">
        <f aca="false">'Raw Data'!H819</f>
        <v>1554</v>
      </c>
      <c r="I819" s="20" t="n">
        <f aca="false">'Raw Data'!I819</f>
        <v>6</v>
      </c>
      <c r="J819" s="20" t="str">
        <f aca="false">'Raw Data'!J819</f>
        <v>radio/TV</v>
      </c>
      <c r="K819" s="21" t="n">
        <f aca="false">H819/I819</f>
        <v>259</v>
      </c>
      <c r="L819" s="21" t="n">
        <f aca="false">100-MIN(K819/Assumptions!$B$14,1)*100</f>
        <v>35.25</v>
      </c>
      <c r="M819" s="21" t="n">
        <f aca="false">VLOOKUP(F819,Assumptions!$A$19:$B$23,2,0)</f>
        <v>25</v>
      </c>
      <c r="N819" s="21" t="n">
        <f aca="false">VLOOKUP(G819,Assumptions!$A$27:$B$30,2,0)</f>
        <v>50</v>
      </c>
      <c r="O819" s="21" t="n">
        <f aca="false">VLOOKUP(D819,Assumptions!$A$34:$B$37,2,0)</f>
        <v>66</v>
      </c>
      <c r="P819" s="21" t="n">
        <f aca="false">VLOOKUP(E819,Assumptions!$A$41:$B$43,2,0)</f>
        <v>30</v>
      </c>
      <c r="Q819" s="22" t="n">
        <f aca="false">L819*Assumptions!$B$7+M819*Assumptions!$B$8+N819*Assumptions!$B$9+O819*Assumptions!$B$10+P819*Assumptions!$B$11</f>
        <v>39.725</v>
      </c>
      <c r="R819" s="11" t="str">
        <f aca="false">IF(Q819&lt;=33,"High Risk",IF(Q819&lt;=66,"Medium Risk","Low Risk"))</f>
        <v>Medium Risk</v>
      </c>
    </row>
    <row r="820" customFormat="false" ht="15" hidden="false" customHeight="true" outlineLevel="0" collapsed="false">
      <c r="A820" s="20" t="n">
        <f aca="false">'Raw Data'!A820</f>
        <v>819</v>
      </c>
      <c r="B820" s="20" t="n">
        <f aca="false">'Raw Data'!B820</f>
        <v>43</v>
      </c>
      <c r="C820" s="20" t="str">
        <f aca="false">'Raw Data'!C820</f>
        <v>male</v>
      </c>
      <c r="D820" s="20" t="n">
        <f aca="false">'Raw Data'!D820</f>
        <v>3</v>
      </c>
      <c r="E820" s="20" t="str">
        <f aca="false">'Raw Data'!E820</f>
        <v>own</v>
      </c>
      <c r="F820" s="20" t="str">
        <f aca="false">'Raw Data'!F820</f>
        <v>little</v>
      </c>
      <c r="G820" s="20" t="str">
        <f aca="false">'Raw Data'!G820</f>
        <v>little</v>
      </c>
      <c r="H820" s="20" t="n">
        <f aca="false">'Raw Data'!H820</f>
        <v>15857</v>
      </c>
      <c r="I820" s="20" t="n">
        <f aca="false">'Raw Data'!I820</f>
        <v>36</v>
      </c>
      <c r="J820" s="20" t="str">
        <f aca="false">'Raw Data'!J820</f>
        <v>vacation/others</v>
      </c>
      <c r="K820" s="21" t="n">
        <f aca="false">H820/I820</f>
        <v>440.472222222222</v>
      </c>
      <c r="L820" s="21" t="n">
        <f aca="false">100-MIN(K820/Assumptions!$B$14,1)*100</f>
        <v>0</v>
      </c>
      <c r="M820" s="21" t="n">
        <f aca="false">VLOOKUP(F820,Assumptions!$A$19:$B$23,2,0)</f>
        <v>25</v>
      </c>
      <c r="N820" s="21" t="n">
        <f aca="false">VLOOKUP(G820,Assumptions!$A$27:$B$30,2,0)</f>
        <v>25</v>
      </c>
      <c r="O820" s="21" t="n">
        <f aca="false">VLOOKUP(D820,Assumptions!$A$34:$B$37,2,0)</f>
        <v>100</v>
      </c>
      <c r="P820" s="21" t="n">
        <f aca="false">VLOOKUP(E820,Assumptions!$A$41:$B$43,2,0)</f>
        <v>100</v>
      </c>
      <c r="Q820" s="22" t="n">
        <f aca="false">L820*Assumptions!$B$7+M820*Assumptions!$B$8+N820*Assumptions!$B$9+O820*Assumptions!$B$10+P820*Assumptions!$B$11</f>
        <v>36.25</v>
      </c>
      <c r="R820" s="11" t="str">
        <f aca="false">IF(Q820&lt;=33,"High Risk",IF(Q820&lt;=66,"Medium Risk","Low Risk"))</f>
        <v>Medium Risk</v>
      </c>
    </row>
    <row r="821" customFormat="false" ht="15" hidden="false" customHeight="true" outlineLevel="0" collapsed="false">
      <c r="A821" s="20" t="n">
        <f aca="false">'Raw Data'!A821</f>
        <v>820</v>
      </c>
      <c r="B821" s="20" t="n">
        <f aca="false">'Raw Data'!B821</f>
        <v>26</v>
      </c>
      <c r="C821" s="20" t="str">
        <f aca="false">'Raw Data'!C821</f>
        <v>male</v>
      </c>
      <c r="D821" s="20" t="n">
        <f aca="false">'Raw Data'!D821</f>
        <v>2</v>
      </c>
      <c r="E821" s="20" t="str">
        <f aca="false">'Raw Data'!E821</f>
        <v>own</v>
      </c>
      <c r="F821" s="20" t="str">
        <f aca="false">'Raw Data'!F821</f>
        <v>little</v>
      </c>
      <c r="G821" s="20" t="str">
        <f aca="false">'Raw Data'!G821</f>
        <v>little</v>
      </c>
      <c r="H821" s="20" t="n">
        <f aca="false">'Raw Data'!H821</f>
        <v>1345</v>
      </c>
      <c r="I821" s="20" t="n">
        <f aca="false">'Raw Data'!I821</f>
        <v>18</v>
      </c>
      <c r="J821" s="20" t="str">
        <f aca="false">'Raw Data'!J821</f>
        <v>radio/TV</v>
      </c>
      <c r="K821" s="21" t="n">
        <f aca="false">H821/I821</f>
        <v>74.7222222222222</v>
      </c>
      <c r="L821" s="21" t="n">
        <f aca="false">100-MIN(K821/Assumptions!$B$14,1)*100</f>
        <v>81.3194444444444</v>
      </c>
      <c r="M821" s="21" t="n">
        <f aca="false">VLOOKUP(F821,Assumptions!$A$19:$B$23,2,0)</f>
        <v>25</v>
      </c>
      <c r="N821" s="21" t="n">
        <f aca="false">VLOOKUP(G821,Assumptions!$A$27:$B$30,2,0)</f>
        <v>25</v>
      </c>
      <c r="O821" s="21" t="n">
        <f aca="false">VLOOKUP(D821,Assumptions!$A$34:$B$37,2,0)</f>
        <v>66</v>
      </c>
      <c r="P821" s="21" t="n">
        <f aca="false">VLOOKUP(E821,Assumptions!$A$41:$B$43,2,0)</f>
        <v>100</v>
      </c>
      <c r="Q821" s="22" t="n">
        <f aca="false">L821*Assumptions!$B$7+M821*Assumptions!$B$8+N821*Assumptions!$B$9+O821*Assumptions!$B$10+P821*Assumptions!$B$11</f>
        <v>55.5458333333333</v>
      </c>
      <c r="R821" s="11" t="str">
        <f aca="false">IF(Q821&lt;=33,"High Risk",IF(Q821&lt;=66,"Medium Risk","Low Risk"))</f>
        <v>Medium Risk</v>
      </c>
    </row>
    <row r="822" customFormat="false" ht="15" hidden="false" customHeight="true" outlineLevel="0" collapsed="false">
      <c r="A822" s="20" t="n">
        <f aca="false">'Raw Data'!A822</f>
        <v>821</v>
      </c>
      <c r="B822" s="20" t="n">
        <f aca="false">'Raw Data'!B822</f>
        <v>27</v>
      </c>
      <c r="C822" s="20" t="str">
        <f aca="false">'Raw Data'!C822</f>
        <v>male</v>
      </c>
      <c r="D822" s="20" t="n">
        <f aca="false">'Raw Data'!D822</f>
        <v>2</v>
      </c>
      <c r="E822" s="20" t="str">
        <f aca="false">'Raw Data'!E822</f>
        <v>own</v>
      </c>
      <c r="F822" s="20" t="str">
        <f aca="false">'Raw Data'!F822</f>
        <v>little</v>
      </c>
      <c r="G822" s="20" t="str">
        <f aca="false">'Raw Data'!G822</f>
        <v>none</v>
      </c>
      <c r="H822" s="20" t="n">
        <f aca="false">'Raw Data'!H822</f>
        <v>1101</v>
      </c>
      <c r="I822" s="20" t="n">
        <f aca="false">'Raw Data'!I822</f>
        <v>12</v>
      </c>
      <c r="J822" s="20" t="str">
        <f aca="false">'Raw Data'!J822</f>
        <v>car</v>
      </c>
      <c r="K822" s="21" t="n">
        <f aca="false">H822/I822</f>
        <v>91.75</v>
      </c>
      <c r="L822" s="21" t="n">
        <f aca="false">100-MIN(K822/Assumptions!$B$14,1)*100</f>
        <v>77.0625</v>
      </c>
      <c r="M822" s="21" t="n">
        <f aca="false">VLOOKUP(F822,Assumptions!$A$19:$B$23,2,0)</f>
        <v>25</v>
      </c>
      <c r="N822" s="21" t="n">
        <f aca="false">VLOOKUP(G822,Assumptions!$A$27:$B$30,2,0)</f>
        <v>50</v>
      </c>
      <c r="O822" s="21" t="n">
        <f aca="false">VLOOKUP(D822,Assumptions!$A$34:$B$37,2,0)</f>
        <v>66</v>
      </c>
      <c r="P822" s="21" t="n">
        <f aca="false">VLOOKUP(E822,Assumptions!$A$41:$B$43,2,0)</f>
        <v>100</v>
      </c>
      <c r="Q822" s="22" t="n">
        <f aca="false">L822*Assumptions!$B$7+M822*Assumptions!$B$8+N822*Assumptions!$B$9+O822*Assumptions!$B$10+P822*Assumptions!$B$11</f>
        <v>59.26875</v>
      </c>
      <c r="R822" s="11" t="str">
        <f aca="false">IF(Q822&lt;=33,"High Risk",IF(Q822&lt;=66,"Medium Risk","Low Risk"))</f>
        <v>Medium Risk</v>
      </c>
    </row>
    <row r="823" customFormat="false" ht="15" hidden="false" customHeight="true" outlineLevel="0" collapsed="false">
      <c r="A823" s="20" t="n">
        <f aca="false">'Raw Data'!A823</f>
        <v>822</v>
      </c>
      <c r="B823" s="20" t="n">
        <f aca="false">'Raw Data'!B823</f>
        <v>24</v>
      </c>
      <c r="C823" s="20" t="str">
        <f aca="false">'Raw Data'!C823</f>
        <v>male</v>
      </c>
      <c r="D823" s="20" t="n">
        <f aca="false">'Raw Data'!D823</f>
        <v>2</v>
      </c>
      <c r="E823" s="20" t="str">
        <f aca="false">'Raw Data'!E823</f>
        <v>own</v>
      </c>
      <c r="F823" s="20" t="str">
        <f aca="false">'Raw Data'!F823</f>
        <v>little</v>
      </c>
      <c r="G823" s="20" t="str">
        <f aca="false">'Raw Data'!G823</f>
        <v>rich</v>
      </c>
      <c r="H823" s="20" t="n">
        <f aca="false">'Raw Data'!H823</f>
        <v>3016</v>
      </c>
      <c r="I823" s="20" t="n">
        <f aca="false">'Raw Data'!I823</f>
        <v>12</v>
      </c>
      <c r="J823" s="20" t="str">
        <f aca="false">'Raw Data'!J823</f>
        <v>radio/TV</v>
      </c>
      <c r="K823" s="21" t="n">
        <f aca="false">H823/I823</f>
        <v>251.333333333333</v>
      </c>
      <c r="L823" s="21" t="n">
        <f aca="false">100-MIN(K823/Assumptions!$B$14,1)*100</f>
        <v>37.1666666666667</v>
      </c>
      <c r="M823" s="21" t="n">
        <f aca="false">VLOOKUP(F823,Assumptions!$A$19:$B$23,2,0)</f>
        <v>25</v>
      </c>
      <c r="N823" s="21" t="n">
        <f aca="false">VLOOKUP(G823,Assumptions!$A$27:$B$30,2,0)</f>
        <v>100</v>
      </c>
      <c r="O823" s="21" t="n">
        <f aca="false">VLOOKUP(D823,Assumptions!$A$34:$B$37,2,0)</f>
        <v>66</v>
      </c>
      <c r="P823" s="21" t="n">
        <f aca="false">VLOOKUP(E823,Assumptions!$A$41:$B$43,2,0)</f>
        <v>100</v>
      </c>
      <c r="Q823" s="22" t="n">
        <f aca="false">L823*Assumptions!$B$7+M823*Assumptions!$B$8+N823*Assumptions!$B$9+O823*Assumptions!$B$10+P823*Assumptions!$B$11</f>
        <v>57.3</v>
      </c>
      <c r="R823" s="11" t="str">
        <f aca="false">IF(Q823&lt;=33,"High Risk",IF(Q823&lt;=66,"Medium Risk","Low Risk"))</f>
        <v>Medium Risk</v>
      </c>
    </row>
    <row r="824" customFormat="false" ht="15" hidden="false" customHeight="true" outlineLevel="0" collapsed="false">
      <c r="A824" s="20" t="n">
        <f aca="false">'Raw Data'!A824</f>
        <v>823</v>
      </c>
      <c r="B824" s="20" t="n">
        <f aca="false">'Raw Data'!B824</f>
        <v>41</v>
      </c>
      <c r="C824" s="20" t="str">
        <f aca="false">'Raw Data'!C824</f>
        <v>male</v>
      </c>
      <c r="D824" s="20" t="n">
        <f aca="false">'Raw Data'!D824</f>
        <v>2</v>
      </c>
      <c r="E824" s="20" t="str">
        <f aca="false">'Raw Data'!E824</f>
        <v>own</v>
      </c>
      <c r="F824" s="20" t="str">
        <f aca="false">'Raw Data'!F824</f>
        <v>little</v>
      </c>
      <c r="G824" s="20" t="str">
        <f aca="false">'Raw Data'!G824</f>
        <v>little</v>
      </c>
      <c r="H824" s="20" t="n">
        <f aca="false">'Raw Data'!H824</f>
        <v>2712</v>
      </c>
      <c r="I824" s="20" t="n">
        <f aca="false">'Raw Data'!I824</f>
        <v>36</v>
      </c>
      <c r="J824" s="20" t="str">
        <f aca="false">'Raw Data'!J824</f>
        <v>furniture/equipment</v>
      </c>
      <c r="K824" s="21" t="n">
        <f aca="false">H824/I824</f>
        <v>75.3333333333333</v>
      </c>
      <c r="L824" s="21" t="n">
        <f aca="false">100-MIN(K824/Assumptions!$B$14,1)*100</f>
        <v>81.1666666666667</v>
      </c>
      <c r="M824" s="21" t="n">
        <f aca="false">VLOOKUP(F824,Assumptions!$A$19:$B$23,2,0)</f>
        <v>25</v>
      </c>
      <c r="N824" s="21" t="n">
        <f aca="false">VLOOKUP(G824,Assumptions!$A$27:$B$30,2,0)</f>
        <v>25</v>
      </c>
      <c r="O824" s="21" t="n">
        <f aca="false">VLOOKUP(D824,Assumptions!$A$34:$B$37,2,0)</f>
        <v>66</v>
      </c>
      <c r="P824" s="21" t="n">
        <f aca="false">VLOOKUP(E824,Assumptions!$A$41:$B$43,2,0)</f>
        <v>100</v>
      </c>
      <c r="Q824" s="22" t="n">
        <f aca="false">L824*Assumptions!$B$7+M824*Assumptions!$B$8+N824*Assumptions!$B$9+O824*Assumptions!$B$10+P824*Assumptions!$B$11</f>
        <v>55.5</v>
      </c>
      <c r="R824" s="11" t="str">
        <f aca="false">IF(Q824&lt;=33,"High Risk",IF(Q824&lt;=66,"Medium Risk","Low Risk"))</f>
        <v>Medium Risk</v>
      </c>
    </row>
    <row r="825" customFormat="false" ht="15" hidden="false" customHeight="true" outlineLevel="0" collapsed="false">
      <c r="A825" s="20" t="n">
        <f aca="false">'Raw Data'!A825</f>
        <v>824</v>
      </c>
      <c r="B825" s="20" t="n">
        <f aca="false">'Raw Data'!B825</f>
        <v>47</v>
      </c>
      <c r="C825" s="20" t="str">
        <f aca="false">'Raw Data'!C825</f>
        <v>male</v>
      </c>
      <c r="D825" s="20" t="n">
        <f aca="false">'Raw Data'!D825</f>
        <v>1</v>
      </c>
      <c r="E825" s="20" t="str">
        <f aca="false">'Raw Data'!E825</f>
        <v>own</v>
      </c>
      <c r="F825" s="20" t="str">
        <f aca="false">'Raw Data'!F825</f>
        <v>little</v>
      </c>
      <c r="G825" s="20" t="str">
        <f aca="false">'Raw Data'!G825</f>
        <v>little</v>
      </c>
      <c r="H825" s="20" t="n">
        <f aca="false">'Raw Data'!H825</f>
        <v>731</v>
      </c>
      <c r="I825" s="20" t="n">
        <f aca="false">'Raw Data'!I825</f>
        <v>8</v>
      </c>
      <c r="J825" s="20" t="str">
        <f aca="false">'Raw Data'!J825</f>
        <v>car</v>
      </c>
      <c r="K825" s="21" t="n">
        <f aca="false">H825/I825</f>
        <v>91.375</v>
      </c>
      <c r="L825" s="21" t="n">
        <f aca="false">100-MIN(K825/Assumptions!$B$14,1)*100</f>
        <v>77.15625</v>
      </c>
      <c r="M825" s="21" t="n">
        <f aca="false">VLOOKUP(F825,Assumptions!$A$19:$B$23,2,0)</f>
        <v>25</v>
      </c>
      <c r="N825" s="21" t="n">
        <f aca="false">VLOOKUP(G825,Assumptions!$A$27:$B$30,2,0)</f>
        <v>25</v>
      </c>
      <c r="O825" s="21" t="n">
        <f aca="false">VLOOKUP(D825,Assumptions!$A$34:$B$37,2,0)</f>
        <v>33</v>
      </c>
      <c r="P825" s="21" t="n">
        <f aca="false">VLOOKUP(E825,Assumptions!$A$41:$B$43,2,0)</f>
        <v>100</v>
      </c>
      <c r="Q825" s="22" t="n">
        <f aca="false">L825*Assumptions!$B$7+M825*Assumptions!$B$8+N825*Assumptions!$B$9+O825*Assumptions!$B$10+P825*Assumptions!$B$11</f>
        <v>49.346875</v>
      </c>
      <c r="R825" s="11" t="str">
        <f aca="false">IF(Q825&lt;=33,"High Risk",IF(Q825&lt;=66,"Medium Risk","Low Risk"))</f>
        <v>Medium Risk</v>
      </c>
    </row>
    <row r="826" customFormat="false" ht="15" hidden="false" customHeight="true" outlineLevel="0" collapsed="false">
      <c r="A826" s="20" t="n">
        <f aca="false">'Raw Data'!A826</f>
        <v>825</v>
      </c>
      <c r="B826" s="20" t="n">
        <f aca="false">'Raw Data'!B826</f>
        <v>35</v>
      </c>
      <c r="C826" s="20" t="str">
        <f aca="false">'Raw Data'!C826</f>
        <v>male</v>
      </c>
      <c r="D826" s="20" t="n">
        <f aca="false">'Raw Data'!D826</f>
        <v>3</v>
      </c>
      <c r="E826" s="20" t="str">
        <f aca="false">'Raw Data'!E826</f>
        <v>own</v>
      </c>
      <c r="F826" s="20" t="str">
        <f aca="false">'Raw Data'!F826</f>
        <v>little</v>
      </c>
      <c r="G826" s="20" t="str">
        <f aca="false">'Raw Data'!G826</f>
        <v>none</v>
      </c>
      <c r="H826" s="20" t="n">
        <f aca="false">'Raw Data'!H826</f>
        <v>3780</v>
      </c>
      <c r="I826" s="20" t="n">
        <f aca="false">'Raw Data'!I826</f>
        <v>18</v>
      </c>
      <c r="J826" s="20" t="str">
        <f aca="false">'Raw Data'!J826</f>
        <v>furniture/equipment</v>
      </c>
      <c r="K826" s="21" t="n">
        <f aca="false">H826/I826</f>
        <v>210</v>
      </c>
      <c r="L826" s="21" t="n">
        <f aca="false">100-MIN(K826/Assumptions!$B$14,1)*100</f>
        <v>47.5</v>
      </c>
      <c r="M826" s="21" t="n">
        <f aca="false">VLOOKUP(F826,Assumptions!$A$19:$B$23,2,0)</f>
        <v>25</v>
      </c>
      <c r="N826" s="21" t="n">
        <f aca="false">VLOOKUP(G826,Assumptions!$A$27:$B$30,2,0)</f>
        <v>50</v>
      </c>
      <c r="O826" s="21" t="n">
        <f aca="false">VLOOKUP(D826,Assumptions!$A$34:$B$37,2,0)</f>
        <v>100</v>
      </c>
      <c r="P826" s="21" t="n">
        <f aca="false">VLOOKUP(E826,Assumptions!$A$41:$B$43,2,0)</f>
        <v>100</v>
      </c>
      <c r="Q826" s="22" t="n">
        <f aca="false">L826*Assumptions!$B$7+M826*Assumptions!$B$8+N826*Assumptions!$B$9+O826*Assumptions!$B$10+P826*Assumptions!$B$11</f>
        <v>55.5</v>
      </c>
      <c r="R826" s="11" t="str">
        <f aca="false">IF(Q826&lt;=33,"High Risk",IF(Q826&lt;=66,"Medium Risk","Low Risk"))</f>
        <v>Medium Risk</v>
      </c>
    </row>
    <row r="827" customFormat="false" ht="15" hidden="false" customHeight="true" outlineLevel="0" collapsed="false">
      <c r="A827" s="20" t="n">
        <f aca="false">'Raw Data'!A827</f>
        <v>826</v>
      </c>
      <c r="B827" s="20" t="n">
        <f aca="false">'Raw Data'!B827</f>
        <v>30</v>
      </c>
      <c r="C827" s="20" t="str">
        <f aca="false">'Raw Data'!C827</f>
        <v>male</v>
      </c>
      <c r="D827" s="20" t="n">
        <f aca="false">'Raw Data'!D827</f>
        <v>2</v>
      </c>
      <c r="E827" s="20" t="str">
        <f aca="false">'Raw Data'!E827</f>
        <v>own</v>
      </c>
      <c r="F827" s="20" t="str">
        <f aca="false">'Raw Data'!F827</f>
        <v>little</v>
      </c>
      <c r="G827" s="20" t="str">
        <f aca="false">'Raw Data'!G827</f>
        <v>little</v>
      </c>
      <c r="H827" s="20" t="n">
        <f aca="false">'Raw Data'!H827</f>
        <v>1602</v>
      </c>
      <c r="I827" s="20" t="n">
        <f aca="false">'Raw Data'!I827</f>
        <v>21</v>
      </c>
      <c r="J827" s="20" t="str">
        <f aca="false">'Raw Data'!J827</f>
        <v>car</v>
      </c>
      <c r="K827" s="21" t="n">
        <f aca="false">H827/I827</f>
        <v>76.2857142857143</v>
      </c>
      <c r="L827" s="21" t="n">
        <f aca="false">100-MIN(K827/Assumptions!$B$14,1)*100</f>
        <v>80.9285714285714</v>
      </c>
      <c r="M827" s="21" t="n">
        <f aca="false">VLOOKUP(F827,Assumptions!$A$19:$B$23,2,0)</f>
        <v>25</v>
      </c>
      <c r="N827" s="21" t="n">
        <f aca="false">VLOOKUP(G827,Assumptions!$A$27:$B$30,2,0)</f>
        <v>25</v>
      </c>
      <c r="O827" s="21" t="n">
        <f aca="false">VLOOKUP(D827,Assumptions!$A$34:$B$37,2,0)</f>
        <v>66</v>
      </c>
      <c r="P827" s="21" t="n">
        <f aca="false">VLOOKUP(E827,Assumptions!$A$41:$B$43,2,0)</f>
        <v>100</v>
      </c>
      <c r="Q827" s="22" t="n">
        <f aca="false">L827*Assumptions!$B$7+M827*Assumptions!$B$8+N827*Assumptions!$B$9+O827*Assumptions!$B$10+P827*Assumptions!$B$11</f>
        <v>55.4285714285714</v>
      </c>
      <c r="R827" s="11" t="str">
        <f aca="false">IF(Q827&lt;=33,"High Risk",IF(Q827&lt;=66,"Medium Risk","Low Risk"))</f>
        <v>Medium Risk</v>
      </c>
    </row>
    <row r="828" customFormat="false" ht="15" hidden="false" customHeight="true" outlineLevel="0" collapsed="false">
      <c r="A828" s="20" t="n">
        <f aca="false">'Raw Data'!A828</f>
        <v>827</v>
      </c>
      <c r="B828" s="20" t="n">
        <f aca="false">'Raw Data'!B828</f>
        <v>33</v>
      </c>
      <c r="C828" s="20" t="str">
        <f aca="false">'Raw Data'!C828</f>
        <v>female</v>
      </c>
      <c r="D828" s="20" t="n">
        <f aca="false">'Raw Data'!D828</f>
        <v>2</v>
      </c>
      <c r="E828" s="20" t="str">
        <f aca="false">'Raw Data'!E828</f>
        <v>rent</v>
      </c>
      <c r="F828" s="20" t="str">
        <f aca="false">'Raw Data'!F828</f>
        <v>little</v>
      </c>
      <c r="G828" s="20" t="str">
        <f aca="false">'Raw Data'!G828</f>
        <v>little</v>
      </c>
      <c r="H828" s="20" t="n">
        <f aca="false">'Raw Data'!H828</f>
        <v>3966</v>
      </c>
      <c r="I828" s="20" t="n">
        <f aca="false">'Raw Data'!I828</f>
        <v>18</v>
      </c>
      <c r="J828" s="20" t="str">
        <f aca="false">'Raw Data'!J828</f>
        <v>car</v>
      </c>
      <c r="K828" s="21" t="n">
        <f aca="false">H828/I828</f>
        <v>220.333333333333</v>
      </c>
      <c r="L828" s="21" t="n">
        <f aca="false">100-MIN(K828/Assumptions!$B$14,1)*100</f>
        <v>44.9166666666667</v>
      </c>
      <c r="M828" s="21" t="n">
        <f aca="false">VLOOKUP(F828,Assumptions!$A$19:$B$23,2,0)</f>
        <v>25</v>
      </c>
      <c r="N828" s="21" t="n">
        <f aca="false">VLOOKUP(G828,Assumptions!$A$27:$B$30,2,0)</f>
        <v>25</v>
      </c>
      <c r="O828" s="21" t="n">
        <f aca="false">VLOOKUP(D828,Assumptions!$A$34:$B$37,2,0)</f>
        <v>66</v>
      </c>
      <c r="P828" s="21" t="n">
        <f aca="false">VLOOKUP(E828,Assumptions!$A$41:$B$43,2,0)</f>
        <v>30</v>
      </c>
      <c r="Q828" s="22" t="n">
        <f aca="false">L828*Assumptions!$B$7+M828*Assumptions!$B$8+N828*Assumptions!$B$9+O828*Assumptions!$B$10+P828*Assumptions!$B$11</f>
        <v>37.625</v>
      </c>
      <c r="R828" s="11" t="str">
        <f aca="false">IF(Q828&lt;=33,"High Risk",IF(Q828&lt;=66,"Medium Risk","Low Risk"))</f>
        <v>Medium Risk</v>
      </c>
    </row>
    <row r="829" customFormat="false" ht="15" hidden="false" customHeight="true" outlineLevel="0" collapsed="false">
      <c r="A829" s="20" t="n">
        <f aca="false">'Raw Data'!A829</f>
        <v>828</v>
      </c>
      <c r="B829" s="20" t="n">
        <f aca="false">'Raw Data'!B829</f>
        <v>36</v>
      </c>
      <c r="C829" s="20" t="str">
        <f aca="false">'Raw Data'!C829</f>
        <v>male</v>
      </c>
      <c r="D829" s="20" t="n">
        <f aca="false">'Raw Data'!D829</f>
        <v>2</v>
      </c>
      <c r="E829" s="20" t="str">
        <f aca="false">'Raw Data'!E829</f>
        <v>own</v>
      </c>
      <c r="F829" s="20" t="str">
        <f aca="false">'Raw Data'!F829</f>
        <v>little</v>
      </c>
      <c r="G829" s="20" t="str">
        <f aca="false">'Raw Data'!G829</f>
        <v>none</v>
      </c>
      <c r="H829" s="20" t="n">
        <f aca="false">'Raw Data'!H829</f>
        <v>4165</v>
      </c>
      <c r="I829" s="20" t="n">
        <f aca="false">'Raw Data'!I829</f>
        <v>18</v>
      </c>
      <c r="J829" s="20" t="str">
        <f aca="false">'Raw Data'!J829</f>
        <v>business</v>
      </c>
      <c r="K829" s="21" t="n">
        <f aca="false">H829/I829</f>
        <v>231.388888888889</v>
      </c>
      <c r="L829" s="21" t="n">
        <f aca="false">100-MIN(K829/Assumptions!$B$14,1)*100</f>
        <v>42.1527777777778</v>
      </c>
      <c r="M829" s="21" t="n">
        <f aca="false">VLOOKUP(F829,Assumptions!$A$19:$B$23,2,0)</f>
        <v>25</v>
      </c>
      <c r="N829" s="21" t="n">
        <f aca="false">VLOOKUP(G829,Assumptions!$A$27:$B$30,2,0)</f>
        <v>50</v>
      </c>
      <c r="O829" s="21" t="n">
        <f aca="false">VLOOKUP(D829,Assumptions!$A$34:$B$37,2,0)</f>
        <v>66</v>
      </c>
      <c r="P829" s="21" t="n">
        <f aca="false">VLOOKUP(E829,Assumptions!$A$41:$B$43,2,0)</f>
        <v>100</v>
      </c>
      <c r="Q829" s="22" t="n">
        <f aca="false">L829*Assumptions!$B$7+M829*Assumptions!$B$8+N829*Assumptions!$B$9+O829*Assumptions!$B$10+P829*Assumptions!$B$11</f>
        <v>48.7958333333333</v>
      </c>
      <c r="R829" s="11" t="str">
        <f aca="false">IF(Q829&lt;=33,"High Risk",IF(Q829&lt;=66,"Medium Risk","Low Risk"))</f>
        <v>Medium Risk</v>
      </c>
    </row>
    <row r="830" customFormat="false" ht="15" hidden="false" customHeight="true" outlineLevel="0" collapsed="false">
      <c r="A830" s="20" t="n">
        <f aca="false">'Raw Data'!A830</f>
        <v>829</v>
      </c>
      <c r="B830" s="20" t="n">
        <f aca="false">'Raw Data'!B830</f>
        <v>47</v>
      </c>
      <c r="C830" s="20" t="str">
        <f aca="false">'Raw Data'!C830</f>
        <v>male</v>
      </c>
      <c r="D830" s="20" t="n">
        <f aca="false">'Raw Data'!D830</f>
        <v>2</v>
      </c>
      <c r="E830" s="20" t="str">
        <f aca="false">'Raw Data'!E830</f>
        <v>free</v>
      </c>
      <c r="F830" s="20" t="str">
        <f aca="false">'Raw Data'!F830</f>
        <v>none</v>
      </c>
      <c r="G830" s="20" t="str">
        <f aca="false">'Raw Data'!G830</f>
        <v>little</v>
      </c>
      <c r="H830" s="20" t="n">
        <f aca="false">'Raw Data'!H830</f>
        <v>8335</v>
      </c>
      <c r="I830" s="20" t="n">
        <f aca="false">'Raw Data'!I830</f>
        <v>36</v>
      </c>
      <c r="J830" s="20" t="str">
        <f aca="false">'Raw Data'!J830</f>
        <v>car</v>
      </c>
      <c r="K830" s="21" t="n">
        <f aca="false">H830/I830</f>
        <v>231.527777777778</v>
      </c>
      <c r="L830" s="21" t="n">
        <f aca="false">100-MIN(K830/Assumptions!$B$14,1)*100</f>
        <v>42.1180555555556</v>
      </c>
      <c r="M830" s="21" t="n">
        <f aca="false">VLOOKUP(F830,Assumptions!$A$19:$B$23,2,0)</f>
        <v>40</v>
      </c>
      <c r="N830" s="21" t="n">
        <f aca="false">VLOOKUP(G830,Assumptions!$A$27:$B$30,2,0)</f>
        <v>25</v>
      </c>
      <c r="O830" s="21" t="n">
        <f aca="false">VLOOKUP(D830,Assumptions!$A$34:$B$37,2,0)</f>
        <v>66</v>
      </c>
      <c r="P830" s="21" t="n">
        <f aca="false">VLOOKUP(E830,Assumptions!$A$41:$B$43,2,0)</f>
        <v>60</v>
      </c>
      <c r="Q830" s="22" t="n">
        <f aca="false">L830*Assumptions!$B$7+M830*Assumptions!$B$8+N830*Assumptions!$B$9+O830*Assumptions!$B$10+P830*Assumptions!$B$11</f>
        <v>43.5354166666667</v>
      </c>
      <c r="R830" s="11" t="str">
        <f aca="false">IF(Q830&lt;=33,"High Risk",IF(Q830&lt;=66,"Medium Risk","Low Risk"))</f>
        <v>Medium Risk</v>
      </c>
    </row>
    <row r="831" customFormat="false" ht="15" hidden="false" customHeight="true" outlineLevel="0" collapsed="false">
      <c r="A831" s="20" t="n">
        <f aca="false">'Raw Data'!A831</f>
        <v>830</v>
      </c>
      <c r="B831" s="20" t="n">
        <f aca="false">'Raw Data'!B831</f>
        <v>38</v>
      </c>
      <c r="C831" s="20" t="str">
        <f aca="false">'Raw Data'!C831</f>
        <v>male</v>
      </c>
      <c r="D831" s="20" t="n">
        <f aca="false">'Raw Data'!D831</f>
        <v>2</v>
      </c>
      <c r="E831" s="20" t="str">
        <f aca="false">'Raw Data'!E831</f>
        <v>free</v>
      </c>
      <c r="F831" s="20" t="str">
        <f aca="false">'Raw Data'!F831</f>
        <v>none</v>
      </c>
      <c r="G831" s="20" t="str">
        <f aca="false">'Raw Data'!G831</f>
        <v>moderate</v>
      </c>
      <c r="H831" s="20" t="n">
        <f aca="false">'Raw Data'!H831</f>
        <v>6681</v>
      </c>
      <c r="I831" s="20" t="n">
        <f aca="false">'Raw Data'!I831</f>
        <v>48</v>
      </c>
      <c r="J831" s="20" t="str">
        <f aca="false">'Raw Data'!J831</f>
        <v>business</v>
      </c>
      <c r="K831" s="21" t="n">
        <f aca="false">H831/I831</f>
        <v>139.1875</v>
      </c>
      <c r="L831" s="21" t="n">
        <f aca="false">100-MIN(K831/Assumptions!$B$14,1)*100</f>
        <v>65.203125</v>
      </c>
      <c r="M831" s="21" t="n">
        <f aca="false">VLOOKUP(F831,Assumptions!$A$19:$B$23,2,0)</f>
        <v>40</v>
      </c>
      <c r="N831" s="21" t="n">
        <f aca="false">VLOOKUP(G831,Assumptions!$A$27:$B$30,2,0)</f>
        <v>60</v>
      </c>
      <c r="O831" s="21" t="n">
        <f aca="false">VLOOKUP(D831,Assumptions!$A$34:$B$37,2,0)</f>
        <v>66</v>
      </c>
      <c r="P831" s="21" t="n">
        <f aca="false">VLOOKUP(E831,Assumptions!$A$41:$B$43,2,0)</f>
        <v>60</v>
      </c>
      <c r="Q831" s="22" t="n">
        <f aca="false">L831*Assumptions!$B$7+M831*Assumptions!$B$8+N831*Assumptions!$B$9+O831*Assumptions!$B$10+P831*Assumptions!$B$11</f>
        <v>57.4609375</v>
      </c>
      <c r="R831" s="11" t="str">
        <f aca="false">IF(Q831&lt;=33,"High Risk",IF(Q831&lt;=66,"Medium Risk","Low Risk"))</f>
        <v>Medium Risk</v>
      </c>
    </row>
    <row r="832" customFormat="false" ht="15" hidden="false" customHeight="true" outlineLevel="0" collapsed="false">
      <c r="A832" s="20" t="n">
        <f aca="false">'Raw Data'!A832</f>
        <v>831</v>
      </c>
      <c r="B832" s="20" t="n">
        <f aca="false">'Raw Data'!B832</f>
        <v>44</v>
      </c>
      <c r="C832" s="20" t="str">
        <f aca="false">'Raw Data'!C832</f>
        <v>male</v>
      </c>
      <c r="D832" s="20" t="n">
        <f aca="false">'Raw Data'!D832</f>
        <v>2</v>
      </c>
      <c r="E832" s="20" t="str">
        <f aca="false">'Raw Data'!E832</f>
        <v>own</v>
      </c>
      <c r="F832" s="20" t="str">
        <f aca="false">'Raw Data'!F832</f>
        <v>quite rich</v>
      </c>
      <c r="G832" s="20" t="str">
        <f aca="false">'Raw Data'!G832</f>
        <v>none</v>
      </c>
      <c r="H832" s="20" t="n">
        <f aca="false">'Raw Data'!H832</f>
        <v>2375</v>
      </c>
      <c r="I832" s="20" t="n">
        <f aca="false">'Raw Data'!I832</f>
        <v>24</v>
      </c>
      <c r="J832" s="20" t="str">
        <f aca="false">'Raw Data'!J832</f>
        <v>business</v>
      </c>
      <c r="K832" s="21" t="n">
        <f aca="false">H832/I832</f>
        <v>98.9583333333333</v>
      </c>
      <c r="L832" s="21" t="n">
        <f aca="false">100-MIN(K832/Assumptions!$B$14,1)*100</f>
        <v>75.2604166666667</v>
      </c>
      <c r="M832" s="21" t="n">
        <f aca="false">VLOOKUP(F832,Assumptions!$A$19:$B$23,2,0)</f>
        <v>75</v>
      </c>
      <c r="N832" s="21" t="n">
        <f aca="false">VLOOKUP(G832,Assumptions!$A$27:$B$30,2,0)</f>
        <v>50</v>
      </c>
      <c r="O832" s="21" t="n">
        <f aca="false">VLOOKUP(D832,Assumptions!$A$34:$B$37,2,0)</f>
        <v>66</v>
      </c>
      <c r="P832" s="21" t="n">
        <f aca="false">VLOOKUP(E832,Assumptions!$A$41:$B$43,2,0)</f>
        <v>100</v>
      </c>
      <c r="Q832" s="22" t="n">
        <f aca="false">L832*Assumptions!$B$7+M832*Assumptions!$B$8+N832*Assumptions!$B$9+O832*Assumptions!$B$10+P832*Assumptions!$B$11</f>
        <v>71.228125</v>
      </c>
      <c r="R832" s="11" t="str">
        <f aca="false">IF(Q832&lt;=33,"High Risk",IF(Q832&lt;=66,"Medium Risk","Low Risk"))</f>
        <v>Low Risk</v>
      </c>
    </row>
    <row r="833" customFormat="false" ht="15" hidden="false" customHeight="true" outlineLevel="0" collapsed="false">
      <c r="A833" s="20" t="n">
        <f aca="false">'Raw Data'!A833</f>
        <v>832</v>
      </c>
      <c r="B833" s="20" t="n">
        <f aca="false">'Raw Data'!B833</f>
        <v>23</v>
      </c>
      <c r="C833" s="20" t="str">
        <f aca="false">'Raw Data'!C833</f>
        <v>female</v>
      </c>
      <c r="D833" s="20" t="n">
        <f aca="false">'Raw Data'!D833</f>
        <v>2</v>
      </c>
      <c r="E833" s="20" t="str">
        <f aca="false">'Raw Data'!E833</f>
        <v>rent</v>
      </c>
      <c r="F833" s="20" t="str">
        <f aca="false">'Raw Data'!F833</f>
        <v>little</v>
      </c>
      <c r="G833" s="20" t="str">
        <f aca="false">'Raw Data'!G833</f>
        <v>little</v>
      </c>
      <c r="H833" s="20" t="n">
        <f aca="false">'Raw Data'!H833</f>
        <v>1216</v>
      </c>
      <c r="I833" s="20" t="n">
        <f aca="false">'Raw Data'!I833</f>
        <v>18</v>
      </c>
      <c r="J833" s="20" t="str">
        <f aca="false">'Raw Data'!J833</f>
        <v>car</v>
      </c>
      <c r="K833" s="21" t="n">
        <f aca="false">H833/I833</f>
        <v>67.5555555555556</v>
      </c>
      <c r="L833" s="21" t="n">
        <f aca="false">100-MIN(K833/Assumptions!$B$14,1)*100</f>
        <v>83.1111111111111</v>
      </c>
      <c r="M833" s="21" t="n">
        <f aca="false">VLOOKUP(F833,Assumptions!$A$19:$B$23,2,0)</f>
        <v>25</v>
      </c>
      <c r="N833" s="21" t="n">
        <f aca="false">VLOOKUP(G833,Assumptions!$A$27:$B$30,2,0)</f>
        <v>25</v>
      </c>
      <c r="O833" s="21" t="n">
        <f aca="false">VLOOKUP(D833,Assumptions!$A$34:$B$37,2,0)</f>
        <v>66</v>
      </c>
      <c r="P833" s="21" t="n">
        <f aca="false">VLOOKUP(E833,Assumptions!$A$41:$B$43,2,0)</f>
        <v>30</v>
      </c>
      <c r="Q833" s="22" t="n">
        <f aca="false">L833*Assumptions!$B$7+M833*Assumptions!$B$8+N833*Assumptions!$B$9+O833*Assumptions!$B$10+P833*Assumptions!$B$11</f>
        <v>49.0833333333333</v>
      </c>
      <c r="R833" s="11" t="str">
        <f aca="false">IF(Q833&lt;=33,"High Risk",IF(Q833&lt;=66,"Medium Risk","Low Risk"))</f>
        <v>Medium Risk</v>
      </c>
    </row>
    <row r="834" customFormat="false" ht="15" hidden="false" customHeight="true" outlineLevel="0" collapsed="false">
      <c r="A834" s="20" t="n">
        <f aca="false">'Raw Data'!A834</f>
        <v>833</v>
      </c>
      <c r="B834" s="20" t="n">
        <f aca="false">'Raw Data'!B834</f>
        <v>29</v>
      </c>
      <c r="C834" s="20" t="str">
        <f aca="false">'Raw Data'!C834</f>
        <v>male</v>
      </c>
      <c r="D834" s="20" t="n">
        <f aca="false">'Raw Data'!D834</f>
        <v>2</v>
      </c>
      <c r="E834" s="20" t="str">
        <f aca="false">'Raw Data'!E834</f>
        <v>rent</v>
      </c>
      <c r="F834" s="20" t="str">
        <f aca="false">'Raw Data'!F834</f>
        <v>little</v>
      </c>
      <c r="G834" s="20" t="str">
        <f aca="false">'Raw Data'!G834</f>
        <v>little</v>
      </c>
      <c r="H834" s="20" t="n">
        <f aca="false">'Raw Data'!H834</f>
        <v>11816</v>
      </c>
      <c r="I834" s="20" t="n">
        <f aca="false">'Raw Data'!I834</f>
        <v>45</v>
      </c>
      <c r="J834" s="20" t="str">
        <f aca="false">'Raw Data'!J834</f>
        <v>business</v>
      </c>
      <c r="K834" s="21" t="n">
        <f aca="false">H834/I834</f>
        <v>262.577777777778</v>
      </c>
      <c r="L834" s="21" t="n">
        <f aca="false">100-MIN(K834/Assumptions!$B$14,1)*100</f>
        <v>34.3555555555556</v>
      </c>
      <c r="M834" s="21" t="n">
        <f aca="false">VLOOKUP(F834,Assumptions!$A$19:$B$23,2,0)</f>
        <v>25</v>
      </c>
      <c r="N834" s="21" t="n">
        <f aca="false">VLOOKUP(G834,Assumptions!$A$27:$B$30,2,0)</f>
        <v>25</v>
      </c>
      <c r="O834" s="21" t="n">
        <f aca="false">VLOOKUP(D834,Assumptions!$A$34:$B$37,2,0)</f>
        <v>66</v>
      </c>
      <c r="P834" s="21" t="n">
        <f aca="false">VLOOKUP(E834,Assumptions!$A$41:$B$43,2,0)</f>
        <v>30</v>
      </c>
      <c r="Q834" s="22" t="n">
        <f aca="false">L834*Assumptions!$B$7+M834*Assumptions!$B$8+N834*Assumptions!$B$9+O834*Assumptions!$B$10+P834*Assumptions!$B$11</f>
        <v>34.4566666666667</v>
      </c>
      <c r="R834" s="11" t="str">
        <f aca="false">IF(Q834&lt;=33,"High Risk",IF(Q834&lt;=66,"Medium Risk","Low Risk"))</f>
        <v>Medium Risk</v>
      </c>
    </row>
    <row r="835" customFormat="false" ht="15" hidden="false" customHeight="true" outlineLevel="0" collapsed="false">
      <c r="A835" s="20" t="n">
        <f aca="false">'Raw Data'!A835</f>
        <v>834</v>
      </c>
      <c r="B835" s="20" t="n">
        <f aca="false">'Raw Data'!B835</f>
        <v>42</v>
      </c>
      <c r="C835" s="20" t="str">
        <f aca="false">'Raw Data'!C835</f>
        <v>female</v>
      </c>
      <c r="D835" s="20" t="n">
        <f aca="false">'Raw Data'!D835</f>
        <v>2</v>
      </c>
      <c r="E835" s="20" t="str">
        <f aca="false">'Raw Data'!E835</f>
        <v>own</v>
      </c>
      <c r="F835" s="20" t="str">
        <f aca="false">'Raw Data'!F835</f>
        <v>none</v>
      </c>
      <c r="G835" s="20" t="str">
        <f aca="false">'Raw Data'!G835</f>
        <v>moderate</v>
      </c>
      <c r="H835" s="20" t="n">
        <f aca="false">'Raw Data'!H835</f>
        <v>5084</v>
      </c>
      <c r="I835" s="20" t="n">
        <f aca="false">'Raw Data'!I835</f>
        <v>24</v>
      </c>
      <c r="J835" s="20" t="str">
        <f aca="false">'Raw Data'!J835</f>
        <v>radio/TV</v>
      </c>
      <c r="K835" s="21" t="n">
        <f aca="false">H835/I835</f>
        <v>211.833333333333</v>
      </c>
      <c r="L835" s="21" t="n">
        <f aca="false">100-MIN(K835/Assumptions!$B$14,1)*100</f>
        <v>47.0416666666667</v>
      </c>
      <c r="M835" s="21" t="n">
        <f aca="false">VLOOKUP(F835,Assumptions!$A$19:$B$23,2,0)</f>
        <v>40</v>
      </c>
      <c r="N835" s="21" t="n">
        <f aca="false">VLOOKUP(G835,Assumptions!$A$27:$B$30,2,0)</f>
        <v>60</v>
      </c>
      <c r="O835" s="21" t="n">
        <f aca="false">VLOOKUP(D835,Assumptions!$A$34:$B$37,2,0)</f>
        <v>66</v>
      </c>
      <c r="P835" s="21" t="n">
        <f aca="false">VLOOKUP(E835,Assumptions!$A$41:$B$43,2,0)</f>
        <v>100</v>
      </c>
      <c r="Q835" s="22" t="n">
        <f aca="false">L835*Assumptions!$B$7+M835*Assumptions!$B$8+N835*Assumptions!$B$9+O835*Assumptions!$B$10+P835*Assumptions!$B$11</f>
        <v>56.0125</v>
      </c>
      <c r="R835" s="11" t="str">
        <f aca="false">IF(Q835&lt;=33,"High Risk",IF(Q835&lt;=66,"Medium Risk","Low Risk"))</f>
        <v>Medium Risk</v>
      </c>
    </row>
    <row r="836" customFormat="false" ht="15" hidden="false" customHeight="true" outlineLevel="0" collapsed="false">
      <c r="A836" s="20" t="n">
        <f aca="false">'Raw Data'!A836</f>
        <v>835</v>
      </c>
      <c r="B836" s="20" t="n">
        <f aca="false">'Raw Data'!B836</f>
        <v>25</v>
      </c>
      <c r="C836" s="20" t="str">
        <f aca="false">'Raw Data'!C836</f>
        <v>female</v>
      </c>
      <c r="D836" s="20" t="n">
        <f aca="false">'Raw Data'!D836</f>
        <v>1</v>
      </c>
      <c r="E836" s="20" t="str">
        <f aca="false">'Raw Data'!E836</f>
        <v>own</v>
      </c>
      <c r="F836" s="20" t="str">
        <f aca="false">'Raw Data'!F836</f>
        <v>little</v>
      </c>
      <c r="G836" s="20" t="str">
        <f aca="false">'Raw Data'!G836</f>
        <v>rich</v>
      </c>
      <c r="H836" s="20" t="n">
        <f aca="false">'Raw Data'!H836</f>
        <v>2327</v>
      </c>
      <c r="I836" s="20" t="n">
        <f aca="false">'Raw Data'!I836</f>
        <v>15</v>
      </c>
      <c r="J836" s="20" t="str">
        <f aca="false">'Raw Data'!J836</f>
        <v>radio/TV</v>
      </c>
      <c r="K836" s="21" t="n">
        <f aca="false">H836/I836</f>
        <v>155.133333333333</v>
      </c>
      <c r="L836" s="21" t="n">
        <f aca="false">100-MIN(K836/Assumptions!$B$14,1)*100</f>
        <v>61.2166666666667</v>
      </c>
      <c r="M836" s="21" t="n">
        <f aca="false">VLOOKUP(F836,Assumptions!$A$19:$B$23,2,0)</f>
        <v>25</v>
      </c>
      <c r="N836" s="21" t="n">
        <f aca="false">VLOOKUP(G836,Assumptions!$A$27:$B$30,2,0)</f>
        <v>100</v>
      </c>
      <c r="O836" s="21" t="n">
        <f aca="false">VLOOKUP(D836,Assumptions!$A$34:$B$37,2,0)</f>
        <v>33</v>
      </c>
      <c r="P836" s="21" t="n">
        <f aca="false">VLOOKUP(E836,Assumptions!$A$41:$B$43,2,0)</f>
        <v>100</v>
      </c>
      <c r="Q836" s="22" t="n">
        <f aca="false">L836*Assumptions!$B$7+M836*Assumptions!$B$8+N836*Assumptions!$B$9+O836*Assumptions!$B$10+P836*Assumptions!$B$11</f>
        <v>59.565</v>
      </c>
      <c r="R836" s="11" t="str">
        <f aca="false">IF(Q836&lt;=33,"High Risk",IF(Q836&lt;=66,"Medium Risk","Low Risk"))</f>
        <v>Medium Risk</v>
      </c>
    </row>
    <row r="837" customFormat="false" ht="15" hidden="false" customHeight="true" outlineLevel="0" collapsed="false">
      <c r="A837" s="20" t="n">
        <f aca="false">'Raw Data'!A837</f>
        <v>836</v>
      </c>
      <c r="B837" s="20" t="n">
        <f aca="false">'Raw Data'!B837</f>
        <v>48</v>
      </c>
      <c r="C837" s="20" t="str">
        <f aca="false">'Raw Data'!C837</f>
        <v>male</v>
      </c>
      <c r="D837" s="20" t="n">
        <f aca="false">'Raw Data'!D837</f>
        <v>2</v>
      </c>
      <c r="E837" s="20" t="str">
        <f aca="false">'Raw Data'!E837</f>
        <v>own</v>
      </c>
      <c r="F837" s="20" t="str">
        <f aca="false">'Raw Data'!F837</f>
        <v>little</v>
      </c>
      <c r="G837" s="20" t="str">
        <f aca="false">'Raw Data'!G837</f>
        <v>little</v>
      </c>
      <c r="H837" s="20" t="n">
        <f aca="false">'Raw Data'!H837</f>
        <v>1082</v>
      </c>
      <c r="I837" s="20" t="n">
        <f aca="false">'Raw Data'!I837</f>
        <v>12</v>
      </c>
      <c r="J837" s="20" t="str">
        <f aca="false">'Raw Data'!J837</f>
        <v>car</v>
      </c>
      <c r="K837" s="21" t="n">
        <f aca="false">H837/I837</f>
        <v>90.1666666666667</v>
      </c>
      <c r="L837" s="21" t="n">
        <f aca="false">100-MIN(K837/Assumptions!$B$14,1)*100</f>
        <v>77.4583333333333</v>
      </c>
      <c r="M837" s="21" t="n">
        <f aca="false">VLOOKUP(F837,Assumptions!$A$19:$B$23,2,0)</f>
        <v>25</v>
      </c>
      <c r="N837" s="21" t="n">
        <f aca="false">VLOOKUP(G837,Assumptions!$A$27:$B$30,2,0)</f>
        <v>25</v>
      </c>
      <c r="O837" s="21" t="n">
        <f aca="false">VLOOKUP(D837,Assumptions!$A$34:$B$37,2,0)</f>
        <v>66</v>
      </c>
      <c r="P837" s="21" t="n">
        <f aca="false">VLOOKUP(E837,Assumptions!$A$41:$B$43,2,0)</f>
        <v>100</v>
      </c>
      <c r="Q837" s="22" t="n">
        <f aca="false">L837*Assumptions!$B$7+M837*Assumptions!$B$8+N837*Assumptions!$B$9+O837*Assumptions!$B$10+P837*Assumptions!$B$11</f>
        <v>54.3875</v>
      </c>
      <c r="R837" s="11" t="str">
        <f aca="false">IF(Q837&lt;=33,"High Risk",IF(Q837&lt;=66,"Medium Risk","Low Risk"))</f>
        <v>Medium Risk</v>
      </c>
    </row>
    <row r="838" customFormat="false" ht="15" hidden="false" customHeight="true" outlineLevel="0" collapsed="false">
      <c r="A838" s="20" t="n">
        <f aca="false">'Raw Data'!A838</f>
        <v>837</v>
      </c>
      <c r="B838" s="20" t="n">
        <f aca="false">'Raw Data'!B838</f>
        <v>21</v>
      </c>
      <c r="C838" s="20" t="str">
        <f aca="false">'Raw Data'!C838</f>
        <v>female</v>
      </c>
      <c r="D838" s="20" t="n">
        <f aca="false">'Raw Data'!D838</f>
        <v>2</v>
      </c>
      <c r="E838" s="20" t="str">
        <f aca="false">'Raw Data'!E838</f>
        <v>own</v>
      </c>
      <c r="F838" s="20" t="str">
        <f aca="false">'Raw Data'!F838</f>
        <v>none</v>
      </c>
      <c r="G838" s="20" t="str">
        <f aca="false">'Raw Data'!G838</f>
        <v>none</v>
      </c>
      <c r="H838" s="20" t="n">
        <f aca="false">'Raw Data'!H838</f>
        <v>886</v>
      </c>
      <c r="I838" s="20" t="n">
        <f aca="false">'Raw Data'!I838</f>
        <v>12</v>
      </c>
      <c r="J838" s="20" t="str">
        <f aca="false">'Raw Data'!J838</f>
        <v>radio/TV</v>
      </c>
      <c r="K838" s="21" t="n">
        <f aca="false">H838/I838</f>
        <v>73.8333333333333</v>
      </c>
      <c r="L838" s="21" t="n">
        <f aca="false">100-MIN(K838/Assumptions!$B$14,1)*100</f>
        <v>81.5416666666667</v>
      </c>
      <c r="M838" s="21" t="n">
        <f aca="false">VLOOKUP(F838,Assumptions!$A$19:$B$23,2,0)</f>
        <v>40</v>
      </c>
      <c r="N838" s="21" t="n">
        <f aca="false">VLOOKUP(G838,Assumptions!$A$27:$B$30,2,0)</f>
        <v>50</v>
      </c>
      <c r="O838" s="21" t="n">
        <f aca="false">VLOOKUP(D838,Assumptions!$A$34:$B$37,2,0)</f>
        <v>66</v>
      </c>
      <c r="P838" s="21" t="n">
        <f aca="false">VLOOKUP(E838,Assumptions!$A$41:$B$43,2,0)</f>
        <v>100</v>
      </c>
      <c r="Q838" s="22" t="n">
        <f aca="false">L838*Assumptions!$B$7+M838*Assumptions!$B$8+N838*Assumptions!$B$9+O838*Assumptions!$B$10+P838*Assumptions!$B$11</f>
        <v>64.3625</v>
      </c>
      <c r="R838" s="11" t="str">
        <f aca="false">IF(Q838&lt;=33,"High Risk",IF(Q838&lt;=66,"Medium Risk","Low Risk"))</f>
        <v>Medium Risk</v>
      </c>
    </row>
    <row r="839" customFormat="false" ht="15" hidden="false" customHeight="true" outlineLevel="0" collapsed="false">
      <c r="A839" s="20" t="n">
        <f aca="false">'Raw Data'!A839</f>
        <v>838</v>
      </c>
      <c r="B839" s="20" t="n">
        <f aca="false">'Raw Data'!B839</f>
        <v>23</v>
      </c>
      <c r="C839" s="20" t="str">
        <f aca="false">'Raw Data'!C839</f>
        <v>female</v>
      </c>
      <c r="D839" s="20" t="n">
        <f aca="false">'Raw Data'!D839</f>
        <v>1</v>
      </c>
      <c r="E839" s="20" t="str">
        <f aca="false">'Raw Data'!E839</f>
        <v>rent</v>
      </c>
      <c r="F839" s="20" t="str">
        <f aca="false">'Raw Data'!F839</f>
        <v>little</v>
      </c>
      <c r="G839" s="20" t="str">
        <f aca="false">'Raw Data'!G839</f>
        <v>none</v>
      </c>
      <c r="H839" s="20" t="n">
        <f aca="false">'Raw Data'!H839</f>
        <v>601</v>
      </c>
      <c r="I839" s="20" t="n">
        <f aca="false">'Raw Data'!I839</f>
        <v>4</v>
      </c>
      <c r="J839" s="20" t="str">
        <f aca="false">'Raw Data'!J839</f>
        <v>furniture/equipment</v>
      </c>
      <c r="K839" s="21" t="n">
        <f aca="false">H839/I839</f>
        <v>150.25</v>
      </c>
      <c r="L839" s="21" t="n">
        <f aca="false">100-MIN(K839/Assumptions!$B$14,1)*100</f>
        <v>62.4375</v>
      </c>
      <c r="M839" s="21" t="n">
        <f aca="false">VLOOKUP(F839,Assumptions!$A$19:$B$23,2,0)</f>
        <v>25</v>
      </c>
      <c r="N839" s="21" t="n">
        <f aca="false">VLOOKUP(G839,Assumptions!$A$27:$B$30,2,0)</f>
        <v>50</v>
      </c>
      <c r="O839" s="21" t="n">
        <f aca="false">VLOOKUP(D839,Assumptions!$A$34:$B$37,2,0)</f>
        <v>33</v>
      </c>
      <c r="P839" s="21" t="n">
        <f aca="false">VLOOKUP(E839,Assumptions!$A$41:$B$43,2,0)</f>
        <v>30</v>
      </c>
      <c r="Q839" s="22" t="n">
        <f aca="false">L839*Assumptions!$B$7+M839*Assumptions!$B$8+N839*Assumptions!$B$9+O839*Assumptions!$B$10+P839*Assumptions!$B$11</f>
        <v>42.93125</v>
      </c>
      <c r="R839" s="11" t="str">
        <f aca="false">IF(Q839&lt;=33,"High Risk",IF(Q839&lt;=66,"Medium Risk","Low Risk"))</f>
        <v>Medium Risk</v>
      </c>
    </row>
    <row r="840" customFormat="false" ht="15" hidden="false" customHeight="true" outlineLevel="0" collapsed="false">
      <c r="A840" s="20" t="n">
        <f aca="false">'Raw Data'!A840</f>
        <v>839</v>
      </c>
      <c r="B840" s="20" t="n">
        <f aca="false">'Raw Data'!B840</f>
        <v>63</v>
      </c>
      <c r="C840" s="20" t="str">
        <f aca="false">'Raw Data'!C840</f>
        <v>male</v>
      </c>
      <c r="D840" s="20" t="n">
        <f aca="false">'Raw Data'!D840</f>
        <v>2</v>
      </c>
      <c r="E840" s="20" t="str">
        <f aca="false">'Raw Data'!E840</f>
        <v>own</v>
      </c>
      <c r="F840" s="20" t="str">
        <f aca="false">'Raw Data'!F840</f>
        <v>little</v>
      </c>
      <c r="G840" s="20" t="str">
        <f aca="false">'Raw Data'!G840</f>
        <v>little</v>
      </c>
      <c r="H840" s="20" t="n">
        <f aca="false">'Raw Data'!H840</f>
        <v>2957</v>
      </c>
      <c r="I840" s="20" t="n">
        <f aca="false">'Raw Data'!I840</f>
        <v>24</v>
      </c>
      <c r="J840" s="20" t="str">
        <f aca="false">'Raw Data'!J840</f>
        <v>car</v>
      </c>
      <c r="K840" s="21" t="n">
        <f aca="false">H840/I840</f>
        <v>123.208333333333</v>
      </c>
      <c r="L840" s="21" t="n">
        <f aca="false">100-MIN(K840/Assumptions!$B$14,1)*100</f>
        <v>69.1979166666667</v>
      </c>
      <c r="M840" s="21" t="n">
        <f aca="false">VLOOKUP(F840,Assumptions!$A$19:$B$23,2,0)</f>
        <v>25</v>
      </c>
      <c r="N840" s="21" t="n">
        <f aca="false">VLOOKUP(G840,Assumptions!$A$27:$B$30,2,0)</f>
        <v>25</v>
      </c>
      <c r="O840" s="21" t="n">
        <f aca="false">VLOOKUP(D840,Assumptions!$A$34:$B$37,2,0)</f>
        <v>66</v>
      </c>
      <c r="P840" s="21" t="n">
        <f aca="false">VLOOKUP(E840,Assumptions!$A$41:$B$43,2,0)</f>
        <v>100</v>
      </c>
      <c r="Q840" s="22" t="n">
        <f aca="false">L840*Assumptions!$B$7+M840*Assumptions!$B$8+N840*Assumptions!$B$9+O840*Assumptions!$B$10+P840*Assumptions!$B$11</f>
        <v>51.909375</v>
      </c>
      <c r="R840" s="11" t="str">
        <f aca="false">IF(Q840&lt;=33,"High Risk",IF(Q840&lt;=66,"Medium Risk","Low Risk"))</f>
        <v>Medium Risk</v>
      </c>
    </row>
    <row r="841" customFormat="false" ht="15" hidden="false" customHeight="true" outlineLevel="0" collapsed="false">
      <c r="A841" s="20" t="n">
        <f aca="false">'Raw Data'!A841</f>
        <v>840</v>
      </c>
      <c r="B841" s="20" t="n">
        <f aca="false">'Raw Data'!B841</f>
        <v>46</v>
      </c>
      <c r="C841" s="20" t="str">
        <f aca="false">'Raw Data'!C841</f>
        <v>male</v>
      </c>
      <c r="D841" s="20" t="n">
        <f aca="false">'Raw Data'!D841</f>
        <v>2</v>
      </c>
      <c r="E841" s="20" t="str">
        <f aca="false">'Raw Data'!E841</f>
        <v>own</v>
      </c>
      <c r="F841" s="20" t="str">
        <f aca="false">'Raw Data'!F841</f>
        <v>little</v>
      </c>
      <c r="G841" s="20" t="str">
        <f aca="false">'Raw Data'!G841</f>
        <v>none</v>
      </c>
      <c r="H841" s="20" t="n">
        <f aca="false">'Raw Data'!H841</f>
        <v>2611</v>
      </c>
      <c r="I841" s="20" t="n">
        <f aca="false">'Raw Data'!I841</f>
        <v>24</v>
      </c>
      <c r="J841" s="20" t="str">
        <f aca="false">'Raw Data'!J841</f>
        <v>radio/TV</v>
      </c>
      <c r="K841" s="21" t="n">
        <f aca="false">H841/I841</f>
        <v>108.791666666667</v>
      </c>
      <c r="L841" s="21" t="n">
        <f aca="false">100-MIN(K841/Assumptions!$B$14,1)*100</f>
        <v>72.8020833333333</v>
      </c>
      <c r="M841" s="21" t="n">
        <f aca="false">VLOOKUP(F841,Assumptions!$A$19:$B$23,2,0)</f>
        <v>25</v>
      </c>
      <c r="N841" s="21" t="n">
        <f aca="false">VLOOKUP(G841,Assumptions!$A$27:$B$30,2,0)</f>
        <v>50</v>
      </c>
      <c r="O841" s="21" t="n">
        <f aca="false">VLOOKUP(D841,Assumptions!$A$34:$B$37,2,0)</f>
        <v>66</v>
      </c>
      <c r="P841" s="21" t="n">
        <f aca="false">VLOOKUP(E841,Assumptions!$A$41:$B$43,2,0)</f>
        <v>100</v>
      </c>
      <c r="Q841" s="22" t="n">
        <f aca="false">L841*Assumptions!$B$7+M841*Assumptions!$B$8+N841*Assumptions!$B$9+O841*Assumptions!$B$10+P841*Assumptions!$B$11</f>
        <v>57.990625</v>
      </c>
      <c r="R841" s="11" t="str">
        <f aca="false">IF(Q841&lt;=33,"High Risk",IF(Q841&lt;=66,"Medium Risk","Low Risk"))</f>
        <v>Medium Risk</v>
      </c>
    </row>
    <row r="842" customFormat="false" ht="15" hidden="false" customHeight="true" outlineLevel="0" collapsed="false">
      <c r="A842" s="20" t="n">
        <f aca="false">'Raw Data'!A842</f>
        <v>841</v>
      </c>
      <c r="B842" s="20" t="n">
        <f aca="false">'Raw Data'!B842</f>
        <v>29</v>
      </c>
      <c r="C842" s="20" t="str">
        <f aca="false">'Raw Data'!C842</f>
        <v>male</v>
      </c>
      <c r="D842" s="20" t="n">
        <f aca="false">'Raw Data'!D842</f>
        <v>2</v>
      </c>
      <c r="E842" s="20" t="str">
        <f aca="false">'Raw Data'!E842</f>
        <v>own</v>
      </c>
      <c r="F842" s="20" t="str">
        <f aca="false">'Raw Data'!F842</f>
        <v>little</v>
      </c>
      <c r="G842" s="20" t="str">
        <f aca="false">'Raw Data'!G842</f>
        <v>little</v>
      </c>
      <c r="H842" s="20" t="n">
        <f aca="false">'Raw Data'!H842</f>
        <v>5179</v>
      </c>
      <c r="I842" s="20" t="n">
        <f aca="false">'Raw Data'!I842</f>
        <v>36</v>
      </c>
      <c r="J842" s="20" t="str">
        <f aca="false">'Raw Data'!J842</f>
        <v>furniture/equipment</v>
      </c>
      <c r="K842" s="21" t="n">
        <f aca="false">H842/I842</f>
        <v>143.861111111111</v>
      </c>
      <c r="L842" s="21" t="n">
        <f aca="false">100-MIN(K842/Assumptions!$B$14,1)*100</f>
        <v>64.0347222222222</v>
      </c>
      <c r="M842" s="21" t="n">
        <f aca="false">VLOOKUP(F842,Assumptions!$A$19:$B$23,2,0)</f>
        <v>25</v>
      </c>
      <c r="N842" s="21" t="n">
        <f aca="false">VLOOKUP(G842,Assumptions!$A$27:$B$30,2,0)</f>
        <v>25</v>
      </c>
      <c r="O842" s="21" t="n">
        <f aca="false">VLOOKUP(D842,Assumptions!$A$34:$B$37,2,0)</f>
        <v>66</v>
      </c>
      <c r="P842" s="21" t="n">
        <f aca="false">VLOOKUP(E842,Assumptions!$A$41:$B$43,2,0)</f>
        <v>100</v>
      </c>
      <c r="Q842" s="22" t="n">
        <f aca="false">L842*Assumptions!$B$7+M842*Assumptions!$B$8+N842*Assumptions!$B$9+O842*Assumptions!$B$10+P842*Assumptions!$B$11</f>
        <v>50.3604166666667</v>
      </c>
      <c r="R842" s="11" t="str">
        <f aca="false">IF(Q842&lt;=33,"High Risk",IF(Q842&lt;=66,"Medium Risk","Low Risk"))</f>
        <v>Medium Risk</v>
      </c>
    </row>
    <row r="843" customFormat="false" ht="15" hidden="false" customHeight="true" outlineLevel="0" collapsed="false">
      <c r="A843" s="20" t="n">
        <f aca="false">'Raw Data'!A843</f>
        <v>842</v>
      </c>
      <c r="B843" s="20" t="n">
        <f aca="false">'Raw Data'!B843</f>
        <v>28</v>
      </c>
      <c r="C843" s="20" t="str">
        <f aca="false">'Raw Data'!C843</f>
        <v>male</v>
      </c>
      <c r="D843" s="20" t="n">
        <f aca="false">'Raw Data'!D843</f>
        <v>1</v>
      </c>
      <c r="E843" s="20" t="str">
        <f aca="false">'Raw Data'!E843</f>
        <v>own</v>
      </c>
      <c r="F843" s="20" t="str">
        <f aca="false">'Raw Data'!F843</f>
        <v>little</v>
      </c>
      <c r="G843" s="20" t="str">
        <f aca="false">'Raw Data'!G843</f>
        <v>none</v>
      </c>
      <c r="H843" s="20" t="n">
        <f aca="false">'Raw Data'!H843</f>
        <v>2993</v>
      </c>
      <c r="I843" s="20" t="n">
        <f aca="false">'Raw Data'!I843</f>
        <v>21</v>
      </c>
      <c r="J843" s="20" t="str">
        <f aca="false">'Raw Data'!J843</f>
        <v>car</v>
      </c>
      <c r="K843" s="21" t="n">
        <f aca="false">H843/I843</f>
        <v>142.52380952381</v>
      </c>
      <c r="L843" s="21" t="n">
        <f aca="false">100-MIN(K843/Assumptions!$B$14,1)*100</f>
        <v>64.3690476190476</v>
      </c>
      <c r="M843" s="21" t="n">
        <f aca="false">VLOOKUP(F843,Assumptions!$A$19:$B$23,2,0)</f>
        <v>25</v>
      </c>
      <c r="N843" s="21" t="n">
        <f aca="false">VLOOKUP(G843,Assumptions!$A$27:$B$30,2,0)</f>
        <v>50</v>
      </c>
      <c r="O843" s="21" t="n">
        <f aca="false">VLOOKUP(D843,Assumptions!$A$34:$B$37,2,0)</f>
        <v>33</v>
      </c>
      <c r="P843" s="21" t="n">
        <f aca="false">VLOOKUP(E843,Assumptions!$A$41:$B$43,2,0)</f>
        <v>100</v>
      </c>
      <c r="Q843" s="22" t="n">
        <f aca="false">L843*Assumptions!$B$7+M843*Assumptions!$B$8+N843*Assumptions!$B$9+O843*Assumptions!$B$10+P843*Assumptions!$B$11</f>
        <v>50.5107142857143</v>
      </c>
      <c r="R843" s="11" t="str">
        <f aca="false">IF(Q843&lt;=33,"High Risk",IF(Q843&lt;=66,"Medium Risk","Low Risk"))</f>
        <v>Medium Risk</v>
      </c>
    </row>
    <row r="844" customFormat="false" ht="15" hidden="false" customHeight="true" outlineLevel="0" collapsed="false">
      <c r="A844" s="20" t="n">
        <f aca="false">'Raw Data'!A844</f>
        <v>843</v>
      </c>
      <c r="B844" s="20" t="n">
        <f aca="false">'Raw Data'!B844</f>
        <v>23</v>
      </c>
      <c r="C844" s="20" t="str">
        <f aca="false">'Raw Data'!C844</f>
        <v>female</v>
      </c>
      <c r="D844" s="20" t="n">
        <f aca="false">'Raw Data'!D844</f>
        <v>2</v>
      </c>
      <c r="E844" s="20" t="str">
        <f aca="false">'Raw Data'!E844</f>
        <v>own</v>
      </c>
      <c r="F844" s="20" t="str">
        <f aca="false">'Raw Data'!F844</f>
        <v>little</v>
      </c>
      <c r="G844" s="20" t="str">
        <f aca="false">'Raw Data'!G844</f>
        <v>none</v>
      </c>
      <c r="H844" s="20" t="n">
        <f aca="false">'Raw Data'!H844</f>
        <v>1943</v>
      </c>
      <c r="I844" s="20" t="n">
        <f aca="false">'Raw Data'!I844</f>
        <v>18</v>
      </c>
      <c r="J844" s="20" t="str">
        <f aca="false">'Raw Data'!J844</f>
        <v>repairs</v>
      </c>
      <c r="K844" s="21" t="n">
        <f aca="false">H844/I844</f>
        <v>107.944444444444</v>
      </c>
      <c r="L844" s="21" t="n">
        <f aca="false">100-MIN(K844/Assumptions!$B$14,1)*100</f>
        <v>73.0138888888889</v>
      </c>
      <c r="M844" s="21" t="n">
        <f aca="false">VLOOKUP(F844,Assumptions!$A$19:$B$23,2,0)</f>
        <v>25</v>
      </c>
      <c r="N844" s="21" t="n">
        <f aca="false">VLOOKUP(G844,Assumptions!$A$27:$B$30,2,0)</f>
        <v>50</v>
      </c>
      <c r="O844" s="21" t="n">
        <f aca="false">VLOOKUP(D844,Assumptions!$A$34:$B$37,2,0)</f>
        <v>66</v>
      </c>
      <c r="P844" s="21" t="n">
        <f aca="false">VLOOKUP(E844,Assumptions!$A$41:$B$43,2,0)</f>
        <v>100</v>
      </c>
      <c r="Q844" s="22" t="n">
        <f aca="false">L844*Assumptions!$B$7+M844*Assumptions!$B$8+N844*Assumptions!$B$9+O844*Assumptions!$B$10+P844*Assumptions!$B$11</f>
        <v>58.0541666666667</v>
      </c>
      <c r="R844" s="11" t="str">
        <f aca="false">IF(Q844&lt;=33,"High Risk",IF(Q844&lt;=66,"Medium Risk","Low Risk"))</f>
        <v>Medium Risk</v>
      </c>
    </row>
    <row r="845" customFormat="false" ht="15" hidden="false" customHeight="true" outlineLevel="0" collapsed="false">
      <c r="A845" s="20" t="n">
        <f aca="false">'Raw Data'!A845</f>
        <v>844</v>
      </c>
      <c r="B845" s="20" t="n">
        <f aca="false">'Raw Data'!B845</f>
        <v>50</v>
      </c>
      <c r="C845" s="20" t="str">
        <f aca="false">'Raw Data'!C845</f>
        <v>male</v>
      </c>
      <c r="D845" s="20" t="n">
        <f aca="false">'Raw Data'!D845</f>
        <v>2</v>
      </c>
      <c r="E845" s="20" t="str">
        <f aca="false">'Raw Data'!E845</f>
        <v>own</v>
      </c>
      <c r="F845" s="20" t="str">
        <f aca="false">'Raw Data'!F845</f>
        <v>little</v>
      </c>
      <c r="G845" s="20" t="str">
        <f aca="false">'Raw Data'!G845</f>
        <v>none</v>
      </c>
      <c r="H845" s="20" t="n">
        <f aca="false">'Raw Data'!H845</f>
        <v>1559</v>
      </c>
      <c r="I845" s="20" t="n">
        <f aca="false">'Raw Data'!I845</f>
        <v>24</v>
      </c>
      <c r="J845" s="20" t="str">
        <f aca="false">'Raw Data'!J845</f>
        <v>business</v>
      </c>
      <c r="K845" s="21" t="n">
        <f aca="false">H845/I845</f>
        <v>64.9583333333333</v>
      </c>
      <c r="L845" s="21" t="n">
        <f aca="false">100-MIN(K845/Assumptions!$B$14,1)*100</f>
        <v>83.7604166666667</v>
      </c>
      <c r="M845" s="21" t="n">
        <f aca="false">VLOOKUP(F845,Assumptions!$A$19:$B$23,2,0)</f>
        <v>25</v>
      </c>
      <c r="N845" s="21" t="n">
        <f aca="false">VLOOKUP(G845,Assumptions!$A$27:$B$30,2,0)</f>
        <v>50</v>
      </c>
      <c r="O845" s="21" t="n">
        <f aca="false">VLOOKUP(D845,Assumptions!$A$34:$B$37,2,0)</f>
        <v>66</v>
      </c>
      <c r="P845" s="21" t="n">
        <f aca="false">VLOOKUP(E845,Assumptions!$A$41:$B$43,2,0)</f>
        <v>100</v>
      </c>
      <c r="Q845" s="22" t="n">
        <f aca="false">L845*Assumptions!$B$7+M845*Assumptions!$B$8+N845*Assumptions!$B$9+O845*Assumptions!$B$10+P845*Assumptions!$B$11</f>
        <v>61.278125</v>
      </c>
      <c r="R845" s="11" t="str">
        <f aca="false">IF(Q845&lt;=33,"High Risk",IF(Q845&lt;=66,"Medium Risk","Low Risk"))</f>
        <v>Medium Risk</v>
      </c>
    </row>
    <row r="846" customFormat="false" ht="15" hidden="false" customHeight="true" outlineLevel="0" collapsed="false">
      <c r="A846" s="20" t="n">
        <f aca="false">'Raw Data'!A846</f>
        <v>845</v>
      </c>
      <c r="B846" s="20" t="n">
        <f aca="false">'Raw Data'!B846</f>
        <v>47</v>
      </c>
      <c r="C846" s="20" t="str">
        <f aca="false">'Raw Data'!C846</f>
        <v>male</v>
      </c>
      <c r="D846" s="20" t="n">
        <f aca="false">'Raw Data'!D846</f>
        <v>2</v>
      </c>
      <c r="E846" s="20" t="str">
        <f aca="false">'Raw Data'!E846</f>
        <v>own</v>
      </c>
      <c r="F846" s="20" t="str">
        <f aca="false">'Raw Data'!F846</f>
        <v>little</v>
      </c>
      <c r="G846" s="20" t="str">
        <f aca="false">'Raw Data'!G846</f>
        <v>none</v>
      </c>
      <c r="H846" s="20" t="n">
        <f aca="false">'Raw Data'!H846</f>
        <v>3422</v>
      </c>
      <c r="I846" s="20" t="n">
        <f aca="false">'Raw Data'!I846</f>
        <v>18</v>
      </c>
      <c r="J846" s="20" t="str">
        <f aca="false">'Raw Data'!J846</f>
        <v>furniture/equipment</v>
      </c>
      <c r="K846" s="21" t="n">
        <f aca="false">H846/I846</f>
        <v>190.111111111111</v>
      </c>
      <c r="L846" s="21" t="n">
        <f aca="false">100-MIN(K846/Assumptions!$B$14,1)*100</f>
        <v>52.4722222222222</v>
      </c>
      <c r="M846" s="21" t="n">
        <f aca="false">VLOOKUP(F846,Assumptions!$A$19:$B$23,2,0)</f>
        <v>25</v>
      </c>
      <c r="N846" s="21" t="n">
        <f aca="false">VLOOKUP(G846,Assumptions!$A$27:$B$30,2,0)</f>
        <v>50</v>
      </c>
      <c r="O846" s="21" t="n">
        <f aca="false">VLOOKUP(D846,Assumptions!$A$34:$B$37,2,0)</f>
        <v>66</v>
      </c>
      <c r="P846" s="21" t="n">
        <f aca="false">VLOOKUP(E846,Assumptions!$A$41:$B$43,2,0)</f>
        <v>100</v>
      </c>
      <c r="Q846" s="22" t="n">
        <f aca="false">L846*Assumptions!$B$7+M846*Assumptions!$B$8+N846*Assumptions!$B$9+O846*Assumptions!$B$10+P846*Assumptions!$B$11</f>
        <v>51.8916666666667</v>
      </c>
      <c r="R846" s="11" t="str">
        <f aca="false">IF(Q846&lt;=33,"High Risk",IF(Q846&lt;=66,"Medium Risk","Low Risk"))</f>
        <v>Medium Risk</v>
      </c>
    </row>
    <row r="847" customFormat="false" ht="15" hidden="false" customHeight="true" outlineLevel="0" collapsed="false">
      <c r="A847" s="20" t="n">
        <f aca="false">'Raw Data'!A847</f>
        <v>846</v>
      </c>
      <c r="B847" s="20" t="n">
        <f aca="false">'Raw Data'!B847</f>
        <v>35</v>
      </c>
      <c r="C847" s="20" t="str">
        <f aca="false">'Raw Data'!C847</f>
        <v>male</v>
      </c>
      <c r="D847" s="20" t="n">
        <f aca="false">'Raw Data'!D847</f>
        <v>2</v>
      </c>
      <c r="E847" s="20" t="str">
        <f aca="false">'Raw Data'!E847</f>
        <v>own</v>
      </c>
      <c r="F847" s="20" t="str">
        <f aca="false">'Raw Data'!F847</f>
        <v>none</v>
      </c>
      <c r="G847" s="20" t="str">
        <f aca="false">'Raw Data'!G847</f>
        <v>moderate</v>
      </c>
      <c r="H847" s="20" t="n">
        <f aca="false">'Raw Data'!H847</f>
        <v>3976</v>
      </c>
      <c r="I847" s="20" t="n">
        <f aca="false">'Raw Data'!I847</f>
        <v>21</v>
      </c>
      <c r="J847" s="20" t="str">
        <f aca="false">'Raw Data'!J847</f>
        <v>furniture/equipment</v>
      </c>
      <c r="K847" s="21" t="n">
        <f aca="false">H847/I847</f>
        <v>189.333333333333</v>
      </c>
      <c r="L847" s="21" t="n">
        <f aca="false">100-MIN(K847/Assumptions!$B$14,1)*100</f>
        <v>52.6666666666667</v>
      </c>
      <c r="M847" s="21" t="n">
        <f aca="false">VLOOKUP(F847,Assumptions!$A$19:$B$23,2,0)</f>
        <v>40</v>
      </c>
      <c r="N847" s="21" t="n">
        <f aca="false">VLOOKUP(G847,Assumptions!$A$27:$B$30,2,0)</f>
        <v>60</v>
      </c>
      <c r="O847" s="21" t="n">
        <f aca="false">VLOOKUP(D847,Assumptions!$A$34:$B$37,2,0)</f>
        <v>66</v>
      </c>
      <c r="P847" s="21" t="n">
        <f aca="false">VLOOKUP(E847,Assumptions!$A$41:$B$43,2,0)</f>
        <v>100</v>
      </c>
      <c r="Q847" s="22" t="n">
        <f aca="false">L847*Assumptions!$B$7+M847*Assumptions!$B$8+N847*Assumptions!$B$9+O847*Assumptions!$B$10+P847*Assumptions!$B$11</f>
        <v>57.7</v>
      </c>
      <c r="R847" s="11" t="str">
        <f aca="false">IF(Q847&lt;=33,"High Risk",IF(Q847&lt;=66,"Medium Risk","Low Risk"))</f>
        <v>Medium Risk</v>
      </c>
    </row>
    <row r="848" customFormat="false" ht="15" hidden="false" customHeight="true" outlineLevel="0" collapsed="false">
      <c r="A848" s="20" t="n">
        <f aca="false">'Raw Data'!A848</f>
        <v>847</v>
      </c>
      <c r="B848" s="20" t="n">
        <f aca="false">'Raw Data'!B848</f>
        <v>68</v>
      </c>
      <c r="C848" s="20" t="str">
        <f aca="false">'Raw Data'!C848</f>
        <v>male</v>
      </c>
      <c r="D848" s="20" t="n">
        <f aca="false">'Raw Data'!D848</f>
        <v>2</v>
      </c>
      <c r="E848" s="20" t="str">
        <f aca="false">'Raw Data'!E848</f>
        <v>rent</v>
      </c>
      <c r="F848" s="20" t="str">
        <f aca="false">'Raw Data'!F848</f>
        <v>none</v>
      </c>
      <c r="G848" s="20" t="str">
        <f aca="false">'Raw Data'!G848</f>
        <v>none</v>
      </c>
      <c r="H848" s="20" t="n">
        <f aca="false">'Raw Data'!H848</f>
        <v>6761</v>
      </c>
      <c r="I848" s="20" t="n">
        <f aca="false">'Raw Data'!I848</f>
        <v>18</v>
      </c>
      <c r="J848" s="20" t="str">
        <f aca="false">'Raw Data'!J848</f>
        <v>car</v>
      </c>
      <c r="K848" s="21" t="n">
        <f aca="false">H848/I848</f>
        <v>375.611111111111</v>
      </c>
      <c r="L848" s="21" t="n">
        <f aca="false">100-MIN(K848/Assumptions!$B$14,1)*100</f>
        <v>6.09722222222223</v>
      </c>
      <c r="M848" s="21" t="n">
        <f aca="false">VLOOKUP(F848,Assumptions!$A$19:$B$23,2,0)</f>
        <v>40</v>
      </c>
      <c r="N848" s="21" t="n">
        <f aca="false">VLOOKUP(G848,Assumptions!$A$27:$B$30,2,0)</f>
        <v>50</v>
      </c>
      <c r="O848" s="21" t="n">
        <f aca="false">VLOOKUP(D848,Assumptions!$A$34:$B$37,2,0)</f>
        <v>66</v>
      </c>
      <c r="P848" s="21" t="n">
        <f aca="false">VLOOKUP(E848,Assumptions!$A$41:$B$43,2,0)</f>
        <v>30</v>
      </c>
      <c r="Q848" s="22" t="n">
        <f aca="false">L848*Assumptions!$B$7+M848*Assumptions!$B$8+N848*Assumptions!$B$9+O848*Assumptions!$B$10+P848*Assumptions!$B$11</f>
        <v>34.7291666666667</v>
      </c>
      <c r="R848" s="11" t="str">
        <f aca="false">IF(Q848&lt;=33,"High Risk",IF(Q848&lt;=66,"Medium Risk","Low Risk"))</f>
        <v>Medium Risk</v>
      </c>
    </row>
    <row r="849" customFormat="false" ht="15" hidden="false" customHeight="true" outlineLevel="0" collapsed="false">
      <c r="A849" s="20" t="n">
        <f aca="false">'Raw Data'!A849</f>
        <v>848</v>
      </c>
      <c r="B849" s="20" t="n">
        <f aca="false">'Raw Data'!B849</f>
        <v>28</v>
      </c>
      <c r="C849" s="20" t="str">
        <f aca="false">'Raw Data'!C849</f>
        <v>male</v>
      </c>
      <c r="D849" s="20" t="n">
        <f aca="false">'Raw Data'!D849</f>
        <v>2</v>
      </c>
      <c r="E849" s="20" t="str">
        <f aca="false">'Raw Data'!E849</f>
        <v>own</v>
      </c>
      <c r="F849" s="20" t="str">
        <f aca="false">'Raw Data'!F849</f>
        <v>little</v>
      </c>
      <c r="G849" s="20" t="str">
        <f aca="false">'Raw Data'!G849</f>
        <v>none</v>
      </c>
      <c r="H849" s="20" t="n">
        <f aca="false">'Raw Data'!H849</f>
        <v>1249</v>
      </c>
      <c r="I849" s="20" t="n">
        <f aca="false">'Raw Data'!I849</f>
        <v>24</v>
      </c>
      <c r="J849" s="20" t="str">
        <f aca="false">'Raw Data'!J849</f>
        <v>car</v>
      </c>
      <c r="K849" s="21" t="n">
        <f aca="false">H849/I849</f>
        <v>52.0416666666667</v>
      </c>
      <c r="L849" s="21" t="n">
        <f aca="false">100-MIN(K849/Assumptions!$B$14,1)*100</f>
        <v>86.9895833333333</v>
      </c>
      <c r="M849" s="21" t="n">
        <f aca="false">VLOOKUP(F849,Assumptions!$A$19:$B$23,2,0)</f>
        <v>25</v>
      </c>
      <c r="N849" s="21" t="n">
        <f aca="false">VLOOKUP(G849,Assumptions!$A$27:$B$30,2,0)</f>
        <v>50</v>
      </c>
      <c r="O849" s="21" t="n">
        <f aca="false">VLOOKUP(D849,Assumptions!$A$34:$B$37,2,0)</f>
        <v>66</v>
      </c>
      <c r="P849" s="21" t="n">
        <f aca="false">VLOOKUP(E849,Assumptions!$A$41:$B$43,2,0)</f>
        <v>100</v>
      </c>
      <c r="Q849" s="22" t="n">
        <f aca="false">L849*Assumptions!$B$7+M849*Assumptions!$B$8+N849*Assumptions!$B$9+O849*Assumptions!$B$10+P849*Assumptions!$B$11</f>
        <v>62.246875</v>
      </c>
      <c r="R849" s="11" t="str">
        <f aca="false">IF(Q849&lt;=33,"High Risk",IF(Q849&lt;=66,"Medium Risk","Low Risk"))</f>
        <v>Medium Risk</v>
      </c>
    </row>
    <row r="850" customFormat="false" ht="15" hidden="false" customHeight="true" outlineLevel="0" collapsed="false">
      <c r="A850" s="20" t="n">
        <f aca="false">'Raw Data'!A850</f>
        <v>849</v>
      </c>
      <c r="B850" s="20" t="n">
        <f aca="false">'Raw Data'!B850</f>
        <v>59</v>
      </c>
      <c r="C850" s="20" t="str">
        <f aca="false">'Raw Data'!C850</f>
        <v>male</v>
      </c>
      <c r="D850" s="20" t="n">
        <f aca="false">'Raw Data'!D850</f>
        <v>2</v>
      </c>
      <c r="E850" s="20" t="str">
        <f aca="false">'Raw Data'!E850</f>
        <v>own</v>
      </c>
      <c r="F850" s="20" t="str">
        <f aca="false">'Raw Data'!F850</f>
        <v>little</v>
      </c>
      <c r="G850" s="20" t="str">
        <f aca="false">'Raw Data'!G850</f>
        <v>little</v>
      </c>
      <c r="H850" s="20" t="n">
        <f aca="false">'Raw Data'!H850</f>
        <v>1364</v>
      </c>
      <c r="I850" s="20" t="n">
        <f aca="false">'Raw Data'!I850</f>
        <v>9</v>
      </c>
      <c r="J850" s="20" t="str">
        <f aca="false">'Raw Data'!J850</f>
        <v>radio/TV</v>
      </c>
      <c r="K850" s="21" t="n">
        <f aca="false">H850/I850</f>
        <v>151.555555555556</v>
      </c>
      <c r="L850" s="21" t="n">
        <f aca="false">100-MIN(K850/Assumptions!$B$14,1)*100</f>
        <v>62.1111111111111</v>
      </c>
      <c r="M850" s="21" t="n">
        <f aca="false">VLOOKUP(F850,Assumptions!$A$19:$B$23,2,0)</f>
        <v>25</v>
      </c>
      <c r="N850" s="21" t="n">
        <f aca="false">VLOOKUP(G850,Assumptions!$A$27:$B$30,2,0)</f>
        <v>25</v>
      </c>
      <c r="O850" s="21" t="n">
        <f aca="false">VLOOKUP(D850,Assumptions!$A$34:$B$37,2,0)</f>
        <v>66</v>
      </c>
      <c r="P850" s="21" t="n">
        <f aca="false">VLOOKUP(E850,Assumptions!$A$41:$B$43,2,0)</f>
        <v>100</v>
      </c>
      <c r="Q850" s="22" t="n">
        <f aca="false">L850*Assumptions!$B$7+M850*Assumptions!$B$8+N850*Assumptions!$B$9+O850*Assumptions!$B$10+P850*Assumptions!$B$11</f>
        <v>49.7833333333333</v>
      </c>
      <c r="R850" s="11" t="str">
        <f aca="false">IF(Q850&lt;=33,"High Risk",IF(Q850&lt;=66,"Medium Risk","Low Risk"))</f>
        <v>Medium Risk</v>
      </c>
    </row>
    <row r="851" customFormat="false" ht="15" hidden="false" customHeight="true" outlineLevel="0" collapsed="false">
      <c r="A851" s="20" t="n">
        <f aca="false">'Raw Data'!A851</f>
        <v>850</v>
      </c>
      <c r="B851" s="20" t="n">
        <f aca="false">'Raw Data'!B851</f>
        <v>57</v>
      </c>
      <c r="C851" s="20" t="str">
        <f aca="false">'Raw Data'!C851</f>
        <v>male</v>
      </c>
      <c r="D851" s="20" t="n">
        <f aca="false">'Raw Data'!D851</f>
        <v>1</v>
      </c>
      <c r="E851" s="20" t="str">
        <f aca="false">'Raw Data'!E851</f>
        <v>own</v>
      </c>
      <c r="F851" s="20" t="str">
        <f aca="false">'Raw Data'!F851</f>
        <v>little</v>
      </c>
      <c r="G851" s="20" t="str">
        <f aca="false">'Raw Data'!G851</f>
        <v>little</v>
      </c>
      <c r="H851" s="20" t="n">
        <f aca="false">'Raw Data'!H851</f>
        <v>709</v>
      </c>
      <c r="I851" s="20" t="n">
        <f aca="false">'Raw Data'!I851</f>
        <v>12</v>
      </c>
      <c r="J851" s="20" t="str">
        <f aca="false">'Raw Data'!J851</f>
        <v>radio/TV</v>
      </c>
      <c r="K851" s="21" t="n">
        <f aca="false">H851/I851</f>
        <v>59.0833333333333</v>
      </c>
      <c r="L851" s="21" t="n">
        <f aca="false">100-MIN(K851/Assumptions!$B$14,1)*100</f>
        <v>85.2291666666667</v>
      </c>
      <c r="M851" s="21" t="n">
        <f aca="false">VLOOKUP(F851,Assumptions!$A$19:$B$23,2,0)</f>
        <v>25</v>
      </c>
      <c r="N851" s="21" t="n">
        <f aca="false">VLOOKUP(G851,Assumptions!$A$27:$B$30,2,0)</f>
        <v>25</v>
      </c>
      <c r="O851" s="21" t="n">
        <f aca="false">VLOOKUP(D851,Assumptions!$A$34:$B$37,2,0)</f>
        <v>33</v>
      </c>
      <c r="P851" s="21" t="n">
        <f aca="false">VLOOKUP(E851,Assumptions!$A$41:$B$43,2,0)</f>
        <v>100</v>
      </c>
      <c r="Q851" s="22" t="n">
        <f aca="false">L851*Assumptions!$B$7+M851*Assumptions!$B$8+N851*Assumptions!$B$9+O851*Assumptions!$B$10+P851*Assumptions!$B$11</f>
        <v>51.76875</v>
      </c>
      <c r="R851" s="11" t="str">
        <f aca="false">IF(Q851&lt;=33,"High Risk",IF(Q851&lt;=66,"Medium Risk","Low Risk"))</f>
        <v>Medium Risk</v>
      </c>
    </row>
    <row r="852" customFormat="false" ht="15" hidden="false" customHeight="true" outlineLevel="0" collapsed="false">
      <c r="A852" s="20" t="n">
        <f aca="false">'Raw Data'!A852</f>
        <v>851</v>
      </c>
      <c r="B852" s="20" t="n">
        <f aca="false">'Raw Data'!B852</f>
        <v>33</v>
      </c>
      <c r="C852" s="20" t="str">
        <f aca="false">'Raw Data'!C852</f>
        <v>male</v>
      </c>
      <c r="D852" s="20" t="n">
        <f aca="false">'Raw Data'!D852</f>
        <v>2</v>
      </c>
      <c r="E852" s="20" t="str">
        <f aca="false">'Raw Data'!E852</f>
        <v>rent</v>
      </c>
      <c r="F852" s="20" t="str">
        <f aca="false">'Raw Data'!F852</f>
        <v>little</v>
      </c>
      <c r="G852" s="20" t="str">
        <f aca="false">'Raw Data'!G852</f>
        <v>little</v>
      </c>
      <c r="H852" s="20" t="n">
        <f aca="false">'Raw Data'!H852</f>
        <v>2235</v>
      </c>
      <c r="I852" s="20" t="n">
        <f aca="false">'Raw Data'!I852</f>
        <v>20</v>
      </c>
      <c r="J852" s="20" t="str">
        <f aca="false">'Raw Data'!J852</f>
        <v>car</v>
      </c>
      <c r="K852" s="21" t="n">
        <f aca="false">H852/I852</f>
        <v>111.75</v>
      </c>
      <c r="L852" s="21" t="n">
        <f aca="false">100-MIN(K852/Assumptions!$B$14,1)*100</f>
        <v>72.0625</v>
      </c>
      <c r="M852" s="21" t="n">
        <f aca="false">VLOOKUP(F852,Assumptions!$A$19:$B$23,2,0)</f>
        <v>25</v>
      </c>
      <c r="N852" s="21" t="n">
        <f aca="false">VLOOKUP(G852,Assumptions!$A$27:$B$30,2,0)</f>
        <v>25</v>
      </c>
      <c r="O852" s="21" t="n">
        <f aca="false">VLOOKUP(D852,Assumptions!$A$34:$B$37,2,0)</f>
        <v>66</v>
      </c>
      <c r="P852" s="21" t="n">
        <f aca="false">VLOOKUP(E852,Assumptions!$A$41:$B$43,2,0)</f>
        <v>30</v>
      </c>
      <c r="Q852" s="22" t="n">
        <f aca="false">L852*Assumptions!$B$7+M852*Assumptions!$B$8+N852*Assumptions!$B$9+O852*Assumptions!$B$10+P852*Assumptions!$B$11</f>
        <v>45.76875</v>
      </c>
      <c r="R852" s="11" t="str">
        <f aca="false">IF(Q852&lt;=33,"High Risk",IF(Q852&lt;=66,"Medium Risk","Low Risk"))</f>
        <v>Medium Risk</v>
      </c>
    </row>
    <row r="853" customFormat="false" ht="15" hidden="false" customHeight="true" outlineLevel="0" collapsed="false">
      <c r="A853" s="20" t="n">
        <f aca="false">'Raw Data'!A853</f>
        <v>852</v>
      </c>
      <c r="B853" s="20" t="n">
        <f aca="false">'Raw Data'!B853</f>
        <v>43</v>
      </c>
      <c r="C853" s="20" t="str">
        <f aca="false">'Raw Data'!C853</f>
        <v>male</v>
      </c>
      <c r="D853" s="20" t="n">
        <f aca="false">'Raw Data'!D853</f>
        <v>2</v>
      </c>
      <c r="E853" s="20" t="str">
        <f aca="false">'Raw Data'!E853</f>
        <v>own</v>
      </c>
      <c r="F853" s="20" t="str">
        <f aca="false">'Raw Data'!F853</f>
        <v>none</v>
      </c>
      <c r="G853" s="20" t="str">
        <f aca="false">'Raw Data'!G853</f>
        <v>none</v>
      </c>
      <c r="H853" s="20" t="n">
        <f aca="false">'Raw Data'!H853</f>
        <v>4042</v>
      </c>
      <c r="I853" s="20" t="n">
        <f aca="false">'Raw Data'!I853</f>
        <v>24</v>
      </c>
      <c r="J853" s="20" t="str">
        <f aca="false">'Raw Data'!J853</f>
        <v>car</v>
      </c>
      <c r="K853" s="21" t="n">
        <f aca="false">H853/I853</f>
        <v>168.416666666667</v>
      </c>
      <c r="L853" s="21" t="n">
        <f aca="false">100-MIN(K853/Assumptions!$B$14,1)*100</f>
        <v>57.8958333333333</v>
      </c>
      <c r="M853" s="21" t="n">
        <f aca="false">VLOOKUP(F853,Assumptions!$A$19:$B$23,2,0)</f>
        <v>40</v>
      </c>
      <c r="N853" s="21" t="n">
        <f aca="false">VLOOKUP(G853,Assumptions!$A$27:$B$30,2,0)</f>
        <v>50</v>
      </c>
      <c r="O853" s="21" t="n">
        <f aca="false">VLOOKUP(D853,Assumptions!$A$34:$B$37,2,0)</f>
        <v>66</v>
      </c>
      <c r="P853" s="21" t="n">
        <f aca="false">VLOOKUP(E853,Assumptions!$A$41:$B$43,2,0)</f>
        <v>100</v>
      </c>
      <c r="Q853" s="22" t="n">
        <f aca="false">L853*Assumptions!$B$7+M853*Assumptions!$B$8+N853*Assumptions!$B$9+O853*Assumptions!$B$10+P853*Assumptions!$B$11</f>
        <v>57.26875</v>
      </c>
      <c r="R853" s="11" t="str">
        <f aca="false">IF(Q853&lt;=33,"High Risk",IF(Q853&lt;=66,"Medium Risk","Low Risk"))</f>
        <v>Medium Risk</v>
      </c>
    </row>
    <row r="854" customFormat="false" ht="15" hidden="false" customHeight="true" outlineLevel="0" collapsed="false">
      <c r="A854" s="20" t="n">
        <f aca="false">'Raw Data'!A854</f>
        <v>853</v>
      </c>
      <c r="B854" s="20" t="n">
        <f aca="false">'Raw Data'!B854</f>
        <v>35</v>
      </c>
      <c r="C854" s="20" t="str">
        <f aca="false">'Raw Data'!C854</f>
        <v>male</v>
      </c>
      <c r="D854" s="20" t="n">
        <f aca="false">'Raw Data'!D854</f>
        <v>2</v>
      </c>
      <c r="E854" s="20" t="str">
        <f aca="false">'Raw Data'!E854</f>
        <v>free</v>
      </c>
      <c r="F854" s="20" t="str">
        <f aca="false">'Raw Data'!F854</f>
        <v>little</v>
      </c>
      <c r="G854" s="20" t="str">
        <f aca="false">'Raw Data'!G854</f>
        <v>none</v>
      </c>
      <c r="H854" s="20" t="n">
        <f aca="false">'Raw Data'!H854</f>
        <v>1471</v>
      </c>
      <c r="I854" s="20" t="n">
        <f aca="false">'Raw Data'!I854</f>
        <v>15</v>
      </c>
      <c r="J854" s="20" t="str">
        <f aca="false">'Raw Data'!J854</f>
        <v>radio/TV</v>
      </c>
      <c r="K854" s="21" t="n">
        <f aca="false">H854/I854</f>
        <v>98.0666666666667</v>
      </c>
      <c r="L854" s="21" t="n">
        <f aca="false">100-MIN(K854/Assumptions!$B$14,1)*100</f>
        <v>75.4833333333333</v>
      </c>
      <c r="M854" s="21" t="n">
        <f aca="false">VLOOKUP(F854,Assumptions!$A$19:$B$23,2,0)</f>
        <v>25</v>
      </c>
      <c r="N854" s="21" t="n">
        <f aca="false">VLOOKUP(G854,Assumptions!$A$27:$B$30,2,0)</f>
        <v>50</v>
      </c>
      <c r="O854" s="21" t="n">
        <f aca="false">VLOOKUP(D854,Assumptions!$A$34:$B$37,2,0)</f>
        <v>66</v>
      </c>
      <c r="P854" s="21" t="n">
        <f aca="false">VLOOKUP(E854,Assumptions!$A$41:$B$43,2,0)</f>
        <v>60</v>
      </c>
      <c r="Q854" s="22" t="n">
        <f aca="false">L854*Assumptions!$B$7+M854*Assumptions!$B$8+N854*Assumptions!$B$9+O854*Assumptions!$B$10+P854*Assumptions!$B$11</f>
        <v>54.795</v>
      </c>
      <c r="R854" s="11" t="str">
        <f aca="false">IF(Q854&lt;=33,"High Risk",IF(Q854&lt;=66,"Medium Risk","Low Risk"))</f>
        <v>Medium Risk</v>
      </c>
    </row>
    <row r="855" customFormat="false" ht="15" hidden="false" customHeight="true" outlineLevel="0" collapsed="false">
      <c r="A855" s="20" t="n">
        <f aca="false">'Raw Data'!A855</f>
        <v>854</v>
      </c>
      <c r="B855" s="20" t="n">
        <f aca="false">'Raw Data'!B855</f>
        <v>32</v>
      </c>
      <c r="C855" s="20" t="str">
        <f aca="false">'Raw Data'!C855</f>
        <v>male</v>
      </c>
      <c r="D855" s="20" t="n">
        <f aca="false">'Raw Data'!D855</f>
        <v>1</v>
      </c>
      <c r="E855" s="20" t="str">
        <f aca="false">'Raw Data'!E855</f>
        <v>free</v>
      </c>
      <c r="F855" s="20" t="str">
        <f aca="false">'Raw Data'!F855</f>
        <v>little</v>
      </c>
      <c r="G855" s="20" t="str">
        <f aca="false">'Raw Data'!G855</f>
        <v>little</v>
      </c>
      <c r="H855" s="20" t="n">
        <f aca="false">'Raw Data'!H855</f>
        <v>1442</v>
      </c>
      <c r="I855" s="20" t="n">
        <f aca="false">'Raw Data'!I855</f>
        <v>18</v>
      </c>
      <c r="J855" s="20" t="str">
        <f aca="false">'Raw Data'!J855</f>
        <v>car</v>
      </c>
      <c r="K855" s="21" t="n">
        <f aca="false">H855/I855</f>
        <v>80.1111111111111</v>
      </c>
      <c r="L855" s="21" t="n">
        <f aca="false">100-MIN(K855/Assumptions!$B$14,1)*100</f>
        <v>79.9722222222222</v>
      </c>
      <c r="M855" s="21" t="n">
        <f aca="false">VLOOKUP(F855,Assumptions!$A$19:$B$23,2,0)</f>
        <v>25</v>
      </c>
      <c r="N855" s="21" t="n">
        <f aca="false">VLOOKUP(G855,Assumptions!$A$27:$B$30,2,0)</f>
        <v>25</v>
      </c>
      <c r="O855" s="21" t="n">
        <f aca="false">VLOOKUP(D855,Assumptions!$A$34:$B$37,2,0)</f>
        <v>33</v>
      </c>
      <c r="P855" s="21" t="n">
        <f aca="false">VLOOKUP(E855,Assumptions!$A$41:$B$43,2,0)</f>
        <v>60</v>
      </c>
      <c r="Q855" s="22" t="n">
        <f aca="false">L855*Assumptions!$B$7+M855*Assumptions!$B$8+N855*Assumptions!$B$9+O855*Assumptions!$B$10+P855*Assumptions!$B$11</f>
        <v>46.1916666666667</v>
      </c>
      <c r="R855" s="11" t="str">
        <f aca="false">IF(Q855&lt;=33,"High Risk",IF(Q855&lt;=66,"Medium Risk","Low Risk"))</f>
        <v>Medium Risk</v>
      </c>
    </row>
    <row r="856" customFormat="false" ht="15" hidden="false" customHeight="true" outlineLevel="0" collapsed="false">
      <c r="A856" s="20" t="n">
        <f aca="false">'Raw Data'!A856</f>
        <v>855</v>
      </c>
      <c r="B856" s="20" t="n">
        <f aca="false">'Raw Data'!B856</f>
        <v>45</v>
      </c>
      <c r="C856" s="20" t="str">
        <f aca="false">'Raw Data'!C856</f>
        <v>male</v>
      </c>
      <c r="D856" s="20" t="n">
        <f aca="false">'Raw Data'!D856</f>
        <v>2</v>
      </c>
      <c r="E856" s="20" t="str">
        <f aca="false">'Raw Data'!E856</f>
        <v>own</v>
      </c>
      <c r="F856" s="20" t="str">
        <f aca="false">'Raw Data'!F856</f>
        <v>little</v>
      </c>
      <c r="G856" s="20" t="str">
        <f aca="false">'Raw Data'!G856</f>
        <v>none</v>
      </c>
      <c r="H856" s="20" t="n">
        <f aca="false">'Raw Data'!H856</f>
        <v>10875</v>
      </c>
      <c r="I856" s="20" t="n">
        <f aca="false">'Raw Data'!I856</f>
        <v>36</v>
      </c>
      <c r="J856" s="20" t="str">
        <f aca="false">'Raw Data'!J856</f>
        <v>car</v>
      </c>
      <c r="K856" s="21" t="n">
        <f aca="false">H856/I856</f>
        <v>302.083333333333</v>
      </c>
      <c r="L856" s="21" t="n">
        <f aca="false">100-MIN(K856/Assumptions!$B$14,1)*100</f>
        <v>24.4791666666667</v>
      </c>
      <c r="M856" s="21" t="n">
        <f aca="false">VLOOKUP(F856,Assumptions!$A$19:$B$23,2,0)</f>
        <v>25</v>
      </c>
      <c r="N856" s="21" t="n">
        <f aca="false">VLOOKUP(G856,Assumptions!$A$27:$B$30,2,0)</f>
        <v>50</v>
      </c>
      <c r="O856" s="21" t="n">
        <f aca="false">VLOOKUP(D856,Assumptions!$A$34:$B$37,2,0)</f>
        <v>66</v>
      </c>
      <c r="P856" s="21" t="n">
        <f aca="false">VLOOKUP(E856,Assumptions!$A$41:$B$43,2,0)</f>
        <v>100</v>
      </c>
      <c r="Q856" s="22" t="n">
        <f aca="false">L856*Assumptions!$B$7+M856*Assumptions!$B$8+N856*Assumptions!$B$9+O856*Assumptions!$B$10+P856*Assumptions!$B$11</f>
        <v>43.49375</v>
      </c>
      <c r="R856" s="11" t="str">
        <f aca="false">IF(Q856&lt;=33,"High Risk",IF(Q856&lt;=66,"Medium Risk","Low Risk"))</f>
        <v>Medium Risk</v>
      </c>
    </row>
    <row r="857" customFormat="false" ht="15" hidden="false" customHeight="true" outlineLevel="0" collapsed="false">
      <c r="A857" s="20" t="n">
        <f aca="false">'Raw Data'!A857</f>
        <v>856</v>
      </c>
      <c r="B857" s="20" t="n">
        <f aca="false">'Raw Data'!B857</f>
        <v>33</v>
      </c>
      <c r="C857" s="20" t="str">
        <f aca="false">'Raw Data'!C857</f>
        <v>male</v>
      </c>
      <c r="D857" s="20" t="n">
        <f aca="false">'Raw Data'!D857</f>
        <v>2</v>
      </c>
      <c r="E857" s="20" t="str">
        <f aca="false">'Raw Data'!E857</f>
        <v>own</v>
      </c>
      <c r="F857" s="20" t="str">
        <f aca="false">'Raw Data'!F857</f>
        <v>moderate</v>
      </c>
      <c r="G857" s="20" t="str">
        <f aca="false">'Raw Data'!G857</f>
        <v>none</v>
      </c>
      <c r="H857" s="20" t="n">
        <f aca="false">'Raw Data'!H857</f>
        <v>1474</v>
      </c>
      <c r="I857" s="20" t="n">
        <f aca="false">'Raw Data'!I857</f>
        <v>24</v>
      </c>
      <c r="J857" s="20" t="str">
        <f aca="false">'Raw Data'!J857</f>
        <v>car</v>
      </c>
      <c r="K857" s="21" t="n">
        <f aca="false">H857/I857</f>
        <v>61.4166666666667</v>
      </c>
      <c r="L857" s="21" t="n">
        <f aca="false">100-MIN(K857/Assumptions!$B$14,1)*100</f>
        <v>84.6458333333333</v>
      </c>
      <c r="M857" s="21" t="n">
        <f aca="false">VLOOKUP(F857,Assumptions!$A$19:$B$23,2,0)</f>
        <v>50</v>
      </c>
      <c r="N857" s="21" t="n">
        <f aca="false">VLOOKUP(G857,Assumptions!$A$27:$B$30,2,0)</f>
        <v>50</v>
      </c>
      <c r="O857" s="21" t="n">
        <f aca="false">VLOOKUP(D857,Assumptions!$A$34:$B$37,2,0)</f>
        <v>66</v>
      </c>
      <c r="P857" s="21" t="n">
        <f aca="false">VLOOKUP(E857,Assumptions!$A$41:$B$43,2,0)</f>
        <v>100</v>
      </c>
      <c r="Q857" s="22" t="n">
        <f aca="false">L857*Assumptions!$B$7+M857*Assumptions!$B$8+N857*Assumptions!$B$9+O857*Assumptions!$B$10+P857*Assumptions!$B$11</f>
        <v>67.79375</v>
      </c>
      <c r="R857" s="11" t="str">
        <f aca="false">IF(Q857&lt;=33,"High Risk",IF(Q857&lt;=66,"Medium Risk","Low Risk"))</f>
        <v>Low Risk</v>
      </c>
    </row>
    <row r="858" customFormat="false" ht="15" hidden="false" customHeight="true" outlineLevel="0" collapsed="false">
      <c r="A858" s="20" t="n">
        <f aca="false">'Raw Data'!A858</f>
        <v>857</v>
      </c>
      <c r="B858" s="20" t="n">
        <f aca="false">'Raw Data'!B858</f>
        <v>40</v>
      </c>
      <c r="C858" s="20" t="str">
        <f aca="false">'Raw Data'!C858</f>
        <v>female</v>
      </c>
      <c r="D858" s="20" t="n">
        <f aca="false">'Raw Data'!D858</f>
        <v>2</v>
      </c>
      <c r="E858" s="20" t="str">
        <f aca="false">'Raw Data'!E858</f>
        <v>own</v>
      </c>
      <c r="F858" s="20" t="str">
        <f aca="false">'Raw Data'!F858</f>
        <v>none</v>
      </c>
      <c r="G858" s="20" t="str">
        <f aca="false">'Raw Data'!G858</f>
        <v>none</v>
      </c>
      <c r="H858" s="20" t="n">
        <f aca="false">'Raw Data'!H858</f>
        <v>894</v>
      </c>
      <c r="I858" s="20" t="n">
        <f aca="false">'Raw Data'!I858</f>
        <v>10</v>
      </c>
      <c r="J858" s="20" t="str">
        <f aca="false">'Raw Data'!J858</f>
        <v>education</v>
      </c>
      <c r="K858" s="21" t="n">
        <f aca="false">H858/I858</f>
        <v>89.4</v>
      </c>
      <c r="L858" s="21" t="n">
        <f aca="false">100-MIN(K858/Assumptions!$B$14,1)*100</f>
        <v>77.65</v>
      </c>
      <c r="M858" s="21" t="n">
        <f aca="false">VLOOKUP(F858,Assumptions!$A$19:$B$23,2,0)</f>
        <v>40</v>
      </c>
      <c r="N858" s="21" t="n">
        <f aca="false">VLOOKUP(G858,Assumptions!$A$27:$B$30,2,0)</f>
        <v>50</v>
      </c>
      <c r="O858" s="21" t="n">
        <f aca="false">VLOOKUP(D858,Assumptions!$A$34:$B$37,2,0)</f>
        <v>66</v>
      </c>
      <c r="P858" s="21" t="n">
        <f aca="false">VLOOKUP(E858,Assumptions!$A$41:$B$43,2,0)</f>
        <v>100</v>
      </c>
      <c r="Q858" s="22" t="n">
        <f aca="false">L858*Assumptions!$B$7+M858*Assumptions!$B$8+N858*Assumptions!$B$9+O858*Assumptions!$B$10+P858*Assumptions!$B$11</f>
        <v>63.195</v>
      </c>
      <c r="R858" s="11" t="str">
        <f aca="false">IF(Q858&lt;=33,"High Risk",IF(Q858&lt;=66,"Medium Risk","Low Risk"))</f>
        <v>Medium Risk</v>
      </c>
    </row>
    <row r="859" customFormat="false" ht="15" hidden="false" customHeight="true" outlineLevel="0" collapsed="false">
      <c r="A859" s="20" t="n">
        <f aca="false">'Raw Data'!A859</f>
        <v>858</v>
      </c>
      <c r="B859" s="20" t="n">
        <f aca="false">'Raw Data'!B859</f>
        <v>28</v>
      </c>
      <c r="C859" s="20" t="str">
        <f aca="false">'Raw Data'!C859</f>
        <v>male</v>
      </c>
      <c r="D859" s="20" t="n">
        <f aca="false">'Raw Data'!D859</f>
        <v>2</v>
      </c>
      <c r="E859" s="20" t="str">
        <f aca="false">'Raw Data'!E859</f>
        <v>free</v>
      </c>
      <c r="F859" s="20" t="str">
        <f aca="false">'Raw Data'!F859</f>
        <v>little</v>
      </c>
      <c r="G859" s="20" t="str">
        <f aca="false">'Raw Data'!G859</f>
        <v>none</v>
      </c>
      <c r="H859" s="20" t="n">
        <f aca="false">'Raw Data'!H859</f>
        <v>3343</v>
      </c>
      <c r="I859" s="20" t="n">
        <f aca="false">'Raw Data'!I859</f>
        <v>15</v>
      </c>
      <c r="J859" s="20" t="str">
        <f aca="false">'Raw Data'!J859</f>
        <v>furniture/equipment</v>
      </c>
      <c r="K859" s="21" t="n">
        <f aca="false">H859/I859</f>
        <v>222.866666666667</v>
      </c>
      <c r="L859" s="21" t="n">
        <f aca="false">100-MIN(K859/Assumptions!$B$14,1)*100</f>
        <v>44.2833333333333</v>
      </c>
      <c r="M859" s="21" t="n">
        <f aca="false">VLOOKUP(F859,Assumptions!$A$19:$B$23,2,0)</f>
        <v>25</v>
      </c>
      <c r="N859" s="21" t="n">
        <f aca="false">VLOOKUP(G859,Assumptions!$A$27:$B$30,2,0)</f>
        <v>50</v>
      </c>
      <c r="O859" s="21" t="n">
        <f aca="false">VLOOKUP(D859,Assumptions!$A$34:$B$37,2,0)</f>
        <v>66</v>
      </c>
      <c r="P859" s="21" t="n">
        <f aca="false">VLOOKUP(E859,Assumptions!$A$41:$B$43,2,0)</f>
        <v>60</v>
      </c>
      <c r="Q859" s="22" t="n">
        <f aca="false">L859*Assumptions!$B$7+M859*Assumptions!$B$8+N859*Assumptions!$B$9+O859*Assumptions!$B$10+P859*Assumptions!$B$11</f>
        <v>45.435</v>
      </c>
      <c r="R859" s="11" t="str">
        <f aca="false">IF(Q859&lt;=33,"High Risk",IF(Q859&lt;=66,"Medium Risk","Low Risk"))</f>
        <v>Medium Risk</v>
      </c>
    </row>
    <row r="860" customFormat="false" ht="15" hidden="false" customHeight="true" outlineLevel="0" collapsed="false">
      <c r="A860" s="20" t="n">
        <f aca="false">'Raw Data'!A860</f>
        <v>859</v>
      </c>
      <c r="B860" s="20" t="n">
        <f aca="false">'Raw Data'!B860</f>
        <v>29</v>
      </c>
      <c r="C860" s="20" t="str">
        <f aca="false">'Raw Data'!C860</f>
        <v>female</v>
      </c>
      <c r="D860" s="20" t="n">
        <f aca="false">'Raw Data'!D860</f>
        <v>2</v>
      </c>
      <c r="E860" s="20" t="str">
        <f aca="false">'Raw Data'!E860</f>
        <v>own</v>
      </c>
      <c r="F860" s="20" t="str">
        <f aca="false">'Raw Data'!F860</f>
        <v>little</v>
      </c>
      <c r="G860" s="20" t="str">
        <f aca="false">'Raw Data'!G860</f>
        <v>little</v>
      </c>
      <c r="H860" s="20" t="n">
        <f aca="false">'Raw Data'!H860</f>
        <v>3959</v>
      </c>
      <c r="I860" s="20" t="n">
        <f aca="false">'Raw Data'!I860</f>
        <v>15</v>
      </c>
      <c r="J860" s="20" t="str">
        <f aca="false">'Raw Data'!J860</f>
        <v>car</v>
      </c>
      <c r="K860" s="21" t="n">
        <f aca="false">H860/I860</f>
        <v>263.933333333333</v>
      </c>
      <c r="L860" s="21" t="n">
        <f aca="false">100-MIN(K860/Assumptions!$B$14,1)*100</f>
        <v>34.0166666666667</v>
      </c>
      <c r="M860" s="21" t="n">
        <f aca="false">VLOOKUP(F860,Assumptions!$A$19:$B$23,2,0)</f>
        <v>25</v>
      </c>
      <c r="N860" s="21" t="n">
        <f aca="false">VLOOKUP(G860,Assumptions!$A$27:$B$30,2,0)</f>
        <v>25</v>
      </c>
      <c r="O860" s="21" t="n">
        <f aca="false">VLOOKUP(D860,Assumptions!$A$34:$B$37,2,0)</f>
        <v>66</v>
      </c>
      <c r="P860" s="21" t="n">
        <f aca="false">VLOOKUP(E860,Assumptions!$A$41:$B$43,2,0)</f>
        <v>100</v>
      </c>
      <c r="Q860" s="22" t="n">
        <f aca="false">L860*Assumptions!$B$7+M860*Assumptions!$B$8+N860*Assumptions!$B$9+O860*Assumptions!$B$10+P860*Assumptions!$B$11</f>
        <v>41.355</v>
      </c>
      <c r="R860" s="11" t="str">
        <f aca="false">IF(Q860&lt;=33,"High Risk",IF(Q860&lt;=66,"Medium Risk","Low Risk"))</f>
        <v>Medium Risk</v>
      </c>
    </row>
    <row r="861" customFormat="false" ht="15" hidden="false" customHeight="true" outlineLevel="0" collapsed="false">
      <c r="A861" s="20" t="n">
        <f aca="false">'Raw Data'!A861</f>
        <v>860</v>
      </c>
      <c r="B861" s="20" t="n">
        <f aca="false">'Raw Data'!B861</f>
        <v>26</v>
      </c>
      <c r="C861" s="20" t="str">
        <f aca="false">'Raw Data'!C861</f>
        <v>male</v>
      </c>
      <c r="D861" s="20" t="n">
        <f aca="false">'Raw Data'!D861</f>
        <v>2</v>
      </c>
      <c r="E861" s="20" t="str">
        <f aca="false">'Raw Data'!E861</f>
        <v>rent</v>
      </c>
      <c r="F861" s="20" t="str">
        <f aca="false">'Raw Data'!F861</f>
        <v>moderate</v>
      </c>
      <c r="G861" s="20" t="str">
        <f aca="false">'Raw Data'!G861</f>
        <v>none</v>
      </c>
      <c r="H861" s="20" t="n">
        <f aca="false">'Raw Data'!H861</f>
        <v>3577</v>
      </c>
      <c r="I861" s="20" t="n">
        <f aca="false">'Raw Data'!I861</f>
        <v>9</v>
      </c>
      <c r="J861" s="20" t="str">
        <f aca="false">'Raw Data'!J861</f>
        <v>car</v>
      </c>
      <c r="K861" s="21" t="n">
        <f aca="false">H861/I861</f>
        <v>397.444444444444</v>
      </c>
      <c r="L861" s="21" t="n">
        <f aca="false">100-MIN(K861/Assumptions!$B$14,1)*100</f>
        <v>0.638888888888886</v>
      </c>
      <c r="M861" s="21" t="n">
        <f aca="false">VLOOKUP(F861,Assumptions!$A$19:$B$23,2,0)</f>
        <v>50</v>
      </c>
      <c r="N861" s="21" t="n">
        <f aca="false">VLOOKUP(G861,Assumptions!$A$27:$B$30,2,0)</f>
        <v>50</v>
      </c>
      <c r="O861" s="21" t="n">
        <f aca="false">VLOOKUP(D861,Assumptions!$A$34:$B$37,2,0)</f>
        <v>66</v>
      </c>
      <c r="P861" s="21" t="n">
        <f aca="false">VLOOKUP(E861,Assumptions!$A$41:$B$43,2,0)</f>
        <v>30</v>
      </c>
      <c r="Q861" s="22" t="n">
        <f aca="false">L861*Assumptions!$B$7+M861*Assumptions!$B$8+N861*Assumptions!$B$9+O861*Assumptions!$B$10+P861*Assumptions!$B$11</f>
        <v>35.5916666666667</v>
      </c>
      <c r="R861" s="11" t="str">
        <f aca="false">IF(Q861&lt;=33,"High Risk",IF(Q861&lt;=66,"Medium Risk","Low Risk"))</f>
        <v>Medium Risk</v>
      </c>
    </row>
    <row r="862" customFormat="false" ht="15" hidden="false" customHeight="true" outlineLevel="0" collapsed="false">
      <c r="A862" s="20" t="n">
        <f aca="false">'Raw Data'!A862</f>
        <v>861</v>
      </c>
      <c r="B862" s="20" t="n">
        <f aca="false">'Raw Data'!B862</f>
        <v>27</v>
      </c>
      <c r="C862" s="20" t="str">
        <f aca="false">'Raw Data'!C862</f>
        <v>male</v>
      </c>
      <c r="D862" s="20" t="n">
        <f aca="false">'Raw Data'!D862</f>
        <v>2</v>
      </c>
      <c r="E862" s="20" t="str">
        <f aca="false">'Raw Data'!E862</f>
        <v>own</v>
      </c>
      <c r="F862" s="20" t="str">
        <f aca="false">'Raw Data'!F862</f>
        <v>rich</v>
      </c>
      <c r="G862" s="20" t="str">
        <f aca="false">'Raw Data'!G862</f>
        <v>none</v>
      </c>
      <c r="H862" s="20" t="n">
        <f aca="false">'Raw Data'!H862</f>
        <v>5804</v>
      </c>
      <c r="I862" s="20" t="n">
        <f aca="false">'Raw Data'!I862</f>
        <v>24</v>
      </c>
      <c r="J862" s="20" t="str">
        <f aca="false">'Raw Data'!J862</f>
        <v>car</v>
      </c>
      <c r="K862" s="21" t="n">
        <f aca="false">H862/I862</f>
        <v>241.833333333333</v>
      </c>
      <c r="L862" s="21" t="n">
        <f aca="false">100-MIN(K862/Assumptions!$B$14,1)*100</f>
        <v>39.5416666666667</v>
      </c>
      <c r="M862" s="21" t="n">
        <f aca="false">VLOOKUP(F862,Assumptions!$A$19:$B$23,2,0)</f>
        <v>100</v>
      </c>
      <c r="N862" s="21" t="n">
        <f aca="false">VLOOKUP(G862,Assumptions!$A$27:$B$30,2,0)</f>
        <v>50</v>
      </c>
      <c r="O862" s="21" t="n">
        <f aca="false">VLOOKUP(D862,Assumptions!$A$34:$B$37,2,0)</f>
        <v>66</v>
      </c>
      <c r="P862" s="21" t="n">
        <f aca="false">VLOOKUP(E862,Assumptions!$A$41:$B$43,2,0)</f>
        <v>100</v>
      </c>
      <c r="Q862" s="22" t="n">
        <f aca="false">L862*Assumptions!$B$7+M862*Assumptions!$B$8+N862*Assumptions!$B$9+O862*Assumptions!$B$10+P862*Assumptions!$B$11</f>
        <v>66.7625</v>
      </c>
      <c r="R862" s="11" t="str">
        <f aca="false">IF(Q862&lt;=33,"High Risk",IF(Q862&lt;=66,"Medium Risk","Low Risk"))</f>
        <v>Low Risk</v>
      </c>
    </row>
    <row r="863" customFormat="false" ht="15" hidden="false" customHeight="true" outlineLevel="0" collapsed="false">
      <c r="A863" s="20" t="n">
        <f aca="false">'Raw Data'!A863</f>
        <v>862</v>
      </c>
      <c r="B863" s="20" t="n">
        <f aca="false">'Raw Data'!B863</f>
        <v>28</v>
      </c>
      <c r="C863" s="20" t="str">
        <f aca="false">'Raw Data'!C863</f>
        <v>male</v>
      </c>
      <c r="D863" s="20" t="n">
        <f aca="false">'Raw Data'!D863</f>
        <v>2</v>
      </c>
      <c r="E863" s="20" t="str">
        <f aca="false">'Raw Data'!E863</f>
        <v>own</v>
      </c>
      <c r="F863" s="20" t="str">
        <f aca="false">'Raw Data'!F863</f>
        <v>little</v>
      </c>
      <c r="G863" s="20" t="str">
        <f aca="false">'Raw Data'!G863</f>
        <v>none</v>
      </c>
      <c r="H863" s="20" t="n">
        <f aca="false">'Raw Data'!H863</f>
        <v>2169</v>
      </c>
      <c r="I863" s="20" t="n">
        <f aca="false">'Raw Data'!I863</f>
        <v>18</v>
      </c>
      <c r="J863" s="20" t="str">
        <f aca="false">'Raw Data'!J863</f>
        <v>business</v>
      </c>
      <c r="K863" s="21" t="n">
        <f aca="false">H863/I863</f>
        <v>120.5</v>
      </c>
      <c r="L863" s="21" t="n">
        <f aca="false">100-MIN(K863/Assumptions!$B$14,1)*100</f>
        <v>69.875</v>
      </c>
      <c r="M863" s="21" t="n">
        <f aca="false">VLOOKUP(F863,Assumptions!$A$19:$B$23,2,0)</f>
        <v>25</v>
      </c>
      <c r="N863" s="21" t="n">
        <f aca="false">VLOOKUP(G863,Assumptions!$A$27:$B$30,2,0)</f>
        <v>50</v>
      </c>
      <c r="O863" s="21" t="n">
        <f aca="false">VLOOKUP(D863,Assumptions!$A$34:$B$37,2,0)</f>
        <v>66</v>
      </c>
      <c r="P863" s="21" t="n">
        <f aca="false">VLOOKUP(E863,Assumptions!$A$41:$B$43,2,0)</f>
        <v>100</v>
      </c>
      <c r="Q863" s="22" t="n">
        <f aca="false">L863*Assumptions!$B$7+M863*Assumptions!$B$8+N863*Assumptions!$B$9+O863*Assumptions!$B$10+P863*Assumptions!$B$11</f>
        <v>57.1125</v>
      </c>
      <c r="R863" s="11" t="str">
        <f aca="false">IF(Q863&lt;=33,"High Risk",IF(Q863&lt;=66,"Medium Risk","Low Risk"))</f>
        <v>Medium Risk</v>
      </c>
    </row>
    <row r="864" customFormat="false" ht="15" hidden="false" customHeight="true" outlineLevel="0" collapsed="false">
      <c r="A864" s="20" t="n">
        <f aca="false">'Raw Data'!A864</f>
        <v>863</v>
      </c>
      <c r="B864" s="20" t="n">
        <f aca="false">'Raw Data'!B864</f>
        <v>35</v>
      </c>
      <c r="C864" s="20" t="str">
        <f aca="false">'Raw Data'!C864</f>
        <v>female</v>
      </c>
      <c r="D864" s="20" t="n">
        <f aca="false">'Raw Data'!D864</f>
        <v>2</v>
      </c>
      <c r="E864" s="20" t="str">
        <f aca="false">'Raw Data'!E864</f>
        <v>own</v>
      </c>
      <c r="F864" s="20" t="str">
        <f aca="false">'Raw Data'!F864</f>
        <v>little</v>
      </c>
      <c r="G864" s="20" t="str">
        <f aca="false">'Raw Data'!G864</f>
        <v>little</v>
      </c>
      <c r="H864" s="20" t="n">
        <f aca="false">'Raw Data'!H864</f>
        <v>2439</v>
      </c>
      <c r="I864" s="20" t="n">
        <f aca="false">'Raw Data'!I864</f>
        <v>24</v>
      </c>
      <c r="J864" s="20" t="str">
        <f aca="false">'Raw Data'!J864</f>
        <v>radio/TV</v>
      </c>
      <c r="K864" s="21" t="n">
        <f aca="false">H864/I864</f>
        <v>101.625</v>
      </c>
      <c r="L864" s="21" t="n">
        <f aca="false">100-MIN(K864/Assumptions!$B$14,1)*100</f>
        <v>74.59375</v>
      </c>
      <c r="M864" s="21" t="n">
        <f aca="false">VLOOKUP(F864,Assumptions!$A$19:$B$23,2,0)</f>
        <v>25</v>
      </c>
      <c r="N864" s="21" t="n">
        <f aca="false">VLOOKUP(G864,Assumptions!$A$27:$B$30,2,0)</f>
        <v>25</v>
      </c>
      <c r="O864" s="21" t="n">
        <f aca="false">VLOOKUP(D864,Assumptions!$A$34:$B$37,2,0)</f>
        <v>66</v>
      </c>
      <c r="P864" s="21" t="n">
        <f aca="false">VLOOKUP(E864,Assumptions!$A$41:$B$43,2,0)</f>
        <v>100</v>
      </c>
      <c r="Q864" s="22" t="n">
        <f aca="false">L864*Assumptions!$B$7+M864*Assumptions!$B$8+N864*Assumptions!$B$9+O864*Assumptions!$B$10+P864*Assumptions!$B$11</f>
        <v>53.528125</v>
      </c>
      <c r="R864" s="11" t="str">
        <f aca="false">IF(Q864&lt;=33,"High Risk",IF(Q864&lt;=66,"Medium Risk","Low Risk"))</f>
        <v>Medium Risk</v>
      </c>
    </row>
    <row r="865" customFormat="false" ht="15" hidden="false" customHeight="true" outlineLevel="0" collapsed="false">
      <c r="A865" s="20" t="n">
        <f aca="false">'Raw Data'!A865</f>
        <v>864</v>
      </c>
      <c r="B865" s="20" t="n">
        <f aca="false">'Raw Data'!B865</f>
        <v>32</v>
      </c>
      <c r="C865" s="20" t="str">
        <f aca="false">'Raw Data'!C865</f>
        <v>male</v>
      </c>
      <c r="D865" s="20" t="n">
        <f aca="false">'Raw Data'!D865</f>
        <v>1</v>
      </c>
      <c r="E865" s="20" t="str">
        <f aca="false">'Raw Data'!E865</f>
        <v>own</v>
      </c>
      <c r="F865" s="20" t="str">
        <f aca="false">'Raw Data'!F865</f>
        <v>rich</v>
      </c>
      <c r="G865" s="20" t="str">
        <f aca="false">'Raw Data'!G865</f>
        <v>none</v>
      </c>
      <c r="H865" s="20" t="n">
        <f aca="false">'Raw Data'!H865</f>
        <v>4526</v>
      </c>
      <c r="I865" s="20" t="n">
        <f aca="false">'Raw Data'!I865</f>
        <v>27</v>
      </c>
      <c r="J865" s="20" t="str">
        <f aca="false">'Raw Data'!J865</f>
        <v>furniture/equipment</v>
      </c>
      <c r="K865" s="21" t="n">
        <f aca="false">H865/I865</f>
        <v>167.62962962963</v>
      </c>
      <c r="L865" s="21" t="n">
        <f aca="false">100-MIN(K865/Assumptions!$B$14,1)*100</f>
        <v>58.0925925925926</v>
      </c>
      <c r="M865" s="21" t="n">
        <f aca="false">VLOOKUP(F865,Assumptions!$A$19:$B$23,2,0)</f>
        <v>100</v>
      </c>
      <c r="N865" s="21" t="n">
        <f aca="false">VLOOKUP(G865,Assumptions!$A$27:$B$30,2,0)</f>
        <v>50</v>
      </c>
      <c r="O865" s="21" t="n">
        <f aca="false">VLOOKUP(D865,Assumptions!$A$34:$B$37,2,0)</f>
        <v>33</v>
      </c>
      <c r="P865" s="21" t="n">
        <f aca="false">VLOOKUP(E865,Assumptions!$A$41:$B$43,2,0)</f>
        <v>100</v>
      </c>
      <c r="Q865" s="22" t="n">
        <f aca="false">L865*Assumptions!$B$7+M865*Assumptions!$B$8+N865*Assumptions!$B$9+O865*Assumptions!$B$10+P865*Assumptions!$B$11</f>
        <v>67.3777777777778</v>
      </c>
      <c r="R865" s="11" t="str">
        <f aca="false">IF(Q865&lt;=33,"High Risk",IF(Q865&lt;=66,"Medium Risk","Low Risk"))</f>
        <v>Low Risk</v>
      </c>
    </row>
    <row r="866" customFormat="false" ht="15" hidden="false" customHeight="true" outlineLevel="0" collapsed="false">
      <c r="A866" s="20" t="n">
        <f aca="false">'Raw Data'!A866</f>
        <v>865</v>
      </c>
      <c r="B866" s="20" t="n">
        <f aca="false">'Raw Data'!B866</f>
        <v>25</v>
      </c>
      <c r="C866" s="20" t="str">
        <f aca="false">'Raw Data'!C866</f>
        <v>male</v>
      </c>
      <c r="D866" s="20" t="n">
        <f aca="false">'Raw Data'!D866</f>
        <v>1</v>
      </c>
      <c r="E866" s="20" t="str">
        <f aca="false">'Raw Data'!E866</f>
        <v>rent</v>
      </c>
      <c r="F866" s="20" t="str">
        <f aca="false">'Raw Data'!F866</f>
        <v>little</v>
      </c>
      <c r="G866" s="20" t="str">
        <f aca="false">'Raw Data'!G866</f>
        <v>none</v>
      </c>
      <c r="H866" s="20" t="n">
        <f aca="false">'Raw Data'!H866</f>
        <v>2210</v>
      </c>
      <c r="I866" s="20" t="n">
        <f aca="false">'Raw Data'!I866</f>
        <v>10</v>
      </c>
      <c r="J866" s="20" t="str">
        <f aca="false">'Raw Data'!J866</f>
        <v>furniture/equipment</v>
      </c>
      <c r="K866" s="21" t="n">
        <f aca="false">H866/I866</f>
        <v>221</v>
      </c>
      <c r="L866" s="21" t="n">
        <f aca="false">100-MIN(K866/Assumptions!$B$14,1)*100</f>
        <v>44.75</v>
      </c>
      <c r="M866" s="21" t="n">
        <f aca="false">VLOOKUP(F866,Assumptions!$A$19:$B$23,2,0)</f>
        <v>25</v>
      </c>
      <c r="N866" s="21" t="n">
        <f aca="false">VLOOKUP(G866,Assumptions!$A$27:$B$30,2,0)</f>
        <v>50</v>
      </c>
      <c r="O866" s="21" t="n">
        <f aca="false">VLOOKUP(D866,Assumptions!$A$34:$B$37,2,0)</f>
        <v>33</v>
      </c>
      <c r="P866" s="21" t="n">
        <f aca="false">VLOOKUP(E866,Assumptions!$A$41:$B$43,2,0)</f>
        <v>30</v>
      </c>
      <c r="Q866" s="22" t="n">
        <f aca="false">L866*Assumptions!$B$7+M866*Assumptions!$B$8+N866*Assumptions!$B$9+O866*Assumptions!$B$10+P866*Assumptions!$B$11</f>
        <v>37.625</v>
      </c>
      <c r="R866" s="11" t="str">
        <f aca="false">IF(Q866&lt;=33,"High Risk",IF(Q866&lt;=66,"Medium Risk","Low Risk"))</f>
        <v>Medium Risk</v>
      </c>
    </row>
    <row r="867" customFormat="false" ht="15" hidden="false" customHeight="true" outlineLevel="0" collapsed="false">
      <c r="A867" s="20" t="n">
        <f aca="false">'Raw Data'!A867</f>
        <v>866</v>
      </c>
      <c r="B867" s="20" t="n">
        <f aca="false">'Raw Data'!B867</f>
        <v>20</v>
      </c>
      <c r="C867" s="20" t="str">
        <f aca="false">'Raw Data'!C867</f>
        <v>female</v>
      </c>
      <c r="D867" s="20" t="n">
        <f aca="false">'Raw Data'!D867</f>
        <v>2</v>
      </c>
      <c r="E867" s="20" t="str">
        <f aca="false">'Raw Data'!E867</f>
        <v>rent</v>
      </c>
      <c r="F867" s="20" t="str">
        <f aca="false">'Raw Data'!F867</f>
        <v>quite rich</v>
      </c>
      <c r="G867" s="20" t="str">
        <f aca="false">'Raw Data'!G867</f>
        <v>none</v>
      </c>
      <c r="H867" s="20" t="n">
        <f aca="false">'Raw Data'!H867</f>
        <v>2221</v>
      </c>
      <c r="I867" s="20" t="n">
        <f aca="false">'Raw Data'!I867</f>
        <v>15</v>
      </c>
      <c r="J867" s="20" t="str">
        <f aca="false">'Raw Data'!J867</f>
        <v>furniture/equipment</v>
      </c>
      <c r="K867" s="21" t="n">
        <f aca="false">H867/I867</f>
        <v>148.066666666667</v>
      </c>
      <c r="L867" s="21" t="n">
        <f aca="false">100-MIN(K867/Assumptions!$B$14,1)*100</f>
        <v>62.9833333333333</v>
      </c>
      <c r="M867" s="21" t="n">
        <f aca="false">VLOOKUP(F867,Assumptions!$A$19:$B$23,2,0)</f>
        <v>75</v>
      </c>
      <c r="N867" s="21" t="n">
        <f aca="false">VLOOKUP(G867,Assumptions!$A$27:$B$30,2,0)</f>
        <v>50</v>
      </c>
      <c r="O867" s="21" t="n">
        <f aca="false">VLOOKUP(D867,Assumptions!$A$34:$B$37,2,0)</f>
        <v>66</v>
      </c>
      <c r="P867" s="21" t="n">
        <f aca="false">VLOOKUP(E867,Assumptions!$A$41:$B$43,2,0)</f>
        <v>30</v>
      </c>
      <c r="Q867" s="22" t="n">
        <f aca="false">L867*Assumptions!$B$7+M867*Assumptions!$B$8+N867*Assumptions!$B$9+O867*Assumptions!$B$10+P867*Assumptions!$B$11</f>
        <v>60.545</v>
      </c>
      <c r="R867" s="11" t="str">
        <f aca="false">IF(Q867&lt;=33,"High Risk",IF(Q867&lt;=66,"Medium Risk","Low Risk"))</f>
        <v>Medium Risk</v>
      </c>
    </row>
    <row r="868" customFormat="false" ht="15" hidden="false" customHeight="true" outlineLevel="0" collapsed="false">
      <c r="A868" s="20" t="n">
        <f aca="false">'Raw Data'!A868</f>
        <v>867</v>
      </c>
      <c r="B868" s="20" t="n">
        <f aca="false">'Raw Data'!B868</f>
        <v>27</v>
      </c>
      <c r="C868" s="20" t="str">
        <f aca="false">'Raw Data'!C868</f>
        <v>female</v>
      </c>
      <c r="D868" s="20" t="n">
        <f aca="false">'Raw Data'!D868</f>
        <v>2</v>
      </c>
      <c r="E868" s="20" t="str">
        <f aca="false">'Raw Data'!E868</f>
        <v>own</v>
      </c>
      <c r="F868" s="20" t="str">
        <f aca="false">'Raw Data'!F868</f>
        <v>little</v>
      </c>
      <c r="G868" s="20" t="str">
        <f aca="false">'Raw Data'!G868</f>
        <v>little</v>
      </c>
      <c r="H868" s="20" t="n">
        <f aca="false">'Raw Data'!H868</f>
        <v>2389</v>
      </c>
      <c r="I868" s="20" t="n">
        <f aca="false">'Raw Data'!I868</f>
        <v>18</v>
      </c>
      <c r="J868" s="20" t="str">
        <f aca="false">'Raw Data'!J868</f>
        <v>radio/TV</v>
      </c>
      <c r="K868" s="21" t="n">
        <f aca="false">H868/I868</f>
        <v>132.722222222222</v>
      </c>
      <c r="L868" s="21" t="n">
        <f aca="false">100-MIN(K868/Assumptions!$B$14,1)*100</f>
        <v>66.8194444444444</v>
      </c>
      <c r="M868" s="21" t="n">
        <f aca="false">VLOOKUP(F868,Assumptions!$A$19:$B$23,2,0)</f>
        <v>25</v>
      </c>
      <c r="N868" s="21" t="n">
        <f aca="false">VLOOKUP(G868,Assumptions!$A$27:$B$30,2,0)</f>
        <v>25</v>
      </c>
      <c r="O868" s="21" t="n">
        <f aca="false">VLOOKUP(D868,Assumptions!$A$34:$B$37,2,0)</f>
        <v>66</v>
      </c>
      <c r="P868" s="21" t="n">
        <f aca="false">VLOOKUP(E868,Assumptions!$A$41:$B$43,2,0)</f>
        <v>100</v>
      </c>
      <c r="Q868" s="22" t="n">
        <f aca="false">L868*Assumptions!$B$7+M868*Assumptions!$B$8+N868*Assumptions!$B$9+O868*Assumptions!$B$10+P868*Assumptions!$B$11</f>
        <v>51.1958333333333</v>
      </c>
      <c r="R868" s="11" t="str">
        <f aca="false">IF(Q868&lt;=33,"High Risk",IF(Q868&lt;=66,"Medium Risk","Low Risk"))</f>
        <v>Medium Risk</v>
      </c>
    </row>
    <row r="869" customFormat="false" ht="15" hidden="false" customHeight="true" outlineLevel="0" collapsed="false">
      <c r="A869" s="20" t="n">
        <f aca="false">'Raw Data'!A869</f>
        <v>868</v>
      </c>
      <c r="B869" s="20" t="n">
        <f aca="false">'Raw Data'!B869</f>
        <v>42</v>
      </c>
      <c r="C869" s="20" t="str">
        <f aca="false">'Raw Data'!C869</f>
        <v>male</v>
      </c>
      <c r="D869" s="20" t="n">
        <f aca="false">'Raw Data'!D869</f>
        <v>2</v>
      </c>
      <c r="E869" s="20" t="str">
        <f aca="false">'Raw Data'!E869</f>
        <v>own</v>
      </c>
      <c r="F869" s="20" t="str">
        <f aca="false">'Raw Data'!F869</f>
        <v>little</v>
      </c>
      <c r="G869" s="20" t="str">
        <f aca="false">'Raw Data'!G869</f>
        <v>none</v>
      </c>
      <c r="H869" s="20" t="n">
        <f aca="false">'Raw Data'!H869</f>
        <v>3331</v>
      </c>
      <c r="I869" s="20" t="n">
        <f aca="false">'Raw Data'!I869</f>
        <v>12</v>
      </c>
      <c r="J869" s="20" t="str">
        <f aca="false">'Raw Data'!J869</f>
        <v>furniture/equipment</v>
      </c>
      <c r="K869" s="21" t="n">
        <f aca="false">H869/I869</f>
        <v>277.583333333333</v>
      </c>
      <c r="L869" s="21" t="n">
        <f aca="false">100-MIN(K869/Assumptions!$B$14,1)*100</f>
        <v>30.6041666666667</v>
      </c>
      <c r="M869" s="21" t="n">
        <f aca="false">VLOOKUP(F869,Assumptions!$A$19:$B$23,2,0)</f>
        <v>25</v>
      </c>
      <c r="N869" s="21" t="n">
        <f aca="false">VLOOKUP(G869,Assumptions!$A$27:$B$30,2,0)</f>
        <v>50</v>
      </c>
      <c r="O869" s="21" t="n">
        <f aca="false">VLOOKUP(D869,Assumptions!$A$34:$B$37,2,0)</f>
        <v>66</v>
      </c>
      <c r="P869" s="21" t="n">
        <f aca="false">VLOOKUP(E869,Assumptions!$A$41:$B$43,2,0)</f>
        <v>100</v>
      </c>
      <c r="Q869" s="22" t="n">
        <f aca="false">L869*Assumptions!$B$7+M869*Assumptions!$B$8+N869*Assumptions!$B$9+O869*Assumptions!$B$10+P869*Assumptions!$B$11</f>
        <v>45.33125</v>
      </c>
      <c r="R869" s="11" t="str">
        <f aca="false">IF(Q869&lt;=33,"High Risk",IF(Q869&lt;=66,"Medium Risk","Low Risk"))</f>
        <v>Medium Risk</v>
      </c>
    </row>
    <row r="870" customFormat="false" ht="15" hidden="false" customHeight="true" outlineLevel="0" collapsed="false">
      <c r="A870" s="20" t="n">
        <f aca="false">'Raw Data'!A870</f>
        <v>869</v>
      </c>
      <c r="B870" s="20" t="n">
        <f aca="false">'Raw Data'!B870</f>
        <v>37</v>
      </c>
      <c r="C870" s="20" t="str">
        <f aca="false">'Raw Data'!C870</f>
        <v>male</v>
      </c>
      <c r="D870" s="20" t="n">
        <f aca="false">'Raw Data'!D870</f>
        <v>2</v>
      </c>
      <c r="E870" s="20" t="str">
        <f aca="false">'Raw Data'!E870</f>
        <v>own</v>
      </c>
      <c r="F870" s="20" t="str">
        <f aca="false">'Raw Data'!F870</f>
        <v>none</v>
      </c>
      <c r="G870" s="20" t="str">
        <f aca="false">'Raw Data'!G870</f>
        <v>none</v>
      </c>
      <c r="H870" s="20" t="n">
        <f aca="false">'Raw Data'!H870</f>
        <v>7409</v>
      </c>
      <c r="I870" s="20" t="n">
        <f aca="false">'Raw Data'!I870</f>
        <v>36</v>
      </c>
      <c r="J870" s="20" t="str">
        <f aca="false">'Raw Data'!J870</f>
        <v>business</v>
      </c>
      <c r="K870" s="21" t="n">
        <f aca="false">H870/I870</f>
        <v>205.805555555556</v>
      </c>
      <c r="L870" s="21" t="n">
        <f aca="false">100-MIN(K870/Assumptions!$B$14,1)*100</f>
        <v>48.5486111111111</v>
      </c>
      <c r="M870" s="21" t="n">
        <f aca="false">VLOOKUP(F870,Assumptions!$A$19:$B$23,2,0)</f>
        <v>40</v>
      </c>
      <c r="N870" s="21" t="n">
        <f aca="false">VLOOKUP(G870,Assumptions!$A$27:$B$30,2,0)</f>
        <v>50</v>
      </c>
      <c r="O870" s="21" t="n">
        <f aca="false">VLOOKUP(D870,Assumptions!$A$34:$B$37,2,0)</f>
        <v>66</v>
      </c>
      <c r="P870" s="21" t="n">
        <f aca="false">VLOOKUP(E870,Assumptions!$A$41:$B$43,2,0)</f>
        <v>100</v>
      </c>
      <c r="Q870" s="22" t="n">
        <f aca="false">L870*Assumptions!$B$7+M870*Assumptions!$B$8+N870*Assumptions!$B$9+O870*Assumptions!$B$10+P870*Assumptions!$B$11</f>
        <v>54.4645833333333</v>
      </c>
      <c r="R870" s="11" t="str">
        <f aca="false">IF(Q870&lt;=33,"High Risk",IF(Q870&lt;=66,"Medium Risk","Low Risk"))</f>
        <v>Medium Risk</v>
      </c>
    </row>
    <row r="871" customFormat="false" ht="15" hidden="false" customHeight="true" outlineLevel="0" collapsed="false">
      <c r="A871" s="20" t="n">
        <f aca="false">'Raw Data'!A871</f>
        <v>870</v>
      </c>
      <c r="B871" s="20" t="n">
        <f aca="false">'Raw Data'!B871</f>
        <v>24</v>
      </c>
      <c r="C871" s="20" t="str">
        <f aca="false">'Raw Data'!C871</f>
        <v>female</v>
      </c>
      <c r="D871" s="20" t="n">
        <f aca="false">'Raw Data'!D871</f>
        <v>2</v>
      </c>
      <c r="E871" s="20" t="str">
        <f aca="false">'Raw Data'!E871</f>
        <v>rent</v>
      </c>
      <c r="F871" s="20" t="str">
        <f aca="false">'Raw Data'!F871</f>
        <v>little</v>
      </c>
      <c r="G871" s="20" t="str">
        <f aca="false">'Raw Data'!G871</f>
        <v>little</v>
      </c>
      <c r="H871" s="20" t="n">
        <f aca="false">'Raw Data'!H871</f>
        <v>652</v>
      </c>
      <c r="I871" s="20" t="n">
        <f aca="false">'Raw Data'!I871</f>
        <v>12</v>
      </c>
      <c r="J871" s="20" t="str">
        <f aca="false">'Raw Data'!J871</f>
        <v>furniture/equipment</v>
      </c>
      <c r="K871" s="21" t="n">
        <f aca="false">H871/I871</f>
        <v>54.3333333333333</v>
      </c>
      <c r="L871" s="21" t="n">
        <f aca="false">100-MIN(K871/Assumptions!$B$14,1)*100</f>
        <v>86.4166666666667</v>
      </c>
      <c r="M871" s="21" t="n">
        <f aca="false">VLOOKUP(F871,Assumptions!$A$19:$B$23,2,0)</f>
        <v>25</v>
      </c>
      <c r="N871" s="21" t="n">
        <f aca="false">VLOOKUP(G871,Assumptions!$A$27:$B$30,2,0)</f>
        <v>25</v>
      </c>
      <c r="O871" s="21" t="n">
        <f aca="false">VLOOKUP(D871,Assumptions!$A$34:$B$37,2,0)</f>
        <v>66</v>
      </c>
      <c r="P871" s="21" t="n">
        <f aca="false">VLOOKUP(E871,Assumptions!$A$41:$B$43,2,0)</f>
        <v>30</v>
      </c>
      <c r="Q871" s="22" t="n">
        <f aca="false">L871*Assumptions!$B$7+M871*Assumptions!$B$8+N871*Assumptions!$B$9+O871*Assumptions!$B$10+P871*Assumptions!$B$11</f>
        <v>50.075</v>
      </c>
      <c r="R871" s="11" t="str">
        <f aca="false">IF(Q871&lt;=33,"High Risk",IF(Q871&lt;=66,"Medium Risk","Low Risk"))</f>
        <v>Medium Risk</v>
      </c>
    </row>
    <row r="872" customFormat="false" ht="15" hidden="false" customHeight="true" outlineLevel="0" collapsed="false">
      <c r="A872" s="20" t="n">
        <f aca="false">'Raw Data'!A872</f>
        <v>871</v>
      </c>
      <c r="B872" s="20" t="n">
        <f aca="false">'Raw Data'!B872</f>
        <v>40</v>
      </c>
      <c r="C872" s="20" t="str">
        <f aca="false">'Raw Data'!C872</f>
        <v>female</v>
      </c>
      <c r="D872" s="20" t="n">
        <f aca="false">'Raw Data'!D872</f>
        <v>2</v>
      </c>
      <c r="E872" s="20" t="str">
        <f aca="false">'Raw Data'!E872</f>
        <v>own</v>
      </c>
      <c r="F872" s="20" t="str">
        <f aca="false">'Raw Data'!F872</f>
        <v>quite rich</v>
      </c>
      <c r="G872" s="20" t="str">
        <f aca="false">'Raw Data'!G872</f>
        <v>none</v>
      </c>
      <c r="H872" s="20" t="n">
        <f aca="false">'Raw Data'!H872</f>
        <v>7678</v>
      </c>
      <c r="I872" s="20" t="n">
        <f aca="false">'Raw Data'!I872</f>
        <v>36</v>
      </c>
      <c r="J872" s="20" t="str">
        <f aca="false">'Raw Data'!J872</f>
        <v>furniture/equipment</v>
      </c>
      <c r="K872" s="21" t="n">
        <f aca="false">H872/I872</f>
        <v>213.277777777778</v>
      </c>
      <c r="L872" s="21" t="n">
        <f aca="false">100-MIN(K872/Assumptions!$B$14,1)*100</f>
        <v>46.6805555555556</v>
      </c>
      <c r="M872" s="21" t="n">
        <f aca="false">VLOOKUP(F872,Assumptions!$A$19:$B$23,2,0)</f>
        <v>75</v>
      </c>
      <c r="N872" s="21" t="n">
        <f aca="false">VLOOKUP(G872,Assumptions!$A$27:$B$30,2,0)</f>
        <v>50</v>
      </c>
      <c r="O872" s="21" t="n">
        <f aca="false">VLOOKUP(D872,Assumptions!$A$34:$B$37,2,0)</f>
        <v>66</v>
      </c>
      <c r="P872" s="21" t="n">
        <f aca="false">VLOOKUP(E872,Assumptions!$A$41:$B$43,2,0)</f>
        <v>100</v>
      </c>
      <c r="Q872" s="22" t="n">
        <f aca="false">L872*Assumptions!$B$7+M872*Assumptions!$B$8+N872*Assumptions!$B$9+O872*Assumptions!$B$10+P872*Assumptions!$B$11</f>
        <v>62.6541666666667</v>
      </c>
      <c r="R872" s="11" t="str">
        <f aca="false">IF(Q872&lt;=33,"High Risk",IF(Q872&lt;=66,"Medium Risk","Low Risk"))</f>
        <v>Medium Risk</v>
      </c>
    </row>
    <row r="873" customFormat="false" ht="15" hidden="false" customHeight="true" outlineLevel="0" collapsed="false">
      <c r="A873" s="20" t="n">
        <f aca="false">'Raw Data'!A873</f>
        <v>872</v>
      </c>
      <c r="B873" s="20" t="n">
        <f aca="false">'Raw Data'!B873</f>
        <v>46</v>
      </c>
      <c r="C873" s="20" t="str">
        <f aca="false">'Raw Data'!C873</f>
        <v>male</v>
      </c>
      <c r="D873" s="20" t="n">
        <f aca="false">'Raw Data'!D873</f>
        <v>2</v>
      </c>
      <c r="E873" s="20" t="str">
        <f aca="false">'Raw Data'!E873</f>
        <v>own</v>
      </c>
      <c r="F873" s="20" t="str">
        <f aca="false">'Raw Data'!F873</f>
        <v>little</v>
      </c>
      <c r="G873" s="20" t="str">
        <f aca="false">'Raw Data'!G873</f>
        <v>rich</v>
      </c>
      <c r="H873" s="20" t="n">
        <f aca="false">'Raw Data'!H873</f>
        <v>1343</v>
      </c>
      <c r="I873" s="20" t="n">
        <f aca="false">'Raw Data'!I873</f>
        <v>6</v>
      </c>
      <c r="J873" s="20" t="str">
        <f aca="false">'Raw Data'!J873</f>
        <v>car</v>
      </c>
      <c r="K873" s="21" t="n">
        <f aca="false">H873/I873</f>
        <v>223.833333333333</v>
      </c>
      <c r="L873" s="21" t="n">
        <f aca="false">100-MIN(K873/Assumptions!$B$14,1)*100</f>
        <v>44.0416666666667</v>
      </c>
      <c r="M873" s="21" t="n">
        <f aca="false">VLOOKUP(F873,Assumptions!$A$19:$B$23,2,0)</f>
        <v>25</v>
      </c>
      <c r="N873" s="21" t="n">
        <f aca="false">VLOOKUP(G873,Assumptions!$A$27:$B$30,2,0)</f>
        <v>100</v>
      </c>
      <c r="O873" s="21" t="n">
        <f aca="false">VLOOKUP(D873,Assumptions!$A$34:$B$37,2,0)</f>
        <v>66</v>
      </c>
      <c r="P873" s="21" t="n">
        <f aca="false">VLOOKUP(E873,Assumptions!$A$41:$B$43,2,0)</f>
        <v>100</v>
      </c>
      <c r="Q873" s="22" t="n">
        <f aca="false">L873*Assumptions!$B$7+M873*Assumptions!$B$8+N873*Assumptions!$B$9+O873*Assumptions!$B$10+P873*Assumptions!$B$11</f>
        <v>59.3625</v>
      </c>
      <c r="R873" s="11" t="str">
        <f aca="false">IF(Q873&lt;=33,"High Risk",IF(Q873&lt;=66,"Medium Risk","Low Risk"))</f>
        <v>Medium Risk</v>
      </c>
    </row>
    <row r="874" customFormat="false" ht="15" hidden="false" customHeight="true" outlineLevel="0" collapsed="false">
      <c r="A874" s="20" t="n">
        <f aca="false">'Raw Data'!A874</f>
        <v>873</v>
      </c>
      <c r="B874" s="20" t="n">
        <f aca="false">'Raw Data'!B874</f>
        <v>26</v>
      </c>
      <c r="C874" s="20" t="str">
        <f aca="false">'Raw Data'!C874</f>
        <v>male</v>
      </c>
      <c r="D874" s="20" t="n">
        <f aca="false">'Raw Data'!D874</f>
        <v>2</v>
      </c>
      <c r="E874" s="20" t="str">
        <f aca="false">'Raw Data'!E874</f>
        <v>own</v>
      </c>
      <c r="F874" s="20" t="str">
        <f aca="false">'Raw Data'!F874</f>
        <v>moderate</v>
      </c>
      <c r="G874" s="20" t="str">
        <f aca="false">'Raw Data'!G874</f>
        <v>little</v>
      </c>
      <c r="H874" s="20" t="n">
        <f aca="false">'Raw Data'!H874</f>
        <v>1382</v>
      </c>
      <c r="I874" s="20" t="n">
        <f aca="false">'Raw Data'!I874</f>
        <v>24</v>
      </c>
      <c r="J874" s="20" t="str">
        <f aca="false">'Raw Data'!J874</f>
        <v>business</v>
      </c>
      <c r="K874" s="21" t="n">
        <f aca="false">H874/I874</f>
        <v>57.5833333333333</v>
      </c>
      <c r="L874" s="21" t="n">
        <f aca="false">100-MIN(K874/Assumptions!$B$14,1)*100</f>
        <v>85.6041666666667</v>
      </c>
      <c r="M874" s="21" t="n">
        <f aca="false">VLOOKUP(F874,Assumptions!$A$19:$B$23,2,0)</f>
        <v>50</v>
      </c>
      <c r="N874" s="21" t="n">
        <f aca="false">VLOOKUP(G874,Assumptions!$A$27:$B$30,2,0)</f>
        <v>25</v>
      </c>
      <c r="O874" s="21" t="n">
        <f aca="false">VLOOKUP(D874,Assumptions!$A$34:$B$37,2,0)</f>
        <v>66</v>
      </c>
      <c r="P874" s="21" t="n">
        <f aca="false">VLOOKUP(E874,Assumptions!$A$41:$B$43,2,0)</f>
        <v>100</v>
      </c>
      <c r="Q874" s="22" t="n">
        <f aca="false">L874*Assumptions!$B$7+M874*Assumptions!$B$8+N874*Assumptions!$B$9+O874*Assumptions!$B$10+P874*Assumptions!$B$11</f>
        <v>63.08125</v>
      </c>
      <c r="R874" s="11" t="str">
        <f aca="false">IF(Q874&lt;=33,"High Risk",IF(Q874&lt;=66,"Medium Risk","Low Risk"))</f>
        <v>Medium Risk</v>
      </c>
    </row>
    <row r="875" customFormat="false" ht="15" hidden="false" customHeight="true" outlineLevel="0" collapsed="false">
      <c r="A875" s="20" t="n">
        <f aca="false">'Raw Data'!A875</f>
        <v>874</v>
      </c>
      <c r="B875" s="20" t="n">
        <f aca="false">'Raw Data'!B875</f>
        <v>24</v>
      </c>
      <c r="C875" s="20" t="str">
        <f aca="false">'Raw Data'!C875</f>
        <v>female</v>
      </c>
      <c r="D875" s="20" t="n">
        <f aca="false">'Raw Data'!D875</f>
        <v>2</v>
      </c>
      <c r="E875" s="20" t="str">
        <f aca="false">'Raw Data'!E875</f>
        <v>own</v>
      </c>
      <c r="F875" s="20" t="str">
        <f aca="false">'Raw Data'!F875</f>
        <v>none</v>
      </c>
      <c r="G875" s="20" t="str">
        <f aca="false">'Raw Data'!G875</f>
        <v>none</v>
      </c>
      <c r="H875" s="20" t="n">
        <f aca="false">'Raw Data'!H875</f>
        <v>874</v>
      </c>
      <c r="I875" s="20" t="n">
        <f aca="false">'Raw Data'!I875</f>
        <v>15</v>
      </c>
      <c r="J875" s="20" t="str">
        <f aca="false">'Raw Data'!J875</f>
        <v>domestic appliances</v>
      </c>
      <c r="K875" s="21" t="n">
        <f aca="false">H875/I875</f>
        <v>58.2666666666667</v>
      </c>
      <c r="L875" s="21" t="n">
        <f aca="false">100-MIN(K875/Assumptions!$B$14,1)*100</f>
        <v>85.4333333333333</v>
      </c>
      <c r="M875" s="21" t="n">
        <f aca="false">VLOOKUP(F875,Assumptions!$A$19:$B$23,2,0)</f>
        <v>40</v>
      </c>
      <c r="N875" s="21" t="n">
        <f aca="false">VLOOKUP(G875,Assumptions!$A$27:$B$30,2,0)</f>
        <v>50</v>
      </c>
      <c r="O875" s="21" t="n">
        <f aca="false">VLOOKUP(D875,Assumptions!$A$34:$B$37,2,0)</f>
        <v>66</v>
      </c>
      <c r="P875" s="21" t="n">
        <f aca="false">VLOOKUP(E875,Assumptions!$A$41:$B$43,2,0)</f>
        <v>100</v>
      </c>
      <c r="Q875" s="22" t="n">
        <f aca="false">L875*Assumptions!$B$7+M875*Assumptions!$B$8+N875*Assumptions!$B$9+O875*Assumptions!$B$10+P875*Assumptions!$B$11</f>
        <v>65.53</v>
      </c>
      <c r="R875" s="11" t="str">
        <f aca="false">IF(Q875&lt;=33,"High Risk",IF(Q875&lt;=66,"Medium Risk","Low Risk"))</f>
        <v>Medium Risk</v>
      </c>
    </row>
    <row r="876" customFormat="false" ht="15" hidden="false" customHeight="true" outlineLevel="0" collapsed="false">
      <c r="A876" s="20" t="n">
        <f aca="false">'Raw Data'!A876</f>
        <v>875</v>
      </c>
      <c r="B876" s="20" t="n">
        <f aca="false">'Raw Data'!B876</f>
        <v>29</v>
      </c>
      <c r="C876" s="20" t="str">
        <f aca="false">'Raw Data'!C876</f>
        <v>male</v>
      </c>
      <c r="D876" s="20" t="n">
        <f aca="false">'Raw Data'!D876</f>
        <v>1</v>
      </c>
      <c r="E876" s="20" t="str">
        <f aca="false">'Raw Data'!E876</f>
        <v>own</v>
      </c>
      <c r="F876" s="20" t="str">
        <f aca="false">'Raw Data'!F876</f>
        <v>little</v>
      </c>
      <c r="G876" s="20" t="str">
        <f aca="false">'Raw Data'!G876</f>
        <v>little</v>
      </c>
      <c r="H876" s="20" t="n">
        <f aca="false">'Raw Data'!H876</f>
        <v>3590</v>
      </c>
      <c r="I876" s="20" t="n">
        <f aca="false">'Raw Data'!I876</f>
        <v>12</v>
      </c>
      <c r="J876" s="20" t="str">
        <f aca="false">'Raw Data'!J876</f>
        <v>furniture/equipment</v>
      </c>
      <c r="K876" s="21" t="n">
        <f aca="false">H876/I876</f>
        <v>299.166666666667</v>
      </c>
      <c r="L876" s="21" t="n">
        <f aca="false">100-MIN(K876/Assumptions!$B$14,1)*100</f>
        <v>25.2083333333333</v>
      </c>
      <c r="M876" s="21" t="n">
        <f aca="false">VLOOKUP(F876,Assumptions!$A$19:$B$23,2,0)</f>
        <v>25</v>
      </c>
      <c r="N876" s="21" t="n">
        <f aca="false">VLOOKUP(G876,Assumptions!$A$27:$B$30,2,0)</f>
        <v>25</v>
      </c>
      <c r="O876" s="21" t="n">
        <f aca="false">VLOOKUP(D876,Assumptions!$A$34:$B$37,2,0)</f>
        <v>33</v>
      </c>
      <c r="P876" s="21" t="n">
        <f aca="false">VLOOKUP(E876,Assumptions!$A$41:$B$43,2,0)</f>
        <v>100</v>
      </c>
      <c r="Q876" s="22" t="n">
        <f aca="false">L876*Assumptions!$B$7+M876*Assumptions!$B$8+N876*Assumptions!$B$9+O876*Assumptions!$B$10+P876*Assumptions!$B$11</f>
        <v>33.7625</v>
      </c>
      <c r="R876" s="11" t="str">
        <f aca="false">IF(Q876&lt;=33,"High Risk",IF(Q876&lt;=66,"Medium Risk","Low Risk"))</f>
        <v>Medium Risk</v>
      </c>
    </row>
    <row r="877" customFormat="false" ht="15" hidden="false" customHeight="true" outlineLevel="0" collapsed="false">
      <c r="A877" s="20" t="n">
        <f aca="false">'Raw Data'!A877</f>
        <v>876</v>
      </c>
      <c r="B877" s="20" t="n">
        <f aca="false">'Raw Data'!B877</f>
        <v>40</v>
      </c>
      <c r="C877" s="20" t="str">
        <f aca="false">'Raw Data'!C877</f>
        <v>female</v>
      </c>
      <c r="D877" s="20" t="n">
        <f aca="false">'Raw Data'!D877</f>
        <v>2</v>
      </c>
      <c r="E877" s="20" t="str">
        <f aca="false">'Raw Data'!E877</f>
        <v>own</v>
      </c>
      <c r="F877" s="20" t="str">
        <f aca="false">'Raw Data'!F877</f>
        <v>rich</v>
      </c>
      <c r="G877" s="20" t="str">
        <f aca="false">'Raw Data'!G877</f>
        <v>moderate</v>
      </c>
      <c r="H877" s="20" t="n">
        <f aca="false">'Raw Data'!H877</f>
        <v>1322</v>
      </c>
      <c r="I877" s="20" t="n">
        <f aca="false">'Raw Data'!I877</f>
        <v>11</v>
      </c>
      <c r="J877" s="20" t="str">
        <f aca="false">'Raw Data'!J877</f>
        <v>car</v>
      </c>
      <c r="K877" s="21" t="n">
        <f aca="false">H877/I877</f>
        <v>120.181818181818</v>
      </c>
      <c r="L877" s="21" t="n">
        <f aca="false">100-MIN(K877/Assumptions!$B$14,1)*100</f>
        <v>69.9545454545455</v>
      </c>
      <c r="M877" s="21" t="n">
        <f aca="false">VLOOKUP(F877,Assumptions!$A$19:$B$23,2,0)</f>
        <v>100</v>
      </c>
      <c r="N877" s="21" t="n">
        <f aca="false">VLOOKUP(G877,Assumptions!$A$27:$B$30,2,0)</f>
        <v>60</v>
      </c>
      <c r="O877" s="21" t="n">
        <f aca="false">VLOOKUP(D877,Assumptions!$A$34:$B$37,2,0)</f>
        <v>66</v>
      </c>
      <c r="P877" s="21" t="n">
        <f aca="false">VLOOKUP(E877,Assumptions!$A$41:$B$43,2,0)</f>
        <v>100</v>
      </c>
      <c r="Q877" s="22" t="n">
        <f aca="false">L877*Assumptions!$B$7+M877*Assumptions!$B$8+N877*Assumptions!$B$9+O877*Assumptions!$B$10+P877*Assumptions!$B$11</f>
        <v>77.8863636363636</v>
      </c>
      <c r="R877" s="11" t="str">
        <f aca="false">IF(Q877&lt;=33,"High Risk",IF(Q877&lt;=66,"Medium Risk","Low Risk"))</f>
        <v>Low Risk</v>
      </c>
    </row>
    <row r="878" customFormat="false" ht="15" hidden="false" customHeight="true" outlineLevel="0" collapsed="false">
      <c r="A878" s="20" t="n">
        <f aca="false">'Raw Data'!A878</f>
        <v>877</v>
      </c>
      <c r="B878" s="20" t="n">
        <f aca="false">'Raw Data'!B878</f>
        <v>36</v>
      </c>
      <c r="C878" s="20" t="str">
        <f aca="false">'Raw Data'!C878</f>
        <v>male</v>
      </c>
      <c r="D878" s="20" t="n">
        <f aca="false">'Raw Data'!D878</f>
        <v>3</v>
      </c>
      <c r="E878" s="20" t="str">
        <f aca="false">'Raw Data'!E878</f>
        <v>free</v>
      </c>
      <c r="F878" s="20" t="str">
        <f aca="false">'Raw Data'!F878</f>
        <v>little</v>
      </c>
      <c r="G878" s="20" t="str">
        <f aca="false">'Raw Data'!G878</f>
        <v>little</v>
      </c>
      <c r="H878" s="20" t="n">
        <f aca="false">'Raw Data'!H878</f>
        <v>1940</v>
      </c>
      <c r="I878" s="20" t="n">
        <f aca="false">'Raw Data'!I878</f>
        <v>18</v>
      </c>
      <c r="J878" s="20" t="str">
        <f aca="false">'Raw Data'!J878</f>
        <v>radio/TV</v>
      </c>
      <c r="K878" s="21" t="n">
        <f aca="false">H878/I878</f>
        <v>107.777777777778</v>
      </c>
      <c r="L878" s="21" t="n">
        <f aca="false">100-MIN(K878/Assumptions!$B$14,1)*100</f>
        <v>73.0555555555556</v>
      </c>
      <c r="M878" s="21" t="n">
        <f aca="false">VLOOKUP(F878,Assumptions!$A$19:$B$23,2,0)</f>
        <v>25</v>
      </c>
      <c r="N878" s="21" t="n">
        <f aca="false">VLOOKUP(G878,Assumptions!$A$27:$B$30,2,0)</f>
        <v>25</v>
      </c>
      <c r="O878" s="21" t="n">
        <f aca="false">VLOOKUP(D878,Assumptions!$A$34:$B$37,2,0)</f>
        <v>100</v>
      </c>
      <c r="P878" s="21" t="n">
        <f aca="false">VLOOKUP(E878,Assumptions!$A$41:$B$43,2,0)</f>
        <v>60</v>
      </c>
      <c r="Q878" s="22" t="n">
        <f aca="false">L878*Assumptions!$B$7+M878*Assumptions!$B$8+N878*Assumptions!$B$9+O878*Assumptions!$B$10+P878*Assumptions!$B$11</f>
        <v>54.1666666666667</v>
      </c>
      <c r="R878" s="11" t="str">
        <f aca="false">IF(Q878&lt;=33,"High Risk",IF(Q878&lt;=66,"Medium Risk","Low Risk"))</f>
        <v>Medium Risk</v>
      </c>
    </row>
    <row r="879" customFormat="false" ht="15" hidden="false" customHeight="true" outlineLevel="0" collapsed="false">
      <c r="A879" s="20" t="n">
        <f aca="false">'Raw Data'!A879</f>
        <v>878</v>
      </c>
      <c r="B879" s="20" t="n">
        <f aca="false">'Raw Data'!B879</f>
        <v>28</v>
      </c>
      <c r="C879" s="20" t="str">
        <f aca="false">'Raw Data'!C879</f>
        <v>male</v>
      </c>
      <c r="D879" s="20" t="n">
        <f aca="false">'Raw Data'!D879</f>
        <v>2</v>
      </c>
      <c r="E879" s="20" t="str">
        <f aca="false">'Raw Data'!E879</f>
        <v>own</v>
      </c>
      <c r="F879" s="20" t="str">
        <f aca="false">'Raw Data'!F879</f>
        <v>little</v>
      </c>
      <c r="G879" s="20" t="str">
        <f aca="false">'Raw Data'!G879</f>
        <v>none</v>
      </c>
      <c r="H879" s="20" t="n">
        <f aca="false">'Raw Data'!H879</f>
        <v>3595</v>
      </c>
      <c r="I879" s="20" t="n">
        <f aca="false">'Raw Data'!I879</f>
        <v>36</v>
      </c>
      <c r="J879" s="20" t="str">
        <f aca="false">'Raw Data'!J879</f>
        <v>radio/TV</v>
      </c>
      <c r="K879" s="21" t="n">
        <f aca="false">H879/I879</f>
        <v>99.8611111111111</v>
      </c>
      <c r="L879" s="21" t="n">
        <f aca="false">100-MIN(K879/Assumptions!$B$14,1)*100</f>
        <v>75.0347222222222</v>
      </c>
      <c r="M879" s="21" t="n">
        <f aca="false">VLOOKUP(F879,Assumptions!$A$19:$B$23,2,0)</f>
        <v>25</v>
      </c>
      <c r="N879" s="21" t="n">
        <f aca="false">VLOOKUP(G879,Assumptions!$A$27:$B$30,2,0)</f>
        <v>50</v>
      </c>
      <c r="O879" s="21" t="n">
        <f aca="false">VLOOKUP(D879,Assumptions!$A$34:$B$37,2,0)</f>
        <v>66</v>
      </c>
      <c r="P879" s="21" t="n">
        <f aca="false">VLOOKUP(E879,Assumptions!$A$41:$B$43,2,0)</f>
        <v>100</v>
      </c>
      <c r="Q879" s="22" t="n">
        <f aca="false">L879*Assumptions!$B$7+M879*Assumptions!$B$8+N879*Assumptions!$B$9+O879*Assumptions!$B$10+P879*Assumptions!$B$11</f>
        <v>58.6604166666667</v>
      </c>
      <c r="R879" s="11" t="str">
        <f aca="false">IF(Q879&lt;=33,"High Risk",IF(Q879&lt;=66,"Medium Risk","Low Risk"))</f>
        <v>Medium Risk</v>
      </c>
    </row>
    <row r="880" customFormat="false" ht="15" hidden="false" customHeight="true" outlineLevel="0" collapsed="false">
      <c r="A880" s="20" t="n">
        <f aca="false">'Raw Data'!A880</f>
        <v>879</v>
      </c>
      <c r="B880" s="20" t="n">
        <f aca="false">'Raw Data'!B880</f>
        <v>27</v>
      </c>
      <c r="C880" s="20" t="str">
        <f aca="false">'Raw Data'!C880</f>
        <v>male</v>
      </c>
      <c r="D880" s="20" t="n">
        <f aca="false">'Raw Data'!D880</f>
        <v>3</v>
      </c>
      <c r="E880" s="20" t="str">
        <f aca="false">'Raw Data'!E880</f>
        <v>free</v>
      </c>
      <c r="F880" s="20" t="str">
        <f aca="false">'Raw Data'!F880</f>
        <v>little</v>
      </c>
      <c r="G880" s="20" t="str">
        <f aca="false">'Raw Data'!G880</f>
        <v>little</v>
      </c>
      <c r="H880" s="20" t="n">
        <f aca="false">'Raw Data'!H880</f>
        <v>1422</v>
      </c>
      <c r="I880" s="20" t="n">
        <f aca="false">'Raw Data'!I880</f>
        <v>9</v>
      </c>
      <c r="J880" s="20" t="str">
        <f aca="false">'Raw Data'!J880</f>
        <v>car</v>
      </c>
      <c r="K880" s="21" t="n">
        <f aca="false">H880/I880</f>
        <v>158</v>
      </c>
      <c r="L880" s="21" t="n">
        <f aca="false">100-MIN(K880/Assumptions!$B$14,1)*100</f>
        <v>60.5</v>
      </c>
      <c r="M880" s="21" t="n">
        <f aca="false">VLOOKUP(F880,Assumptions!$A$19:$B$23,2,0)</f>
        <v>25</v>
      </c>
      <c r="N880" s="21" t="n">
        <f aca="false">VLOOKUP(G880,Assumptions!$A$27:$B$30,2,0)</f>
        <v>25</v>
      </c>
      <c r="O880" s="21" t="n">
        <f aca="false">VLOOKUP(D880,Assumptions!$A$34:$B$37,2,0)</f>
        <v>100</v>
      </c>
      <c r="P880" s="21" t="n">
        <f aca="false">VLOOKUP(E880,Assumptions!$A$41:$B$43,2,0)</f>
        <v>60</v>
      </c>
      <c r="Q880" s="22" t="n">
        <f aca="false">L880*Assumptions!$B$7+M880*Assumptions!$B$8+N880*Assumptions!$B$9+O880*Assumptions!$B$10+P880*Assumptions!$B$11</f>
        <v>50.4</v>
      </c>
      <c r="R880" s="11" t="str">
        <f aca="false">IF(Q880&lt;=33,"High Risk",IF(Q880&lt;=66,"Medium Risk","Low Risk"))</f>
        <v>Medium Risk</v>
      </c>
    </row>
    <row r="881" customFormat="false" ht="15" hidden="false" customHeight="true" outlineLevel="0" collapsed="false">
      <c r="A881" s="20" t="n">
        <f aca="false">'Raw Data'!A881</f>
        <v>880</v>
      </c>
      <c r="B881" s="20" t="n">
        <f aca="false">'Raw Data'!B881</f>
        <v>36</v>
      </c>
      <c r="C881" s="20" t="str">
        <f aca="false">'Raw Data'!C881</f>
        <v>male</v>
      </c>
      <c r="D881" s="20" t="n">
        <f aca="false">'Raw Data'!D881</f>
        <v>2</v>
      </c>
      <c r="E881" s="20" t="str">
        <f aca="false">'Raw Data'!E881</f>
        <v>own</v>
      </c>
      <c r="F881" s="20" t="str">
        <f aca="false">'Raw Data'!F881</f>
        <v>none</v>
      </c>
      <c r="G881" s="20" t="str">
        <f aca="false">'Raw Data'!G881</f>
        <v>none</v>
      </c>
      <c r="H881" s="20" t="n">
        <f aca="false">'Raw Data'!H881</f>
        <v>6742</v>
      </c>
      <c r="I881" s="20" t="n">
        <f aca="false">'Raw Data'!I881</f>
        <v>30</v>
      </c>
      <c r="J881" s="20" t="str">
        <f aca="false">'Raw Data'!J881</f>
        <v>radio/TV</v>
      </c>
      <c r="K881" s="21" t="n">
        <f aca="false">H881/I881</f>
        <v>224.733333333333</v>
      </c>
      <c r="L881" s="21" t="n">
        <f aca="false">100-MIN(K881/Assumptions!$B$14,1)*100</f>
        <v>43.8166666666667</v>
      </c>
      <c r="M881" s="21" t="n">
        <f aca="false">VLOOKUP(F881,Assumptions!$A$19:$B$23,2,0)</f>
        <v>40</v>
      </c>
      <c r="N881" s="21" t="n">
        <f aca="false">VLOOKUP(G881,Assumptions!$A$27:$B$30,2,0)</f>
        <v>50</v>
      </c>
      <c r="O881" s="21" t="n">
        <f aca="false">VLOOKUP(D881,Assumptions!$A$34:$B$37,2,0)</f>
        <v>66</v>
      </c>
      <c r="P881" s="21" t="n">
        <f aca="false">VLOOKUP(E881,Assumptions!$A$41:$B$43,2,0)</f>
        <v>100</v>
      </c>
      <c r="Q881" s="22" t="n">
        <f aca="false">L881*Assumptions!$B$7+M881*Assumptions!$B$8+N881*Assumptions!$B$9+O881*Assumptions!$B$10+P881*Assumptions!$B$11</f>
        <v>53.045</v>
      </c>
      <c r="R881" s="11" t="str">
        <f aca="false">IF(Q881&lt;=33,"High Risk",IF(Q881&lt;=66,"Medium Risk","Low Risk"))</f>
        <v>Medium Risk</v>
      </c>
    </row>
    <row r="882" customFormat="false" ht="15" hidden="false" customHeight="true" outlineLevel="0" collapsed="false">
      <c r="A882" s="20" t="n">
        <f aca="false">'Raw Data'!A882</f>
        <v>881</v>
      </c>
      <c r="B882" s="20" t="n">
        <f aca="false">'Raw Data'!B882</f>
        <v>38</v>
      </c>
      <c r="C882" s="20" t="str">
        <f aca="false">'Raw Data'!C882</f>
        <v>male</v>
      </c>
      <c r="D882" s="20" t="n">
        <f aca="false">'Raw Data'!D882</f>
        <v>3</v>
      </c>
      <c r="E882" s="20" t="str">
        <f aca="false">'Raw Data'!E882</f>
        <v>own</v>
      </c>
      <c r="F882" s="20" t="str">
        <f aca="false">'Raw Data'!F882</f>
        <v>little</v>
      </c>
      <c r="G882" s="20" t="str">
        <f aca="false">'Raw Data'!G882</f>
        <v>none</v>
      </c>
      <c r="H882" s="20" t="n">
        <f aca="false">'Raw Data'!H882</f>
        <v>7814</v>
      </c>
      <c r="I882" s="20" t="n">
        <f aca="false">'Raw Data'!I882</f>
        <v>24</v>
      </c>
      <c r="J882" s="20" t="str">
        <f aca="false">'Raw Data'!J882</f>
        <v>car</v>
      </c>
      <c r="K882" s="21" t="n">
        <f aca="false">H882/I882</f>
        <v>325.583333333333</v>
      </c>
      <c r="L882" s="21" t="n">
        <f aca="false">100-MIN(K882/Assumptions!$B$14,1)*100</f>
        <v>18.6041666666667</v>
      </c>
      <c r="M882" s="21" t="n">
        <f aca="false">VLOOKUP(F882,Assumptions!$A$19:$B$23,2,0)</f>
        <v>25</v>
      </c>
      <c r="N882" s="21" t="n">
        <f aca="false">VLOOKUP(G882,Assumptions!$A$27:$B$30,2,0)</f>
        <v>50</v>
      </c>
      <c r="O882" s="21" t="n">
        <f aca="false">VLOOKUP(D882,Assumptions!$A$34:$B$37,2,0)</f>
        <v>100</v>
      </c>
      <c r="P882" s="21" t="n">
        <f aca="false">VLOOKUP(E882,Assumptions!$A$41:$B$43,2,0)</f>
        <v>100</v>
      </c>
      <c r="Q882" s="22" t="n">
        <f aca="false">L882*Assumptions!$B$7+M882*Assumptions!$B$8+N882*Assumptions!$B$9+O882*Assumptions!$B$10+P882*Assumptions!$B$11</f>
        <v>46.83125</v>
      </c>
      <c r="R882" s="11" t="str">
        <f aca="false">IF(Q882&lt;=33,"High Risk",IF(Q882&lt;=66,"Medium Risk","Low Risk"))</f>
        <v>Medium Risk</v>
      </c>
    </row>
    <row r="883" customFormat="false" ht="15" hidden="false" customHeight="true" outlineLevel="0" collapsed="false">
      <c r="A883" s="20" t="n">
        <f aca="false">'Raw Data'!A883</f>
        <v>882</v>
      </c>
      <c r="B883" s="20" t="n">
        <f aca="false">'Raw Data'!B883</f>
        <v>48</v>
      </c>
      <c r="C883" s="20" t="str">
        <f aca="false">'Raw Data'!C883</f>
        <v>male</v>
      </c>
      <c r="D883" s="20" t="n">
        <f aca="false">'Raw Data'!D883</f>
        <v>2</v>
      </c>
      <c r="E883" s="20" t="str">
        <f aca="false">'Raw Data'!E883</f>
        <v>free</v>
      </c>
      <c r="F883" s="20" t="str">
        <f aca="false">'Raw Data'!F883</f>
        <v>none</v>
      </c>
      <c r="G883" s="20" t="str">
        <f aca="false">'Raw Data'!G883</f>
        <v>none</v>
      </c>
      <c r="H883" s="20" t="n">
        <f aca="false">'Raw Data'!H883</f>
        <v>9277</v>
      </c>
      <c r="I883" s="20" t="n">
        <f aca="false">'Raw Data'!I883</f>
        <v>24</v>
      </c>
      <c r="J883" s="20" t="str">
        <f aca="false">'Raw Data'!J883</f>
        <v>car</v>
      </c>
      <c r="K883" s="21" t="n">
        <f aca="false">H883/I883</f>
        <v>386.541666666667</v>
      </c>
      <c r="L883" s="21" t="n">
        <f aca="false">100-MIN(K883/Assumptions!$B$14,1)*100</f>
        <v>3.36458333333333</v>
      </c>
      <c r="M883" s="21" t="n">
        <f aca="false">VLOOKUP(F883,Assumptions!$A$19:$B$23,2,0)</f>
        <v>40</v>
      </c>
      <c r="N883" s="21" t="n">
        <f aca="false">VLOOKUP(G883,Assumptions!$A$27:$B$30,2,0)</f>
        <v>50</v>
      </c>
      <c r="O883" s="21" t="n">
        <f aca="false">VLOOKUP(D883,Assumptions!$A$34:$B$37,2,0)</f>
        <v>66</v>
      </c>
      <c r="P883" s="21" t="n">
        <f aca="false">VLOOKUP(E883,Assumptions!$A$41:$B$43,2,0)</f>
        <v>60</v>
      </c>
      <c r="Q883" s="22" t="n">
        <f aca="false">L883*Assumptions!$B$7+M883*Assumptions!$B$8+N883*Assumptions!$B$9+O883*Assumptions!$B$10+P883*Assumptions!$B$11</f>
        <v>36.909375</v>
      </c>
      <c r="R883" s="11" t="str">
        <f aca="false">IF(Q883&lt;=33,"High Risk",IF(Q883&lt;=66,"Medium Risk","Low Risk"))</f>
        <v>Medium Risk</v>
      </c>
    </row>
    <row r="884" customFormat="false" ht="15" hidden="false" customHeight="true" outlineLevel="0" collapsed="false">
      <c r="A884" s="20" t="n">
        <f aca="false">'Raw Data'!A884</f>
        <v>883</v>
      </c>
      <c r="B884" s="20" t="n">
        <f aca="false">'Raw Data'!B884</f>
        <v>36</v>
      </c>
      <c r="C884" s="20" t="str">
        <f aca="false">'Raw Data'!C884</f>
        <v>male</v>
      </c>
      <c r="D884" s="20" t="n">
        <f aca="false">'Raw Data'!D884</f>
        <v>2</v>
      </c>
      <c r="E884" s="20" t="str">
        <f aca="false">'Raw Data'!E884</f>
        <v>own</v>
      </c>
      <c r="F884" s="20" t="str">
        <f aca="false">'Raw Data'!F884</f>
        <v>none</v>
      </c>
      <c r="G884" s="20" t="str">
        <f aca="false">'Raw Data'!G884</f>
        <v>moderate</v>
      </c>
      <c r="H884" s="20" t="n">
        <f aca="false">'Raw Data'!H884</f>
        <v>2181</v>
      </c>
      <c r="I884" s="20" t="n">
        <f aca="false">'Raw Data'!I884</f>
        <v>30</v>
      </c>
      <c r="J884" s="20" t="str">
        <f aca="false">'Raw Data'!J884</f>
        <v>car</v>
      </c>
      <c r="K884" s="21" t="n">
        <f aca="false">H884/I884</f>
        <v>72.7</v>
      </c>
      <c r="L884" s="21" t="n">
        <f aca="false">100-MIN(K884/Assumptions!$B$14,1)*100</f>
        <v>81.825</v>
      </c>
      <c r="M884" s="21" t="n">
        <f aca="false">VLOOKUP(F884,Assumptions!$A$19:$B$23,2,0)</f>
        <v>40</v>
      </c>
      <c r="N884" s="21" t="n">
        <f aca="false">VLOOKUP(G884,Assumptions!$A$27:$B$30,2,0)</f>
        <v>60</v>
      </c>
      <c r="O884" s="21" t="n">
        <f aca="false">VLOOKUP(D884,Assumptions!$A$34:$B$37,2,0)</f>
        <v>66</v>
      </c>
      <c r="P884" s="21" t="n">
        <f aca="false">VLOOKUP(E884,Assumptions!$A$41:$B$43,2,0)</f>
        <v>100</v>
      </c>
      <c r="Q884" s="22" t="n">
        <f aca="false">L884*Assumptions!$B$7+M884*Assumptions!$B$8+N884*Assumptions!$B$9+O884*Assumptions!$B$10+P884*Assumptions!$B$11</f>
        <v>66.4475</v>
      </c>
      <c r="R884" s="11" t="str">
        <f aca="false">IF(Q884&lt;=33,"High Risk",IF(Q884&lt;=66,"Medium Risk","Low Risk"))</f>
        <v>Low Risk</v>
      </c>
    </row>
    <row r="885" customFormat="false" ht="15" hidden="false" customHeight="true" outlineLevel="0" collapsed="false">
      <c r="A885" s="20" t="n">
        <f aca="false">'Raw Data'!A885</f>
        <v>884</v>
      </c>
      <c r="B885" s="20" t="n">
        <f aca="false">'Raw Data'!B885</f>
        <v>65</v>
      </c>
      <c r="C885" s="20" t="str">
        <f aca="false">'Raw Data'!C885</f>
        <v>female</v>
      </c>
      <c r="D885" s="20" t="n">
        <f aca="false">'Raw Data'!D885</f>
        <v>0</v>
      </c>
      <c r="E885" s="20" t="str">
        <f aca="false">'Raw Data'!E885</f>
        <v>own</v>
      </c>
      <c r="F885" s="20" t="str">
        <f aca="false">'Raw Data'!F885</f>
        <v>little</v>
      </c>
      <c r="G885" s="20" t="str">
        <f aca="false">'Raw Data'!G885</f>
        <v>none</v>
      </c>
      <c r="H885" s="20" t="n">
        <f aca="false">'Raw Data'!H885</f>
        <v>1098</v>
      </c>
      <c r="I885" s="20" t="n">
        <f aca="false">'Raw Data'!I885</f>
        <v>18</v>
      </c>
      <c r="J885" s="20" t="str">
        <f aca="false">'Raw Data'!J885</f>
        <v>radio/TV</v>
      </c>
      <c r="K885" s="21" t="n">
        <f aca="false">H885/I885</f>
        <v>61</v>
      </c>
      <c r="L885" s="21" t="n">
        <f aca="false">100-MIN(K885/Assumptions!$B$14,1)*100</f>
        <v>84.75</v>
      </c>
      <c r="M885" s="21" t="n">
        <f aca="false">VLOOKUP(F885,Assumptions!$A$19:$B$23,2,0)</f>
        <v>25</v>
      </c>
      <c r="N885" s="21" t="n">
        <f aca="false">VLOOKUP(G885,Assumptions!$A$27:$B$30,2,0)</f>
        <v>50</v>
      </c>
      <c r="O885" s="21" t="n">
        <f aca="false">VLOOKUP(D885,Assumptions!$A$34:$B$37,2,0)</f>
        <v>0</v>
      </c>
      <c r="P885" s="21" t="n">
        <f aca="false">VLOOKUP(E885,Assumptions!$A$41:$B$43,2,0)</f>
        <v>100</v>
      </c>
      <c r="Q885" s="22" t="n">
        <f aca="false">L885*Assumptions!$B$7+M885*Assumptions!$B$8+N885*Assumptions!$B$9+O885*Assumptions!$B$10+P885*Assumptions!$B$11</f>
        <v>51.675</v>
      </c>
      <c r="R885" s="11" t="str">
        <f aca="false">IF(Q885&lt;=33,"High Risk",IF(Q885&lt;=66,"Medium Risk","Low Risk"))</f>
        <v>Medium Risk</v>
      </c>
    </row>
    <row r="886" customFormat="false" ht="15" hidden="false" customHeight="true" outlineLevel="0" collapsed="false">
      <c r="A886" s="20" t="n">
        <f aca="false">'Raw Data'!A886</f>
        <v>885</v>
      </c>
      <c r="B886" s="20" t="n">
        <f aca="false">'Raw Data'!B886</f>
        <v>43</v>
      </c>
      <c r="C886" s="20" t="str">
        <f aca="false">'Raw Data'!C886</f>
        <v>male</v>
      </c>
      <c r="D886" s="20" t="n">
        <f aca="false">'Raw Data'!D886</f>
        <v>2</v>
      </c>
      <c r="E886" s="20" t="str">
        <f aca="false">'Raw Data'!E886</f>
        <v>own</v>
      </c>
      <c r="F886" s="20" t="str">
        <f aca="false">'Raw Data'!F886</f>
        <v>little</v>
      </c>
      <c r="G886" s="20" t="str">
        <f aca="false">'Raw Data'!G886</f>
        <v>moderate</v>
      </c>
      <c r="H886" s="20" t="n">
        <f aca="false">'Raw Data'!H886</f>
        <v>4057</v>
      </c>
      <c r="I886" s="20" t="n">
        <f aca="false">'Raw Data'!I886</f>
        <v>24</v>
      </c>
      <c r="J886" s="20" t="str">
        <f aca="false">'Raw Data'!J886</f>
        <v>furniture/equipment</v>
      </c>
      <c r="K886" s="21" t="n">
        <f aca="false">H886/I886</f>
        <v>169.041666666667</v>
      </c>
      <c r="L886" s="21" t="n">
        <f aca="false">100-MIN(K886/Assumptions!$B$14,1)*100</f>
        <v>57.7395833333333</v>
      </c>
      <c r="M886" s="21" t="n">
        <f aca="false">VLOOKUP(F886,Assumptions!$A$19:$B$23,2,0)</f>
        <v>25</v>
      </c>
      <c r="N886" s="21" t="n">
        <f aca="false">VLOOKUP(G886,Assumptions!$A$27:$B$30,2,0)</f>
        <v>60</v>
      </c>
      <c r="O886" s="21" t="n">
        <f aca="false">VLOOKUP(D886,Assumptions!$A$34:$B$37,2,0)</f>
        <v>66</v>
      </c>
      <c r="P886" s="21" t="n">
        <f aca="false">VLOOKUP(E886,Assumptions!$A$41:$B$43,2,0)</f>
        <v>100</v>
      </c>
      <c r="Q886" s="22" t="n">
        <f aca="false">L886*Assumptions!$B$7+M886*Assumptions!$B$8+N886*Assumptions!$B$9+O886*Assumptions!$B$10+P886*Assumptions!$B$11</f>
        <v>55.471875</v>
      </c>
      <c r="R886" s="11" t="str">
        <f aca="false">IF(Q886&lt;=33,"High Risk",IF(Q886&lt;=66,"Medium Risk","Low Risk"))</f>
        <v>Medium Risk</v>
      </c>
    </row>
    <row r="887" customFormat="false" ht="15" hidden="false" customHeight="true" outlineLevel="0" collapsed="false">
      <c r="A887" s="20" t="n">
        <f aca="false">'Raw Data'!A887</f>
        <v>886</v>
      </c>
      <c r="B887" s="20" t="n">
        <f aca="false">'Raw Data'!B887</f>
        <v>53</v>
      </c>
      <c r="C887" s="20" t="str">
        <f aca="false">'Raw Data'!C887</f>
        <v>female</v>
      </c>
      <c r="D887" s="20" t="n">
        <f aca="false">'Raw Data'!D887</f>
        <v>2</v>
      </c>
      <c r="E887" s="20" t="str">
        <f aca="false">'Raw Data'!E887</f>
        <v>own</v>
      </c>
      <c r="F887" s="20" t="str">
        <f aca="false">'Raw Data'!F887</f>
        <v>little</v>
      </c>
      <c r="G887" s="20" t="str">
        <f aca="false">'Raw Data'!G887</f>
        <v>little</v>
      </c>
      <c r="H887" s="20" t="n">
        <f aca="false">'Raw Data'!H887</f>
        <v>795</v>
      </c>
      <c r="I887" s="20" t="n">
        <f aca="false">'Raw Data'!I887</f>
        <v>12</v>
      </c>
      <c r="J887" s="20" t="str">
        <f aca="false">'Raw Data'!J887</f>
        <v>education</v>
      </c>
      <c r="K887" s="21" t="n">
        <f aca="false">H887/I887</f>
        <v>66.25</v>
      </c>
      <c r="L887" s="21" t="n">
        <f aca="false">100-MIN(K887/Assumptions!$B$14,1)*100</f>
        <v>83.4375</v>
      </c>
      <c r="M887" s="21" t="n">
        <f aca="false">VLOOKUP(F887,Assumptions!$A$19:$B$23,2,0)</f>
        <v>25</v>
      </c>
      <c r="N887" s="21" t="n">
        <f aca="false">VLOOKUP(G887,Assumptions!$A$27:$B$30,2,0)</f>
        <v>25</v>
      </c>
      <c r="O887" s="21" t="n">
        <f aca="false">VLOOKUP(D887,Assumptions!$A$34:$B$37,2,0)</f>
        <v>66</v>
      </c>
      <c r="P887" s="21" t="n">
        <f aca="false">VLOOKUP(E887,Assumptions!$A$41:$B$43,2,0)</f>
        <v>100</v>
      </c>
      <c r="Q887" s="22" t="n">
        <f aca="false">L887*Assumptions!$B$7+M887*Assumptions!$B$8+N887*Assumptions!$B$9+O887*Assumptions!$B$10+P887*Assumptions!$B$11</f>
        <v>56.18125</v>
      </c>
      <c r="R887" s="11" t="str">
        <f aca="false">IF(Q887&lt;=33,"High Risk",IF(Q887&lt;=66,"Medium Risk","Low Risk"))</f>
        <v>Medium Risk</v>
      </c>
    </row>
    <row r="888" customFormat="false" ht="15" hidden="false" customHeight="true" outlineLevel="0" collapsed="false">
      <c r="A888" s="20" t="n">
        <f aca="false">'Raw Data'!A888</f>
        <v>887</v>
      </c>
      <c r="B888" s="20" t="n">
        <f aca="false">'Raw Data'!B888</f>
        <v>34</v>
      </c>
      <c r="C888" s="20" t="str">
        <f aca="false">'Raw Data'!C888</f>
        <v>male</v>
      </c>
      <c r="D888" s="20" t="n">
        <f aca="false">'Raw Data'!D888</f>
        <v>2</v>
      </c>
      <c r="E888" s="20" t="str">
        <f aca="false">'Raw Data'!E888</f>
        <v>own</v>
      </c>
      <c r="F888" s="20" t="str">
        <f aca="false">'Raw Data'!F888</f>
        <v>none</v>
      </c>
      <c r="G888" s="20" t="str">
        <f aca="false">'Raw Data'!G888</f>
        <v>moderate</v>
      </c>
      <c r="H888" s="20" t="n">
        <f aca="false">'Raw Data'!H888</f>
        <v>2825</v>
      </c>
      <c r="I888" s="20" t="n">
        <f aca="false">'Raw Data'!I888</f>
        <v>24</v>
      </c>
      <c r="J888" s="20" t="str">
        <f aca="false">'Raw Data'!J888</f>
        <v>business</v>
      </c>
      <c r="K888" s="21" t="n">
        <f aca="false">H888/I888</f>
        <v>117.708333333333</v>
      </c>
      <c r="L888" s="21" t="n">
        <f aca="false">100-MIN(K888/Assumptions!$B$14,1)*100</f>
        <v>70.5729166666667</v>
      </c>
      <c r="M888" s="21" t="n">
        <f aca="false">VLOOKUP(F888,Assumptions!$A$19:$B$23,2,0)</f>
        <v>40</v>
      </c>
      <c r="N888" s="21" t="n">
        <f aca="false">VLOOKUP(G888,Assumptions!$A$27:$B$30,2,0)</f>
        <v>60</v>
      </c>
      <c r="O888" s="21" t="n">
        <f aca="false">VLOOKUP(D888,Assumptions!$A$34:$B$37,2,0)</f>
        <v>66</v>
      </c>
      <c r="P888" s="21" t="n">
        <f aca="false">VLOOKUP(E888,Assumptions!$A$41:$B$43,2,0)</f>
        <v>100</v>
      </c>
      <c r="Q888" s="22" t="n">
        <f aca="false">L888*Assumptions!$B$7+M888*Assumptions!$B$8+N888*Assumptions!$B$9+O888*Assumptions!$B$10+P888*Assumptions!$B$11</f>
        <v>63.071875</v>
      </c>
      <c r="R888" s="11" t="str">
        <f aca="false">IF(Q888&lt;=33,"High Risk",IF(Q888&lt;=66,"Medium Risk","Low Risk"))</f>
        <v>Medium Risk</v>
      </c>
    </row>
    <row r="889" customFormat="false" ht="15" hidden="false" customHeight="true" outlineLevel="0" collapsed="false">
      <c r="A889" s="20" t="n">
        <f aca="false">'Raw Data'!A889</f>
        <v>888</v>
      </c>
      <c r="B889" s="20" t="n">
        <f aca="false">'Raw Data'!B889</f>
        <v>23</v>
      </c>
      <c r="C889" s="20" t="str">
        <f aca="false">'Raw Data'!C889</f>
        <v>male</v>
      </c>
      <c r="D889" s="20" t="n">
        <f aca="false">'Raw Data'!D889</f>
        <v>2</v>
      </c>
      <c r="E889" s="20" t="str">
        <f aca="false">'Raw Data'!E889</f>
        <v>own</v>
      </c>
      <c r="F889" s="20" t="str">
        <f aca="false">'Raw Data'!F889</f>
        <v>little</v>
      </c>
      <c r="G889" s="20" t="str">
        <f aca="false">'Raw Data'!G889</f>
        <v>moderate</v>
      </c>
      <c r="H889" s="20" t="n">
        <f aca="false">'Raw Data'!H889</f>
        <v>15672</v>
      </c>
      <c r="I889" s="20" t="n">
        <f aca="false">'Raw Data'!I889</f>
        <v>48</v>
      </c>
      <c r="J889" s="20" t="str">
        <f aca="false">'Raw Data'!J889</f>
        <v>business</v>
      </c>
      <c r="K889" s="21" t="n">
        <f aca="false">H889/I889</f>
        <v>326.5</v>
      </c>
      <c r="L889" s="21" t="n">
        <f aca="false">100-MIN(K889/Assumptions!$B$14,1)*100</f>
        <v>18.375</v>
      </c>
      <c r="M889" s="21" t="n">
        <f aca="false">VLOOKUP(F889,Assumptions!$A$19:$B$23,2,0)</f>
        <v>25</v>
      </c>
      <c r="N889" s="21" t="n">
        <f aca="false">VLOOKUP(G889,Assumptions!$A$27:$B$30,2,0)</f>
        <v>60</v>
      </c>
      <c r="O889" s="21" t="n">
        <f aca="false">VLOOKUP(D889,Assumptions!$A$34:$B$37,2,0)</f>
        <v>66</v>
      </c>
      <c r="P889" s="21" t="n">
        <f aca="false">VLOOKUP(E889,Assumptions!$A$41:$B$43,2,0)</f>
        <v>100</v>
      </c>
      <c r="Q889" s="22" t="n">
        <f aca="false">L889*Assumptions!$B$7+M889*Assumptions!$B$8+N889*Assumptions!$B$9+O889*Assumptions!$B$10+P889*Assumptions!$B$11</f>
        <v>43.6625</v>
      </c>
      <c r="R889" s="11" t="str">
        <f aca="false">IF(Q889&lt;=33,"High Risk",IF(Q889&lt;=66,"Medium Risk","Low Risk"))</f>
        <v>Medium Risk</v>
      </c>
    </row>
    <row r="890" customFormat="false" ht="15" hidden="false" customHeight="true" outlineLevel="0" collapsed="false">
      <c r="A890" s="20" t="n">
        <f aca="false">'Raw Data'!A890</f>
        <v>889</v>
      </c>
      <c r="B890" s="20" t="n">
        <f aca="false">'Raw Data'!B890</f>
        <v>34</v>
      </c>
      <c r="C890" s="20" t="str">
        <f aca="false">'Raw Data'!C890</f>
        <v>male</v>
      </c>
      <c r="D890" s="20" t="n">
        <f aca="false">'Raw Data'!D890</f>
        <v>3</v>
      </c>
      <c r="E890" s="20" t="str">
        <f aca="false">'Raw Data'!E890</f>
        <v>own</v>
      </c>
      <c r="F890" s="20" t="str">
        <f aca="false">'Raw Data'!F890</f>
        <v>little</v>
      </c>
      <c r="G890" s="20" t="str">
        <f aca="false">'Raw Data'!G890</f>
        <v>none</v>
      </c>
      <c r="H890" s="20" t="n">
        <f aca="false">'Raw Data'!H890</f>
        <v>6614</v>
      </c>
      <c r="I890" s="20" t="n">
        <f aca="false">'Raw Data'!I890</f>
        <v>36</v>
      </c>
      <c r="J890" s="20" t="str">
        <f aca="false">'Raw Data'!J890</f>
        <v>car</v>
      </c>
      <c r="K890" s="21" t="n">
        <f aca="false">H890/I890</f>
        <v>183.722222222222</v>
      </c>
      <c r="L890" s="21" t="n">
        <f aca="false">100-MIN(K890/Assumptions!$B$14,1)*100</f>
        <v>54.0694444444444</v>
      </c>
      <c r="M890" s="21" t="n">
        <f aca="false">VLOOKUP(F890,Assumptions!$A$19:$B$23,2,0)</f>
        <v>25</v>
      </c>
      <c r="N890" s="21" t="n">
        <f aca="false">VLOOKUP(G890,Assumptions!$A$27:$B$30,2,0)</f>
        <v>50</v>
      </c>
      <c r="O890" s="21" t="n">
        <f aca="false">VLOOKUP(D890,Assumptions!$A$34:$B$37,2,0)</f>
        <v>100</v>
      </c>
      <c r="P890" s="21" t="n">
        <f aca="false">VLOOKUP(E890,Assumptions!$A$41:$B$43,2,0)</f>
        <v>100</v>
      </c>
      <c r="Q890" s="22" t="n">
        <f aca="false">L890*Assumptions!$B$7+M890*Assumptions!$B$8+N890*Assumptions!$B$9+O890*Assumptions!$B$10+P890*Assumptions!$B$11</f>
        <v>57.4708333333333</v>
      </c>
      <c r="R890" s="11" t="str">
        <f aca="false">IF(Q890&lt;=33,"High Risk",IF(Q890&lt;=66,"Medium Risk","Low Risk"))</f>
        <v>Medium Risk</v>
      </c>
    </row>
    <row r="891" customFormat="false" ht="15" hidden="false" customHeight="true" outlineLevel="0" collapsed="false">
      <c r="A891" s="20" t="n">
        <f aca="false">'Raw Data'!A891</f>
        <v>890</v>
      </c>
      <c r="B891" s="20" t="n">
        <f aca="false">'Raw Data'!B891</f>
        <v>40</v>
      </c>
      <c r="C891" s="20" t="str">
        <f aca="false">'Raw Data'!C891</f>
        <v>male</v>
      </c>
      <c r="D891" s="20" t="n">
        <f aca="false">'Raw Data'!D891</f>
        <v>2</v>
      </c>
      <c r="E891" s="20" t="str">
        <f aca="false">'Raw Data'!E891</f>
        <v>rent</v>
      </c>
      <c r="F891" s="20" t="str">
        <f aca="false">'Raw Data'!F891</f>
        <v>none</v>
      </c>
      <c r="G891" s="20" t="str">
        <f aca="false">'Raw Data'!G891</f>
        <v>none</v>
      </c>
      <c r="H891" s="20" t="n">
        <f aca="false">'Raw Data'!H891</f>
        <v>7824</v>
      </c>
      <c r="I891" s="20" t="n">
        <f aca="false">'Raw Data'!I891</f>
        <v>28</v>
      </c>
      <c r="J891" s="20" t="str">
        <f aca="false">'Raw Data'!J891</f>
        <v>car</v>
      </c>
      <c r="K891" s="21" t="n">
        <f aca="false">H891/I891</f>
        <v>279.428571428571</v>
      </c>
      <c r="L891" s="21" t="n">
        <f aca="false">100-MIN(K891/Assumptions!$B$14,1)*100</f>
        <v>30.1428571428571</v>
      </c>
      <c r="M891" s="21" t="n">
        <f aca="false">VLOOKUP(F891,Assumptions!$A$19:$B$23,2,0)</f>
        <v>40</v>
      </c>
      <c r="N891" s="21" t="n">
        <f aca="false">VLOOKUP(G891,Assumptions!$A$27:$B$30,2,0)</f>
        <v>50</v>
      </c>
      <c r="O891" s="21" t="n">
        <f aca="false">VLOOKUP(D891,Assumptions!$A$34:$B$37,2,0)</f>
        <v>66</v>
      </c>
      <c r="P891" s="21" t="n">
        <f aca="false">VLOOKUP(E891,Assumptions!$A$41:$B$43,2,0)</f>
        <v>30</v>
      </c>
      <c r="Q891" s="22" t="n">
        <f aca="false">L891*Assumptions!$B$7+M891*Assumptions!$B$8+N891*Assumptions!$B$9+O891*Assumptions!$B$10+P891*Assumptions!$B$11</f>
        <v>41.9428571428571</v>
      </c>
      <c r="R891" s="11" t="str">
        <f aca="false">IF(Q891&lt;=33,"High Risk",IF(Q891&lt;=66,"Medium Risk","Low Risk"))</f>
        <v>Medium Risk</v>
      </c>
    </row>
    <row r="892" customFormat="false" ht="15" hidden="false" customHeight="true" outlineLevel="0" collapsed="false">
      <c r="A892" s="20" t="n">
        <f aca="false">'Raw Data'!A892</f>
        <v>891</v>
      </c>
      <c r="B892" s="20" t="n">
        <f aca="false">'Raw Data'!B892</f>
        <v>43</v>
      </c>
      <c r="C892" s="20" t="str">
        <f aca="false">'Raw Data'!C892</f>
        <v>male</v>
      </c>
      <c r="D892" s="20" t="n">
        <f aca="false">'Raw Data'!D892</f>
        <v>3</v>
      </c>
      <c r="E892" s="20" t="str">
        <f aca="false">'Raw Data'!E892</f>
        <v>own</v>
      </c>
      <c r="F892" s="20" t="str">
        <f aca="false">'Raw Data'!F892</f>
        <v>little</v>
      </c>
      <c r="G892" s="20" t="str">
        <f aca="false">'Raw Data'!G892</f>
        <v>little</v>
      </c>
      <c r="H892" s="20" t="n">
        <f aca="false">'Raw Data'!H892</f>
        <v>2442</v>
      </c>
      <c r="I892" s="20" t="n">
        <f aca="false">'Raw Data'!I892</f>
        <v>27</v>
      </c>
      <c r="J892" s="20" t="str">
        <f aca="false">'Raw Data'!J892</f>
        <v>business</v>
      </c>
      <c r="K892" s="21" t="n">
        <f aca="false">H892/I892</f>
        <v>90.4444444444444</v>
      </c>
      <c r="L892" s="21" t="n">
        <f aca="false">100-MIN(K892/Assumptions!$B$14,1)*100</f>
        <v>77.3888888888889</v>
      </c>
      <c r="M892" s="21" t="n">
        <f aca="false">VLOOKUP(F892,Assumptions!$A$19:$B$23,2,0)</f>
        <v>25</v>
      </c>
      <c r="N892" s="21" t="n">
        <f aca="false">VLOOKUP(G892,Assumptions!$A$27:$B$30,2,0)</f>
        <v>25</v>
      </c>
      <c r="O892" s="21" t="n">
        <f aca="false">VLOOKUP(D892,Assumptions!$A$34:$B$37,2,0)</f>
        <v>100</v>
      </c>
      <c r="P892" s="21" t="n">
        <f aca="false">VLOOKUP(E892,Assumptions!$A$41:$B$43,2,0)</f>
        <v>100</v>
      </c>
      <c r="Q892" s="22" t="n">
        <f aca="false">L892*Assumptions!$B$7+M892*Assumptions!$B$8+N892*Assumptions!$B$9+O892*Assumptions!$B$10+P892*Assumptions!$B$11</f>
        <v>59.4666666666667</v>
      </c>
      <c r="R892" s="11" t="str">
        <f aca="false">IF(Q892&lt;=33,"High Risk",IF(Q892&lt;=66,"Medium Risk","Low Risk"))</f>
        <v>Medium Risk</v>
      </c>
    </row>
    <row r="893" customFormat="false" ht="15" hidden="false" customHeight="true" outlineLevel="0" collapsed="false">
      <c r="A893" s="20" t="n">
        <f aca="false">'Raw Data'!A893</f>
        <v>892</v>
      </c>
      <c r="B893" s="20" t="n">
        <f aca="false">'Raw Data'!B893</f>
        <v>46</v>
      </c>
      <c r="C893" s="20" t="str">
        <f aca="false">'Raw Data'!C893</f>
        <v>male</v>
      </c>
      <c r="D893" s="20" t="n">
        <f aca="false">'Raw Data'!D893</f>
        <v>2</v>
      </c>
      <c r="E893" s="20" t="str">
        <f aca="false">'Raw Data'!E893</f>
        <v>own</v>
      </c>
      <c r="F893" s="20" t="str">
        <f aca="false">'Raw Data'!F893</f>
        <v>little</v>
      </c>
      <c r="G893" s="20" t="str">
        <f aca="false">'Raw Data'!G893</f>
        <v>none</v>
      </c>
      <c r="H893" s="20" t="n">
        <f aca="false">'Raw Data'!H893</f>
        <v>1829</v>
      </c>
      <c r="I893" s="20" t="n">
        <f aca="false">'Raw Data'!I893</f>
        <v>15</v>
      </c>
      <c r="J893" s="20" t="str">
        <f aca="false">'Raw Data'!J893</f>
        <v>radio/TV</v>
      </c>
      <c r="K893" s="21" t="n">
        <f aca="false">H893/I893</f>
        <v>121.933333333333</v>
      </c>
      <c r="L893" s="21" t="n">
        <f aca="false">100-MIN(K893/Assumptions!$B$14,1)*100</f>
        <v>69.5166666666667</v>
      </c>
      <c r="M893" s="21" t="n">
        <f aca="false">VLOOKUP(F893,Assumptions!$A$19:$B$23,2,0)</f>
        <v>25</v>
      </c>
      <c r="N893" s="21" t="n">
        <f aca="false">VLOOKUP(G893,Assumptions!$A$27:$B$30,2,0)</f>
        <v>50</v>
      </c>
      <c r="O893" s="21" t="n">
        <f aca="false">VLOOKUP(D893,Assumptions!$A$34:$B$37,2,0)</f>
        <v>66</v>
      </c>
      <c r="P893" s="21" t="n">
        <f aca="false">VLOOKUP(E893,Assumptions!$A$41:$B$43,2,0)</f>
        <v>100</v>
      </c>
      <c r="Q893" s="22" t="n">
        <f aca="false">L893*Assumptions!$B$7+M893*Assumptions!$B$8+N893*Assumptions!$B$9+O893*Assumptions!$B$10+P893*Assumptions!$B$11</f>
        <v>57.005</v>
      </c>
      <c r="R893" s="11" t="str">
        <f aca="false">IF(Q893&lt;=33,"High Risk",IF(Q893&lt;=66,"Medium Risk","Low Risk"))</f>
        <v>Medium Risk</v>
      </c>
    </row>
    <row r="894" customFormat="false" ht="15" hidden="false" customHeight="true" outlineLevel="0" collapsed="false">
      <c r="A894" s="20" t="n">
        <f aca="false">'Raw Data'!A894</f>
        <v>893</v>
      </c>
      <c r="B894" s="20" t="n">
        <f aca="false">'Raw Data'!B894</f>
        <v>38</v>
      </c>
      <c r="C894" s="20" t="str">
        <f aca="false">'Raw Data'!C894</f>
        <v>male</v>
      </c>
      <c r="D894" s="20" t="n">
        <f aca="false">'Raw Data'!D894</f>
        <v>1</v>
      </c>
      <c r="E894" s="20" t="str">
        <f aca="false">'Raw Data'!E894</f>
        <v>own</v>
      </c>
      <c r="F894" s="20" t="str">
        <f aca="false">'Raw Data'!F894</f>
        <v>little</v>
      </c>
      <c r="G894" s="20" t="str">
        <f aca="false">'Raw Data'!G894</f>
        <v>little</v>
      </c>
      <c r="H894" s="20" t="n">
        <f aca="false">'Raw Data'!H894</f>
        <v>2171</v>
      </c>
      <c r="I894" s="20" t="n">
        <f aca="false">'Raw Data'!I894</f>
        <v>12</v>
      </c>
      <c r="J894" s="20" t="str">
        <f aca="false">'Raw Data'!J894</f>
        <v>car</v>
      </c>
      <c r="K894" s="21" t="n">
        <f aca="false">H894/I894</f>
        <v>180.916666666667</v>
      </c>
      <c r="L894" s="21" t="n">
        <f aca="false">100-MIN(K894/Assumptions!$B$14,1)*100</f>
        <v>54.7708333333333</v>
      </c>
      <c r="M894" s="21" t="n">
        <f aca="false">VLOOKUP(F894,Assumptions!$A$19:$B$23,2,0)</f>
        <v>25</v>
      </c>
      <c r="N894" s="21" t="n">
        <f aca="false">VLOOKUP(G894,Assumptions!$A$27:$B$30,2,0)</f>
        <v>25</v>
      </c>
      <c r="O894" s="21" t="n">
        <f aca="false">VLOOKUP(D894,Assumptions!$A$34:$B$37,2,0)</f>
        <v>33</v>
      </c>
      <c r="P894" s="21" t="n">
        <f aca="false">VLOOKUP(E894,Assumptions!$A$41:$B$43,2,0)</f>
        <v>100</v>
      </c>
      <c r="Q894" s="22" t="n">
        <f aca="false">L894*Assumptions!$B$7+M894*Assumptions!$B$8+N894*Assumptions!$B$9+O894*Assumptions!$B$10+P894*Assumptions!$B$11</f>
        <v>42.63125</v>
      </c>
      <c r="R894" s="11" t="str">
        <f aca="false">IF(Q894&lt;=33,"High Risk",IF(Q894&lt;=66,"Medium Risk","Low Risk"))</f>
        <v>Medium Risk</v>
      </c>
    </row>
    <row r="895" customFormat="false" ht="15" hidden="false" customHeight="true" outlineLevel="0" collapsed="false">
      <c r="A895" s="20" t="n">
        <f aca="false">'Raw Data'!A895</f>
        <v>894</v>
      </c>
      <c r="B895" s="20" t="n">
        <f aca="false">'Raw Data'!B895</f>
        <v>34</v>
      </c>
      <c r="C895" s="20" t="str">
        <f aca="false">'Raw Data'!C895</f>
        <v>male</v>
      </c>
      <c r="D895" s="20" t="n">
        <f aca="false">'Raw Data'!D895</f>
        <v>2</v>
      </c>
      <c r="E895" s="20" t="str">
        <f aca="false">'Raw Data'!E895</f>
        <v>own</v>
      </c>
      <c r="F895" s="20" t="str">
        <f aca="false">'Raw Data'!F895</f>
        <v>little</v>
      </c>
      <c r="G895" s="20" t="str">
        <f aca="false">'Raw Data'!G895</f>
        <v>moderate</v>
      </c>
      <c r="H895" s="20" t="n">
        <f aca="false">'Raw Data'!H895</f>
        <v>5800</v>
      </c>
      <c r="I895" s="20" t="n">
        <f aca="false">'Raw Data'!I895</f>
        <v>36</v>
      </c>
      <c r="J895" s="20" t="str">
        <f aca="false">'Raw Data'!J895</f>
        <v>car</v>
      </c>
      <c r="K895" s="21" t="n">
        <f aca="false">H895/I895</f>
        <v>161.111111111111</v>
      </c>
      <c r="L895" s="21" t="n">
        <f aca="false">100-MIN(K895/Assumptions!$B$14,1)*100</f>
        <v>59.7222222222222</v>
      </c>
      <c r="M895" s="21" t="n">
        <f aca="false">VLOOKUP(F895,Assumptions!$A$19:$B$23,2,0)</f>
        <v>25</v>
      </c>
      <c r="N895" s="21" t="n">
        <f aca="false">VLOOKUP(G895,Assumptions!$A$27:$B$30,2,0)</f>
        <v>60</v>
      </c>
      <c r="O895" s="21" t="n">
        <f aca="false">VLOOKUP(D895,Assumptions!$A$34:$B$37,2,0)</f>
        <v>66</v>
      </c>
      <c r="P895" s="21" t="n">
        <f aca="false">VLOOKUP(E895,Assumptions!$A$41:$B$43,2,0)</f>
        <v>100</v>
      </c>
      <c r="Q895" s="22" t="n">
        <f aca="false">L895*Assumptions!$B$7+M895*Assumptions!$B$8+N895*Assumptions!$B$9+O895*Assumptions!$B$10+P895*Assumptions!$B$11</f>
        <v>56.0666666666667</v>
      </c>
      <c r="R895" s="11" t="str">
        <f aca="false">IF(Q895&lt;=33,"High Risk",IF(Q895&lt;=66,"Medium Risk","Low Risk"))</f>
        <v>Medium Risk</v>
      </c>
    </row>
    <row r="896" customFormat="false" ht="15" hidden="false" customHeight="true" outlineLevel="0" collapsed="false">
      <c r="A896" s="20" t="n">
        <f aca="false">'Raw Data'!A896</f>
        <v>895</v>
      </c>
      <c r="B896" s="20" t="n">
        <f aca="false">'Raw Data'!B896</f>
        <v>29</v>
      </c>
      <c r="C896" s="20" t="str">
        <f aca="false">'Raw Data'!C896</f>
        <v>male</v>
      </c>
      <c r="D896" s="20" t="n">
        <f aca="false">'Raw Data'!D896</f>
        <v>2</v>
      </c>
      <c r="E896" s="20" t="str">
        <f aca="false">'Raw Data'!E896</f>
        <v>own</v>
      </c>
      <c r="F896" s="20" t="str">
        <f aca="false">'Raw Data'!F896</f>
        <v>none</v>
      </c>
      <c r="G896" s="20" t="str">
        <f aca="false">'Raw Data'!G896</f>
        <v>none</v>
      </c>
      <c r="H896" s="20" t="n">
        <f aca="false">'Raw Data'!H896</f>
        <v>1169</v>
      </c>
      <c r="I896" s="20" t="n">
        <f aca="false">'Raw Data'!I896</f>
        <v>18</v>
      </c>
      <c r="J896" s="20" t="str">
        <f aca="false">'Raw Data'!J896</f>
        <v>radio/TV</v>
      </c>
      <c r="K896" s="21" t="n">
        <f aca="false">H896/I896</f>
        <v>64.9444444444444</v>
      </c>
      <c r="L896" s="21" t="n">
        <f aca="false">100-MIN(K896/Assumptions!$B$14,1)*100</f>
        <v>83.7638888888889</v>
      </c>
      <c r="M896" s="21" t="n">
        <f aca="false">VLOOKUP(F896,Assumptions!$A$19:$B$23,2,0)</f>
        <v>40</v>
      </c>
      <c r="N896" s="21" t="n">
        <f aca="false">VLOOKUP(G896,Assumptions!$A$27:$B$30,2,0)</f>
        <v>50</v>
      </c>
      <c r="O896" s="21" t="n">
        <f aca="false">VLOOKUP(D896,Assumptions!$A$34:$B$37,2,0)</f>
        <v>66</v>
      </c>
      <c r="P896" s="21" t="n">
        <f aca="false">VLOOKUP(E896,Assumptions!$A$41:$B$43,2,0)</f>
        <v>100</v>
      </c>
      <c r="Q896" s="22" t="n">
        <f aca="false">L896*Assumptions!$B$7+M896*Assumptions!$B$8+N896*Assumptions!$B$9+O896*Assumptions!$B$10+P896*Assumptions!$B$11</f>
        <v>65.0291666666667</v>
      </c>
      <c r="R896" s="11" t="str">
        <f aca="false">IF(Q896&lt;=33,"High Risk",IF(Q896&lt;=66,"Medium Risk","Low Risk"))</f>
        <v>Medium Risk</v>
      </c>
    </row>
    <row r="897" customFormat="false" ht="15" hidden="false" customHeight="true" outlineLevel="0" collapsed="false">
      <c r="A897" s="20" t="n">
        <f aca="false">'Raw Data'!A897</f>
        <v>896</v>
      </c>
      <c r="B897" s="20" t="n">
        <f aca="false">'Raw Data'!B897</f>
        <v>31</v>
      </c>
      <c r="C897" s="20" t="str">
        <f aca="false">'Raw Data'!C897</f>
        <v>male</v>
      </c>
      <c r="D897" s="20" t="n">
        <f aca="false">'Raw Data'!D897</f>
        <v>3</v>
      </c>
      <c r="E897" s="20" t="str">
        <f aca="false">'Raw Data'!E897</f>
        <v>own</v>
      </c>
      <c r="F897" s="20" t="str">
        <f aca="false">'Raw Data'!F897</f>
        <v>none</v>
      </c>
      <c r="G897" s="20" t="str">
        <f aca="false">'Raw Data'!G897</f>
        <v>none</v>
      </c>
      <c r="H897" s="20" t="n">
        <f aca="false">'Raw Data'!H897</f>
        <v>8947</v>
      </c>
      <c r="I897" s="20" t="n">
        <f aca="false">'Raw Data'!I897</f>
        <v>36</v>
      </c>
      <c r="J897" s="20" t="str">
        <f aca="false">'Raw Data'!J897</f>
        <v>car</v>
      </c>
      <c r="K897" s="21" t="n">
        <f aca="false">H897/I897</f>
        <v>248.527777777778</v>
      </c>
      <c r="L897" s="21" t="n">
        <f aca="false">100-MIN(K897/Assumptions!$B$14,1)*100</f>
        <v>37.8680555555556</v>
      </c>
      <c r="M897" s="21" t="n">
        <f aca="false">VLOOKUP(F897,Assumptions!$A$19:$B$23,2,0)</f>
        <v>40</v>
      </c>
      <c r="N897" s="21" t="n">
        <f aca="false">VLOOKUP(G897,Assumptions!$A$27:$B$30,2,0)</f>
        <v>50</v>
      </c>
      <c r="O897" s="21" t="n">
        <f aca="false">VLOOKUP(D897,Assumptions!$A$34:$B$37,2,0)</f>
        <v>100</v>
      </c>
      <c r="P897" s="21" t="n">
        <f aca="false">VLOOKUP(E897,Assumptions!$A$41:$B$43,2,0)</f>
        <v>100</v>
      </c>
      <c r="Q897" s="22" t="n">
        <f aca="false">L897*Assumptions!$B$7+M897*Assumptions!$B$8+N897*Assumptions!$B$9+O897*Assumptions!$B$10+P897*Assumptions!$B$11</f>
        <v>56.3604166666667</v>
      </c>
      <c r="R897" s="11" t="str">
        <f aca="false">IF(Q897&lt;=33,"High Risk",IF(Q897&lt;=66,"Medium Risk","Low Risk"))</f>
        <v>Medium Risk</v>
      </c>
    </row>
    <row r="898" customFormat="false" ht="15" hidden="false" customHeight="true" outlineLevel="0" collapsed="false">
      <c r="A898" s="20" t="n">
        <f aca="false">'Raw Data'!A898</f>
        <v>897</v>
      </c>
      <c r="B898" s="20" t="n">
        <f aca="false">'Raw Data'!B898</f>
        <v>28</v>
      </c>
      <c r="C898" s="20" t="str">
        <f aca="false">'Raw Data'!C898</f>
        <v>female</v>
      </c>
      <c r="D898" s="20" t="n">
        <f aca="false">'Raw Data'!D898</f>
        <v>3</v>
      </c>
      <c r="E898" s="20" t="str">
        <f aca="false">'Raw Data'!E898</f>
        <v>rent</v>
      </c>
      <c r="F898" s="20" t="str">
        <f aca="false">'Raw Data'!F898</f>
        <v>little</v>
      </c>
      <c r="G898" s="20" t="str">
        <f aca="false">'Raw Data'!G898</f>
        <v>little</v>
      </c>
      <c r="H898" s="20" t="n">
        <f aca="false">'Raw Data'!H898</f>
        <v>2606</v>
      </c>
      <c r="I898" s="20" t="n">
        <f aca="false">'Raw Data'!I898</f>
        <v>21</v>
      </c>
      <c r="J898" s="20" t="str">
        <f aca="false">'Raw Data'!J898</f>
        <v>radio/TV</v>
      </c>
      <c r="K898" s="21" t="n">
        <f aca="false">H898/I898</f>
        <v>124.095238095238</v>
      </c>
      <c r="L898" s="21" t="n">
        <f aca="false">100-MIN(K898/Assumptions!$B$14,1)*100</f>
        <v>68.9761904761905</v>
      </c>
      <c r="M898" s="21" t="n">
        <f aca="false">VLOOKUP(F898,Assumptions!$A$19:$B$23,2,0)</f>
        <v>25</v>
      </c>
      <c r="N898" s="21" t="n">
        <f aca="false">VLOOKUP(G898,Assumptions!$A$27:$B$30,2,0)</f>
        <v>25</v>
      </c>
      <c r="O898" s="21" t="n">
        <f aca="false">VLOOKUP(D898,Assumptions!$A$34:$B$37,2,0)</f>
        <v>100</v>
      </c>
      <c r="P898" s="21" t="n">
        <f aca="false">VLOOKUP(E898,Assumptions!$A$41:$B$43,2,0)</f>
        <v>30</v>
      </c>
      <c r="Q898" s="22" t="n">
        <f aca="false">L898*Assumptions!$B$7+M898*Assumptions!$B$8+N898*Assumptions!$B$9+O898*Assumptions!$B$10+P898*Assumptions!$B$11</f>
        <v>49.9428571428571</v>
      </c>
      <c r="R898" s="11" t="str">
        <f aca="false">IF(Q898&lt;=33,"High Risk",IF(Q898&lt;=66,"Medium Risk","Low Risk"))</f>
        <v>Medium Risk</v>
      </c>
    </row>
    <row r="899" customFormat="false" ht="15" hidden="false" customHeight="true" outlineLevel="0" collapsed="false">
      <c r="A899" s="20" t="n">
        <f aca="false">'Raw Data'!A899</f>
        <v>898</v>
      </c>
      <c r="B899" s="20" t="n">
        <f aca="false">'Raw Data'!B899</f>
        <v>35</v>
      </c>
      <c r="C899" s="20" t="str">
        <f aca="false">'Raw Data'!C899</f>
        <v>female</v>
      </c>
      <c r="D899" s="20" t="n">
        <f aca="false">'Raw Data'!D899</f>
        <v>2</v>
      </c>
      <c r="E899" s="20" t="str">
        <f aca="false">'Raw Data'!E899</f>
        <v>own</v>
      </c>
      <c r="F899" s="20" t="str">
        <f aca="false">'Raw Data'!F899</f>
        <v>rich</v>
      </c>
      <c r="G899" s="20" t="str">
        <f aca="false">'Raw Data'!G899</f>
        <v>none</v>
      </c>
      <c r="H899" s="20" t="n">
        <f aca="false">'Raw Data'!H899</f>
        <v>1592</v>
      </c>
      <c r="I899" s="20" t="n">
        <f aca="false">'Raw Data'!I899</f>
        <v>12</v>
      </c>
      <c r="J899" s="20" t="str">
        <f aca="false">'Raw Data'!J899</f>
        <v>furniture/equipment</v>
      </c>
      <c r="K899" s="21" t="n">
        <f aca="false">H899/I899</f>
        <v>132.666666666667</v>
      </c>
      <c r="L899" s="21" t="n">
        <f aca="false">100-MIN(K899/Assumptions!$B$14,1)*100</f>
        <v>66.8333333333333</v>
      </c>
      <c r="M899" s="21" t="n">
        <f aca="false">VLOOKUP(F899,Assumptions!$A$19:$B$23,2,0)</f>
        <v>100</v>
      </c>
      <c r="N899" s="21" t="n">
        <f aca="false">VLOOKUP(G899,Assumptions!$A$27:$B$30,2,0)</f>
        <v>50</v>
      </c>
      <c r="O899" s="21" t="n">
        <f aca="false">VLOOKUP(D899,Assumptions!$A$34:$B$37,2,0)</f>
        <v>66</v>
      </c>
      <c r="P899" s="21" t="n">
        <f aca="false">VLOOKUP(E899,Assumptions!$A$41:$B$43,2,0)</f>
        <v>100</v>
      </c>
      <c r="Q899" s="22" t="n">
        <f aca="false">L899*Assumptions!$B$7+M899*Assumptions!$B$8+N899*Assumptions!$B$9+O899*Assumptions!$B$10+P899*Assumptions!$B$11</f>
        <v>74.95</v>
      </c>
      <c r="R899" s="11" t="str">
        <f aca="false">IF(Q899&lt;=33,"High Risk",IF(Q899&lt;=66,"Medium Risk","Low Risk"))</f>
        <v>Low Risk</v>
      </c>
    </row>
    <row r="900" customFormat="false" ht="15" hidden="false" customHeight="true" outlineLevel="0" collapsed="false">
      <c r="A900" s="20" t="n">
        <f aca="false">'Raw Data'!A900</f>
        <v>899</v>
      </c>
      <c r="B900" s="20" t="n">
        <f aca="false">'Raw Data'!B900</f>
        <v>33</v>
      </c>
      <c r="C900" s="20" t="str">
        <f aca="false">'Raw Data'!C900</f>
        <v>female</v>
      </c>
      <c r="D900" s="20" t="n">
        <f aca="false">'Raw Data'!D900</f>
        <v>1</v>
      </c>
      <c r="E900" s="20" t="str">
        <f aca="false">'Raw Data'!E900</f>
        <v>rent</v>
      </c>
      <c r="F900" s="20" t="str">
        <f aca="false">'Raw Data'!F900</f>
        <v>none</v>
      </c>
      <c r="G900" s="20" t="str">
        <f aca="false">'Raw Data'!G900</f>
        <v>none</v>
      </c>
      <c r="H900" s="20" t="n">
        <f aca="false">'Raw Data'!H900</f>
        <v>2186</v>
      </c>
      <c r="I900" s="20" t="n">
        <f aca="false">'Raw Data'!I900</f>
        <v>15</v>
      </c>
      <c r="J900" s="20" t="str">
        <f aca="false">'Raw Data'!J900</f>
        <v>furniture/equipment</v>
      </c>
      <c r="K900" s="21" t="n">
        <f aca="false">H900/I900</f>
        <v>145.733333333333</v>
      </c>
      <c r="L900" s="21" t="n">
        <f aca="false">100-MIN(K900/Assumptions!$B$14,1)*100</f>
        <v>63.5666666666667</v>
      </c>
      <c r="M900" s="21" t="n">
        <f aca="false">VLOOKUP(F900,Assumptions!$A$19:$B$23,2,0)</f>
        <v>40</v>
      </c>
      <c r="N900" s="21" t="n">
        <f aca="false">VLOOKUP(G900,Assumptions!$A$27:$B$30,2,0)</f>
        <v>50</v>
      </c>
      <c r="O900" s="21" t="n">
        <f aca="false">VLOOKUP(D900,Assumptions!$A$34:$B$37,2,0)</f>
        <v>33</v>
      </c>
      <c r="P900" s="21" t="n">
        <f aca="false">VLOOKUP(E900,Assumptions!$A$41:$B$43,2,0)</f>
        <v>30</v>
      </c>
      <c r="Q900" s="22" t="n">
        <f aca="false">L900*Assumptions!$B$7+M900*Assumptions!$B$8+N900*Assumptions!$B$9+O900*Assumptions!$B$10+P900*Assumptions!$B$11</f>
        <v>47.02</v>
      </c>
      <c r="R900" s="11" t="str">
        <f aca="false">IF(Q900&lt;=33,"High Risk",IF(Q900&lt;=66,"Medium Risk","Low Risk"))</f>
        <v>Medium Risk</v>
      </c>
    </row>
    <row r="901" customFormat="false" ht="15" hidden="false" customHeight="true" outlineLevel="0" collapsed="false">
      <c r="A901" s="20" t="n">
        <f aca="false">'Raw Data'!A901</f>
        <v>900</v>
      </c>
      <c r="B901" s="20" t="n">
        <f aca="false">'Raw Data'!B901</f>
        <v>42</v>
      </c>
      <c r="C901" s="20" t="str">
        <f aca="false">'Raw Data'!C901</f>
        <v>male</v>
      </c>
      <c r="D901" s="20" t="n">
        <f aca="false">'Raw Data'!D901</f>
        <v>2</v>
      </c>
      <c r="E901" s="20" t="str">
        <f aca="false">'Raw Data'!E901</f>
        <v>own</v>
      </c>
      <c r="F901" s="20" t="str">
        <f aca="false">'Raw Data'!F901</f>
        <v>little</v>
      </c>
      <c r="G901" s="20" t="str">
        <f aca="false">'Raw Data'!G901</f>
        <v>little</v>
      </c>
      <c r="H901" s="20" t="n">
        <f aca="false">'Raw Data'!H901</f>
        <v>4153</v>
      </c>
      <c r="I901" s="20" t="n">
        <f aca="false">'Raw Data'!I901</f>
        <v>18</v>
      </c>
      <c r="J901" s="20" t="str">
        <f aca="false">'Raw Data'!J901</f>
        <v>furniture/equipment</v>
      </c>
      <c r="K901" s="21" t="n">
        <f aca="false">H901/I901</f>
        <v>230.722222222222</v>
      </c>
      <c r="L901" s="21" t="n">
        <f aca="false">100-MIN(K901/Assumptions!$B$14,1)*100</f>
        <v>42.3194444444444</v>
      </c>
      <c r="M901" s="21" t="n">
        <f aca="false">VLOOKUP(F901,Assumptions!$A$19:$B$23,2,0)</f>
        <v>25</v>
      </c>
      <c r="N901" s="21" t="n">
        <f aca="false">VLOOKUP(G901,Assumptions!$A$27:$B$30,2,0)</f>
        <v>25</v>
      </c>
      <c r="O901" s="21" t="n">
        <f aca="false">VLOOKUP(D901,Assumptions!$A$34:$B$37,2,0)</f>
        <v>66</v>
      </c>
      <c r="P901" s="21" t="n">
        <f aca="false">VLOOKUP(E901,Assumptions!$A$41:$B$43,2,0)</f>
        <v>100</v>
      </c>
      <c r="Q901" s="22" t="n">
        <f aca="false">L901*Assumptions!$B$7+M901*Assumptions!$B$8+N901*Assumptions!$B$9+O901*Assumptions!$B$10+P901*Assumptions!$B$11</f>
        <v>43.8458333333333</v>
      </c>
      <c r="R901" s="11" t="str">
        <f aca="false">IF(Q901&lt;=33,"High Risk",IF(Q901&lt;=66,"Medium Risk","Low Risk"))</f>
        <v>Medium Risk</v>
      </c>
    </row>
    <row r="902" customFormat="false" ht="15" hidden="false" customHeight="true" outlineLevel="0" collapsed="false">
      <c r="A902" s="20" t="n">
        <f aca="false">'Raw Data'!A902</f>
        <v>901</v>
      </c>
      <c r="B902" s="20" t="n">
        <f aca="false">'Raw Data'!B902</f>
        <v>43</v>
      </c>
      <c r="C902" s="20" t="str">
        <f aca="false">'Raw Data'!C902</f>
        <v>male</v>
      </c>
      <c r="D902" s="20" t="n">
        <f aca="false">'Raw Data'!D902</f>
        <v>2</v>
      </c>
      <c r="E902" s="20" t="str">
        <f aca="false">'Raw Data'!E902</f>
        <v>rent</v>
      </c>
      <c r="F902" s="20" t="str">
        <f aca="false">'Raw Data'!F902</f>
        <v>little</v>
      </c>
      <c r="G902" s="20" t="str">
        <f aca="false">'Raw Data'!G902</f>
        <v>little</v>
      </c>
      <c r="H902" s="20" t="n">
        <f aca="false">'Raw Data'!H902</f>
        <v>2625</v>
      </c>
      <c r="I902" s="20" t="n">
        <f aca="false">'Raw Data'!I902</f>
        <v>16</v>
      </c>
      <c r="J902" s="20" t="str">
        <f aca="false">'Raw Data'!J902</f>
        <v>car</v>
      </c>
      <c r="K902" s="21" t="n">
        <f aca="false">H902/I902</f>
        <v>164.0625</v>
      </c>
      <c r="L902" s="21" t="n">
        <f aca="false">100-MIN(K902/Assumptions!$B$14,1)*100</f>
        <v>58.984375</v>
      </c>
      <c r="M902" s="21" t="n">
        <f aca="false">VLOOKUP(F902,Assumptions!$A$19:$B$23,2,0)</f>
        <v>25</v>
      </c>
      <c r="N902" s="21" t="n">
        <f aca="false">VLOOKUP(G902,Assumptions!$A$27:$B$30,2,0)</f>
        <v>25</v>
      </c>
      <c r="O902" s="21" t="n">
        <f aca="false">VLOOKUP(D902,Assumptions!$A$34:$B$37,2,0)</f>
        <v>66</v>
      </c>
      <c r="P902" s="21" t="n">
        <f aca="false">VLOOKUP(E902,Assumptions!$A$41:$B$43,2,0)</f>
        <v>30</v>
      </c>
      <c r="Q902" s="22" t="n">
        <f aca="false">L902*Assumptions!$B$7+M902*Assumptions!$B$8+N902*Assumptions!$B$9+O902*Assumptions!$B$10+P902*Assumptions!$B$11</f>
        <v>41.8453125</v>
      </c>
      <c r="R902" s="11" t="str">
        <f aca="false">IF(Q902&lt;=33,"High Risk",IF(Q902&lt;=66,"Medium Risk","Low Risk"))</f>
        <v>Medium Risk</v>
      </c>
    </row>
    <row r="903" customFormat="false" ht="15" hidden="false" customHeight="true" outlineLevel="0" collapsed="false">
      <c r="A903" s="20" t="n">
        <f aca="false">'Raw Data'!A903</f>
        <v>902</v>
      </c>
      <c r="B903" s="20" t="n">
        <f aca="false">'Raw Data'!B903</f>
        <v>44</v>
      </c>
      <c r="C903" s="20" t="str">
        <f aca="false">'Raw Data'!C903</f>
        <v>male</v>
      </c>
      <c r="D903" s="20" t="n">
        <f aca="false">'Raw Data'!D903</f>
        <v>2</v>
      </c>
      <c r="E903" s="20" t="str">
        <f aca="false">'Raw Data'!E903</f>
        <v>own</v>
      </c>
      <c r="F903" s="20" t="str">
        <f aca="false">'Raw Data'!F903</f>
        <v>none</v>
      </c>
      <c r="G903" s="20" t="str">
        <f aca="false">'Raw Data'!G903</f>
        <v>none</v>
      </c>
      <c r="H903" s="20" t="n">
        <f aca="false">'Raw Data'!H903</f>
        <v>3485</v>
      </c>
      <c r="I903" s="20" t="n">
        <f aca="false">'Raw Data'!I903</f>
        <v>20</v>
      </c>
      <c r="J903" s="20" t="str">
        <f aca="false">'Raw Data'!J903</f>
        <v>car</v>
      </c>
      <c r="K903" s="21" t="n">
        <f aca="false">H903/I903</f>
        <v>174.25</v>
      </c>
      <c r="L903" s="21" t="n">
        <f aca="false">100-MIN(K903/Assumptions!$B$14,1)*100</f>
        <v>56.4375</v>
      </c>
      <c r="M903" s="21" t="n">
        <f aca="false">VLOOKUP(F903,Assumptions!$A$19:$B$23,2,0)</f>
        <v>40</v>
      </c>
      <c r="N903" s="21" t="n">
        <f aca="false">VLOOKUP(G903,Assumptions!$A$27:$B$30,2,0)</f>
        <v>50</v>
      </c>
      <c r="O903" s="21" t="n">
        <f aca="false">VLOOKUP(D903,Assumptions!$A$34:$B$37,2,0)</f>
        <v>66</v>
      </c>
      <c r="P903" s="21" t="n">
        <f aca="false">VLOOKUP(E903,Assumptions!$A$41:$B$43,2,0)</f>
        <v>100</v>
      </c>
      <c r="Q903" s="22" t="n">
        <f aca="false">L903*Assumptions!$B$7+M903*Assumptions!$B$8+N903*Assumptions!$B$9+O903*Assumptions!$B$10+P903*Assumptions!$B$11</f>
        <v>56.83125</v>
      </c>
      <c r="R903" s="11" t="str">
        <f aca="false">IF(Q903&lt;=33,"High Risk",IF(Q903&lt;=66,"Medium Risk","Low Risk"))</f>
        <v>Medium Risk</v>
      </c>
    </row>
    <row r="904" customFormat="false" ht="15" hidden="false" customHeight="true" outlineLevel="0" collapsed="false">
      <c r="A904" s="20" t="n">
        <f aca="false">'Raw Data'!A904</f>
        <v>903</v>
      </c>
      <c r="B904" s="20" t="n">
        <f aca="false">'Raw Data'!B904</f>
        <v>42</v>
      </c>
      <c r="C904" s="20" t="str">
        <f aca="false">'Raw Data'!C904</f>
        <v>male</v>
      </c>
      <c r="D904" s="20" t="n">
        <f aca="false">'Raw Data'!D904</f>
        <v>2</v>
      </c>
      <c r="E904" s="20" t="str">
        <f aca="false">'Raw Data'!E904</f>
        <v>free</v>
      </c>
      <c r="F904" s="20" t="str">
        <f aca="false">'Raw Data'!F904</f>
        <v>none</v>
      </c>
      <c r="G904" s="20" t="str">
        <f aca="false">'Raw Data'!G904</f>
        <v>none</v>
      </c>
      <c r="H904" s="20" t="n">
        <f aca="false">'Raw Data'!H904</f>
        <v>10477</v>
      </c>
      <c r="I904" s="20" t="n">
        <f aca="false">'Raw Data'!I904</f>
        <v>36</v>
      </c>
      <c r="J904" s="20" t="str">
        <f aca="false">'Raw Data'!J904</f>
        <v>car</v>
      </c>
      <c r="K904" s="21" t="n">
        <f aca="false">H904/I904</f>
        <v>291.027777777778</v>
      </c>
      <c r="L904" s="21" t="n">
        <f aca="false">100-MIN(K904/Assumptions!$B$14,1)*100</f>
        <v>27.2430555555556</v>
      </c>
      <c r="M904" s="21" t="n">
        <f aca="false">VLOOKUP(F904,Assumptions!$A$19:$B$23,2,0)</f>
        <v>40</v>
      </c>
      <c r="N904" s="21" t="n">
        <f aca="false">VLOOKUP(G904,Assumptions!$A$27:$B$30,2,0)</f>
        <v>50</v>
      </c>
      <c r="O904" s="21" t="n">
        <f aca="false">VLOOKUP(D904,Assumptions!$A$34:$B$37,2,0)</f>
        <v>66</v>
      </c>
      <c r="P904" s="21" t="n">
        <f aca="false">VLOOKUP(E904,Assumptions!$A$41:$B$43,2,0)</f>
        <v>60</v>
      </c>
      <c r="Q904" s="22" t="n">
        <f aca="false">L904*Assumptions!$B$7+M904*Assumptions!$B$8+N904*Assumptions!$B$9+O904*Assumptions!$B$10+P904*Assumptions!$B$11</f>
        <v>44.0729166666667</v>
      </c>
      <c r="R904" s="11" t="str">
        <f aca="false">IF(Q904&lt;=33,"High Risk",IF(Q904&lt;=66,"Medium Risk","Low Risk"))</f>
        <v>Medium Risk</v>
      </c>
    </row>
    <row r="905" customFormat="false" ht="15" hidden="false" customHeight="true" outlineLevel="0" collapsed="false">
      <c r="A905" s="20" t="n">
        <f aca="false">'Raw Data'!A905</f>
        <v>904</v>
      </c>
      <c r="B905" s="20" t="n">
        <f aca="false">'Raw Data'!B905</f>
        <v>40</v>
      </c>
      <c r="C905" s="20" t="str">
        <f aca="false">'Raw Data'!C905</f>
        <v>male</v>
      </c>
      <c r="D905" s="20" t="n">
        <f aca="false">'Raw Data'!D905</f>
        <v>2</v>
      </c>
      <c r="E905" s="20" t="str">
        <f aca="false">'Raw Data'!E905</f>
        <v>rent</v>
      </c>
      <c r="F905" s="20" t="str">
        <f aca="false">'Raw Data'!F905</f>
        <v>none</v>
      </c>
      <c r="G905" s="20" t="str">
        <f aca="false">'Raw Data'!G905</f>
        <v>none</v>
      </c>
      <c r="H905" s="20" t="n">
        <f aca="false">'Raw Data'!H905</f>
        <v>1386</v>
      </c>
      <c r="I905" s="20" t="n">
        <f aca="false">'Raw Data'!I905</f>
        <v>15</v>
      </c>
      <c r="J905" s="20" t="str">
        <f aca="false">'Raw Data'!J905</f>
        <v>radio/TV</v>
      </c>
      <c r="K905" s="21" t="n">
        <f aca="false">H905/I905</f>
        <v>92.4</v>
      </c>
      <c r="L905" s="21" t="n">
        <f aca="false">100-MIN(K905/Assumptions!$B$14,1)*100</f>
        <v>76.9</v>
      </c>
      <c r="M905" s="21" t="n">
        <f aca="false">VLOOKUP(F905,Assumptions!$A$19:$B$23,2,0)</f>
        <v>40</v>
      </c>
      <c r="N905" s="21" t="n">
        <f aca="false">VLOOKUP(G905,Assumptions!$A$27:$B$30,2,0)</f>
        <v>50</v>
      </c>
      <c r="O905" s="21" t="n">
        <f aca="false">VLOOKUP(D905,Assumptions!$A$34:$B$37,2,0)</f>
        <v>66</v>
      </c>
      <c r="P905" s="21" t="n">
        <f aca="false">VLOOKUP(E905,Assumptions!$A$41:$B$43,2,0)</f>
        <v>30</v>
      </c>
      <c r="Q905" s="22" t="n">
        <f aca="false">L905*Assumptions!$B$7+M905*Assumptions!$B$8+N905*Assumptions!$B$9+O905*Assumptions!$B$10+P905*Assumptions!$B$11</f>
        <v>55.97</v>
      </c>
      <c r="R905" s="11" t="str">
        <f aca="false">IF(Q905&lt;=33,"High Risk",IF(Q905&lt;=66,"Medium Risk","Low Risk"))</f>
        <v>Medium Risk</v>
      </c>
    </row>
    <row r="906" customFormat="false" ht="15" hidden="false" customHeight="true" outlineLevel="0" collapsed="false">
      <c r="A906" s="20" t="n">
        <f aca="false">'Raw Data'!A906</f>
        <v>905</v>
      </c>
      <c r="B906" s="20" t="n">
        <f aca="false">'Raw Data'!B906</f>
        <v>36</v>
      </c>
      <c r="C906" s="20" t="str">
        <f aca="false">'Raw Data'!C906</f>
        <v>male</v>
      </c>
      <c r="D906" s="20" t="n">
        <f aca="false">'Raw Data'!D906</f>
        <v>3</v>
      </c>
      <c r="E906" s="20" t="str">
        <f aca="false">'Raw Data'!E906</f>
        <v>own</v>
      </c>
      <c r="F906" s="20" t="str">
        <f aca="false">'Raw Data'!F906</f>
        <v>little</v>
      </c>
      <c r="G906" s="20" t="str">
        <f aca="false">'Raw Data'!G906</f>
        <v>none</v>
      </c>
      <c r="H906" s="20" t="n">
        <f aca="false">'Raw Data'!H906</f>
        <v>1278</v>
      </c>
      <c r="I906" s="20" t="n">
        <f aca="false">'Raw Data'!I906</f>
        <v>24</v>
      </c>
      <c r="J906" s="20" t="str">
        <f aca="false">'Raw Data'!J906</f>
        <v>radio/TV</v>
      </c>
      <c r="K906" s="21" t="n">
        <f aca="false">H906/I906</f>
        <v>53.25</v>
      </c>
      <c r="L906" s="21" t="n">
        <f aca="false">100-MIN(K906/Assumptions!$B$14,1)*100</f>
        <v>86.6875</v>
      </c>
      <c r="M906" s="21" t="n">
        <f aca="false">VLOOKUP(F906,Assumptions!$A$19:$B$23,2,0)</f>
        <v>25</v>
      </c>
      <c r="N906" s="21" t="n">
        <f aca="false">VLOOKUP(G906,Assumptions!$A$27:$B$30,2,0)</f>
        <v>50</v>
      </c>
      <c r="O906" s="21" t="n">
        <f aca="false">VLOOKUP(D906,Assumptions!$A$34:$B$37,2,0)</f>
        <v>100</v>
      </c>
      <c r="P906" s="21" t="n">
        <f aca="false">VLOOKUP(E906,Assumptions!$A$41:$B$43,2,0)</f>
        <v>100</v>
      </c>
      <c r="Q906" s="22" t="n">
        <f aca="false">L906*Assumptions!$B$7+M906*Assumptions!$B$8+N906*Assumptions!$B$9+O906*Assumptions!$B$10+P906*Assumptions!$B$11</f>
        <v>67.25625</v>
      </c>
      <c r="R906" s="11" t="str">
        <f aca="false">IF(Q906&lt;=33,"High Risk",IF(Q906&lt;=66,"Medium Risk","Low Risk"))</f>
        <v>Low Risk</v>
      </c>
    </row>
    <row r="907" customFormat="false" ht="15" hidden="false" customHeight="true" outlineLevel="0" collapsed="false">
      <c r="A907" s="20" t="n">
        <f aca="false">'Raw Data'!A907</f>
        <v>906</v>
      </c>
      <c r="B907" s="20" t="n">
        <f aca="false">'Raw Data'!B907</f>
        <v>20</v>
      </c>
      <c r="C907" s="20" t="str">
        <f aca="false">'Raw Data'!C907</f>
        <v>male</v>
      </c>
      <c r="D907" s="20" t="n">
        <f aca="false">'Raw Data'!D907</f>
        <v>3</v>
      </c>
      <c r="E907" s="20" t="str">
        <f aca="false">'Raw Data'!E907</f>
        <v>rent</v>
      </c>
      <c r="F907" s="20" t="str">
        <f aca="false">'Raw Data'!F907</f>
        <v>little</v>
      </c>
      <c r="G907" s="20" t="str">
        <f aca="false">'Raw Data'!G907</f>
        <v>little</v>
      </c>
      <c r="H907" s="20" t="n">
        <f aca="false">'Raw Data'!H907</f>
        <v>1107</v>
      </c>
      <c r="I907" s="20" t="n">
        <f aca="false">'Raw Data'!I907</f>
        <v>12</v>
      </c>
      <c r="J907" s="20" t="str">
        <f aca="false">'Raw Data'!J907</f>
        <v>radio/TV</v>
      </c>
      <c r="K907" s="21" t="n">
        <f aca="false">H907/I907</f>
        <v>92.25</v>
      </c>
      <c r="L907" s="21" t="n">
        <f aca="false">100-MIN(K907/Assumptions!$B$14,1)*100</f>
        <v>76.9375</v>
      </c>
      <c r="M907" s="21" t="n">
        <f aca="false">VLOOKUP(F907,Assumptions!$A$19:$B$23,2,0)</f>
        <v>25</v>
      </c>
      <c r="N907" s="21" t="n">
        <f aca="false">VLOOKUP(G907,Assumptions!$A$27:$B$30,2,0)</f>
        <v>25</v>
      </c>
      <c r="O907" s="21" t="n">
        <f aca="false">VLOOKUP(D907,Assumptions!$A$34:$B$37,2,0)</f>
        <v>100</v>
      </c>
      <c r="P907" s="21" t="n">
        <f aca="false">VLOOKUP(E907,Assumptions!$A$41:$B$43,2,0)</f>
        <v>30</v>
      </c>
      <c r="Q907" s="22" t="n">
        <f aca="false">L907*Assumptions!$B$7+M907*Assumptions!$B$8+N907*Assumptions!$B$9+O907*Assumptions!$B$10+P907*Assumptions!$B$11</f>
        <v>52.33125</v>
      </c>
      <c r="R907" s="11" t="str">
        <f aca="false">IF(Q907&lt;=33,"High Risk",IF(Q907&lt;=66,"Medium Risk","Low Risk"))</f>
        <v>Medium Risk</v>
      </c>
    </row>
    <row r="908" customFormat="false" ht="15" hidden="false" customHeight="true" outlineLevel="0" collapsed="false">
      <c r="A908" s="20" t="n">
        <f aca="false">'Raw Data'!A908</f>
        <v>907</v>
      </c>
      <c r="B908" s="20" t="n">
        <f aca="false">'Raw Data'!B908</f>
        <v>24</v>
      </c>
      <c r="C908" s="20" t="str">
        <f aca="false">'Raw Data'!C908</f>
        <v>male</v>
      </c>
      <c r="D908" s="20" t="n">
        <f aca="false">'Raw Data'!D908</f>
        <v>1</v>
      </c>
      <c r="E908" s="20" t="str">
        <f aca="false">'Raw Data'!E908</f>
        <v>own</v>
      </c>
      <c r="F908" s="20" t="str">
        <f aca="false">'Raw Data'!F908</f>
        <v>none</v>
      </c>
      <c r="G908" s="20" t="str">
        <f aca="false">'Raw Data'!G908</f>
        <v>little</v>
      </c>
      <c r="H908" s="20" t="n">
        <f aca="false">'Raw Data'!H908</f>
        <v>3763</v>
      </c>
      <c r="I908" s="20" t="n">
        <f aca="false">'Raw Data'!I908</f>
        <v>21</v>
      </c>
      <c r="J908" s="20" t="str">
        <f aca="false">'Raw Data'!J908</f>
        <v>car</v>
      </c>
      <c r="K908" s="21" t="n">
        <f aca="false">H908/I908</f>
        <v>179.190476190476</v>
      </c>
      <c r="L908" s="21" t="n">
        <f aca="false">100-MIN(K908/Assumptions!$B$14,1)*100</f>
        <v>55.202380952381</v>
      </c>
      <c r="M908" s="21" t="n">
        <f aca="false">VLOOKUP(F908,Assumptions!$A$19:$B$23,2,0)</f>
        <v>40</v>
      </c>
      <c r="N908" s="21" t="n">
        <f aca="false">VLOOKUP(G908,Assumptions!$A$27:$B$30,2,0)</f>
        <v>25</v>
      </c>
      <c r="O908" s="21" t="n">
        <f aca="false">VLOOKUP(D908,Assumptions!$A$34:$B$37,2,0)</f>
        <v>33</v>
      </c>
      <c r="P908" s="21" t="n">
        <f aca="false">VLOOKUP(E908,Assumptions!$A$41:$B$43,2,0)</f>
        <v>100</v>
      </c>
      <c r="Q908" s="22" t="n">
        <f aca="false">L908*Assumptions!$B$7+M908*Assumptions!$B$8+N908*Assumptions!$B$9+O908*Assumptions!$B$10+P908*Assumptions!$B$11</f>
        <v>46.5107142857143</v>
      </c>
      <c r="R908" s="11" t="str">
        <f aca="false">IF(Q908&lt;=33,"High Risk",IF(Q908&lt;=66,"Medium Risk","Low Risk"))</f>
        <v>Medium Risk</v>
      </c>
    </row>
    <row r="909" customFormat="false" ht="15" hidden="false" customHeight="true" outlineLevel="0" collapsed="false">
      <c r="A909" s="20" t="n">
        <f aca="false">'Raw Data'!A909</f>
        <v>908</v>
      </c>
      <c r="B909" s="20" t="n">
        <f aca="false">'Raw Data'!B909</f>
        <v>27</v>
      </c>
      <c r="C909" s="20" t="str">
        <f aca="false">'Raw Data'!C909</f>
        <v>male</v>
      </c>
      <c r="D909" s="20" t="n">
        <f aca="false">'Raw Data'!D909</f>
        <v>2</v>
      </c>
      <c r="E909" s="20" t="str">
        <f aca="false">'Raw Data'!E909</f>
        <v>own</v>
      </c>
      <c r="F909" s="20" t="str">
        <f aca="false">'Raw Data'!F909</f>
        <v>none</v>
      </c>
      <c r="G909" s="20" t="str">
        <f aca="false">'Raw Data'!G909</f>
        <v>moderate</v>
      </c>
      <c r="H909" s="20" t="n">
        <f aca="false">'Raw Data'!H909</f>
        <v>3711</v>
      </c>
      <c r="I909" s="20" t="n">
        <f aca="false">'Raw Data'!I909</f>
        <v>36</v>
      </c>
      <c r="J909" s="20" t="str">
        <f aca="false">'Raw Data'!J909</f>
        <v>education</v>
      </c>
      <c r="K909" s="21" t="n">
        <f aca="false">H909/I909</f>
        <v>103.083333333333</v>
      </c>
      <c r="L909" s="21" t="n">
        <f aca="false">100-MIN(K909/Assumptions!$B$14,1)*100</f>
        <v>74.2291666666667</v>
      </c>
      <c r="M909" s="21" t="n">
        <f aca="false">VLOOKUP(F909,Assumptions!$A$19:$B$23,2,0)</f>
        <v>40</v>
      </c>
      <c r="N909" s="21" t="n">
        <f aca="false">VLOOKUP(G909,Assumptions!$A$27:$B$30,2,0)</f>
        <v>60</v>
      </c>
      <c r="O909" s="21" t="n">
        <f aca="false">VLOOKUP(D909,Assumptions!$A$34:$B$37,2,0)</f>
        <v>66</v>
      </c>
      <c r="P909" s="21" t="n">
        <f aca="false">VLOOKUP(E909,Assumptions!$A$41:$B$43,2,0)</f>
        <v>100</v>
      </c>
      <c r="Q909" s="22" t="n">
        <f aca="false">L909*Assumptions!$B$7+M909*Assumptions!$B$8+N909*Assumptions!$B$9+O909*Assumptions!$B$10+P909*Assumptions!$B$11</f>
        <v>64.16875</v>
      </c>
      <c r="R909" s="11" t="str">
        <f aca="false">IF(Q909&lt;=33,"High Risk",IF(Q909&lt;=66,"Medium Risk","Low Risk"))</f>
        <v>Medium Risk</v>
      </c>
    </row>
    <row r="910" customFormat="false" ht="15" hidden="false" customHeight="true" outlineLevel="0" collapsed="false">
      <c r="A910" s="20" t="n">
        <f aca="false">'Raw Data'!A910</f>
        <v>909</v>
      </c>
      <c r="B910" s="20" t="n">
        <f aca="false">'Raw Data'!B910</f>
        <v>46</v>
      </c>
      <c r="C910" s="20" t="str">
        <f aca="false">'Raw Data'!C910</f>
        <v>female</v>
      </c>
      <c r="D910" s="20" t="n">
        <f aca="false">'Raw Data'!D910</f>
        <v>1</v>
      </c>
      <c r="E910" s="20" t="str">
        <f aca="false">'Raw Data'!E910</f>
        <v>own</v>
      </c>
      <c r="F910" s="20" t="str">
        <f aca="false">'Raw Data'!F910</f>
        <v>little</v>
      </c>
      <c r="G910" s="20" t="str">
        <f aca="false">'Raw Data'!G910</f>
        <v>none</v>
      </c>
      <c r="H910" s="20" t="n">
        <f aca="false">'Raw Data'!H910</f>
        <v>3594</v>
      </c>
      <c r="I910" s="20" t="n">
        <f aca="false">'Raw Data'!I910</f>
        <v>15</v>
      </c>
      <c r="J910" s="20" t="str">
        <f aca="false">'Raw Data'!J910</f>
        <v>car</v>
      </c>
      <c r="K910" s="21" t="n">
        <f aca="false">H910/I910</f>
        <v>239.6</v>
      </c>
      <c r="L910" s="21" t="n">
        <f aca="false">100-MIN(K910/Assumptions!$B$14,1)*100</f>
        <v>40.1</v>
      </c>
      <c r="M910" s="21" t="n">
        <f aca="false">VLOOKUP(F910,Assumptions!$A$19:$B$23,2,0)</f>
        <v>25</v>
      </c>
      <c r="N910" s="21" t="n">
        <f aca="false">VLOOKUP(G910,Assumptions!$A$27:$B$30,2,0)</f>
        <v>50</v>
      </c>
      <c r="O910" s="21" t="n">
        <f aca="false">VLOOKUP(D910,Assumptions!$A$34:$B$37,2,0)</f>
        <v>33</v>
      </c>
      <c r="P910" s="21" t="n">
        <f aca="false">VLOOKUP(E910,Assumptions!$A$41:$B$43,2,0)</f>
        <v>100</v>
      </c>
      <c r="Q910" s="22" t="n">
        <f aca="false">L910*Assumptions!$B$7+M910*Assumptions!$B$8+N910*Assumptions!$B$9+O910*Assumptions!$B$10+P910*Assumptions!$B$11</f>
        <v>43.23</v>
      </c>
      <c r="R910" s="11" t="str">
        <f aca="false">IF(Q910&lt;=33,"High Risk",IF(Q910&lt;=66,"Medium Risk","Low Risk"))</f>
        <v>Medium Risk</v>
      </c>
    </row>
    <row r="911" customFormat="false" ht="15" hidden="false" customHeight="true" outlineLevel="0" collapsed="false">
      <c r="A911" s="20" t="n">
        <f aca="false">'Raw Data'!A911</f>
        <v>910</v>
      </c>
      <c r="B911" s="20" t="n">
        <f aca="false">'Raw Data'!B911</f>
        <v>33</v>
      </c>
      <c r="C911" s="20" t="str">
        <f aca="false">'Raw Data'!C911</f>
        <v>female</v>
      </c>
      <c r="D911" s="20" t="n">
        <f aca="false">'Raw Data'!D911</f>
        <v>1</v>
      </c>
      <c r="E911" s="20" t="str">
        <f aca="false">'Raw Data'!E911</f>
        <v>own</v>
      </c>
      <c r="F911" s="20" t="str">
        <f aca="false">'Raw Data'!F911</f>
        <v>none</v>
      </c>
      <c r="G911" s="20" t="str">
        <f aca="false">'Raw Data'!G911</f>
        <v>moderate</v>
      </c>
      <c r="H911" s="20" t="n">
        <f aca="false">'Raw Data'!H911</f>
        <v>3195</v>
      </c>
      <c r="I911" s="20" t="n">
        <f aca="false">'Raw Data'!I911</f>
        <v>9</v>
      </c>
      <c r="J911" s="20" t="str">
        <f aca="false">'Raw Data'!J911</f>
        <v>car</v>
      </c>
      <c r="K911" s="21" t="n">
        <f aca="false">H911/I911</f>
        <v>355</v>
      </c>
      <c r="L911" s="21" t="n">
        <f aca="false">100-MIN(K911/Assumptions!$B$14,1)*100</f>
        <v>11.25</v>
      </c>
      <c r="M911" s="21" t="n">
        <f aca="false">VLOOKUP(F911,Assumptions!$A$19:$B$23,2,0)</f>
        <v>40</v>
      </c>
      <c r="N911" s="21" t="n">
        <f aca="false">VLOOKUP(G911,Assumptions!$A$27:$B$30,2,0)</f>
        <v>60</v>
      </c>
      <c r="O911" s="21" t="n">
        <f aca="false">VLOOKUP(D911,Assumptions!$A$34:$B$37,2,0)</f>
        <v>33</v>
      </c>
      <c r="P911" s="21" t="n">
        <f aca="false">VLOOKUP(E911,Assumptions!$A$41:$B$43,2,0)</f>
        <v>100</v>
      </c>
      <c r="Q911" s="22" t="n">
        <f aca="false">L911*Assumptions!$B$7+M911*Assumptions!$B$8+N911*Assumptions!$B$9+O911*Assumptions!$B$10+P911*Assumptions!$B$11</f>
        <v>40.325</v>
      </c>
      <c r="R911" s="11" t="str">
        <f aca="false">IF(Q911&lt;=33,"High Risk",IF(Q911&lt;=66,"Medium Risk","Low Risk"))</f>
        <v>Medium Risk</v>
      </c>
    </row>
    <row r="912" customFormat="false" ht="15" hidden="false" customHeight="true" outlineLevel="0" collapsed="false">
      <c r="A912" s="20" t="n">
        <f aca="false">'Raw Data'!A912</f>
        <v>911</v>
      </c>
      <c r="B912" s="20" t="n">
        <f aca="false">'Raw Data'!B912</f>
        <v>34</v>
      </c>
      <c r="C912" s="20" t="str">
        <f aca="false">'Raw Data'!C912</f>
        <v>female</v>
      </c>
      <c r="D912" s="20" t="n">
        <f aca="false">'Raw Data'!D912</f>
        <v>2</v>
      </c>
      <c r="E912" s="20" t="str">
        <f aca="false">'Raw Data'!E912</f>
        <v>own</v>
      </c>
      <c r="F912" s="20" t="str">
        <f aca="false">'Raw Data'!F912</f>
        <v>little</v>
      </c>
      <c r="G912" s="20" t="str">
        <f aca="false">'Raw Data'!G912</f>
        <v>none</v>
      </c>
      <c r="H912" s="20" t="n">
        <f aca="false">'Raw Data'!H912</f>
        <v>4454</v>
      </c>
      <c r="I912" s="20" t="n">
        <f aca="false">'Raw Data'!I912</f>
        <v>36</v>
      </c>
      <c r="J912" s="20" t="str">
        <f aca="false">'Raw Data'!J912</f>
        <v>radio/TV</v>
      </c>
      <c r="K912" s="21" t="n">
        <f aca="false">H912/I912</f>
        <v>123.722222222222</v>
      </c>
      <c r="L912" s="21" t="n">
        <f aca="false">100-MIN(K912/Assumptions!$B$14,1)*100</f>
        <v>69.0694444444444</v>
      </c>
      <c r="M912" s="21" t="n">
        <f aca="false">VLOOKUP(F912,Assumptions!$A$19:$B$23,2,0)</f>
        <v>25</v>
      </c>
      <c r="N912" s="21" t="n">
        <f aca="false">VLOOKUP(G912,Assumptions!$A$27:$B$30,2,0)</f>
        <v>50</v>
      </c>
      <c r="O912" s="21" t="n">
        <f aca="false">VLOOKUP(D912,Assumptions!$A$34:$B$37,2,0)</f>
        <v>66</v>
      </c>
      <c r="P912" s="21" t="n">
        <f aca="false">VLOOKUP(E912,Assumptions!$A$41:$B$43,2,0)</f>
        <v>100</v>
      </c>
      <c r="Q912" s="22" t="n">
        <f aca="false">L912*Assumptions!$B$7+M912*Assumptions!$B$8+N912*Assumptions!$B$9+O912*Assumptions!$B$10+P912*Assumptions!$B$11</f>
        <v>56.8708333333333</v>
      </c>
      <c r="R912" s="11" t="str">
        <f aca="false">IF(Q912&lt;=33,"High Risk",IF(Q912&lt;=66,"Medium Risk","Low Risk"))</f>
        <v>Medium Risk</v>
      </c>
    </row>
    <row r="913" customFormat="false" ht="15" hidden="false" customHeight="true" outlineLevel="0" collapsed="false">
      <c r="A913" s="20" t="n">
        <f aca="false">'Raw Data'!A913</f>
        <v>912</v>
      </c>
      <c r="B913" s="20" t="n">
        <f aca="false">'Raw Data'!B913</f>
        <v>25</v>
      </c>
      <c r="C913" s="20" t="str">
        <f aca="false">'Raw Data'!C913</f>
        <v>female</v>
      </c>
      <c r="D913" s="20" t="n">
        <f aca="false">'Raw Data'!D913</f>
        <v>1</v>
      </c>
      <c r="E913" s="20" t="str">
        <f aca="false">'Raw Data'!E913</f>
        <v>own</v>
      </c>
      <c r="F913" s="20" t="str">
        <f aca="false">'Raw Data'!F913</f>
        <v>little</v>
      </c>
      <c r="G913" s="20" t="str">
        <f aca="false">'Raw Data'!G913</f>
        <v>moderate</v>
      </c>
      <c r="H913" s="20" t="n">
        <f aca="false">'Raw Data'!H913</f>
        <v>4736</v>
      </c>
      <c r="I913" s="20" t="n">
        <f aca="false">'Raw Data'!I913</f>
        <v>24</v>
      </c>
      <c r="J913" s="20" t="str">
        <f aca="false">'Raw Data'!J913</f>
        <v>furniture/equipment</v>
      </c>
      <c r="K913" s="21" t="n">
        <f aca="false">H913/I913</f>
        <v>197.333333333333</v>
      </c>
      <c r="L913" s="21" t="n">
        <f aca="false">100-MIN(K913/Assumptions!$B$14,1)*100</f>
        <v>50.6666666666667</v>
      </c>
      <c r="M913" s="21" t="n">
        <f aca="false">VLOOKUP(F913,Assumptions!$A$19:$B$23,2,0)</f>
        <v>25</v>
      </c>
      <c r="N913" s="21" t="n">
        <f aca="false">VLOOKUP(G913,Assumptions!$A$27:$B$30,2,0)</f>
        <v>60</v>
      </c>
      <c r="O913" s="21" t="n">
        <f aca="false">VLOOKUP(D913,Assumptions!$A$34:$B$37,2,0)</f>
        <v>33</v>
      </c>
      <c r="P913" s="21" t="n">
        <f aca="false">VLOOKUP(E913,Assumptions!$A$41:$B$43,2,0)</f>
        <v>100</v>
      </c>
      <c r="Q913" s="22" t="n">
        <f aca="false">L913*Assumptions!$B$7+M913*Assumptions!$B$8+N913*Assumptions!$B$9+O913*Assumptions!$B$10+P913*Assumptions!$B$11</f>
        <v>48.4</v>
      </c>
      <c r="R913" s="11" t="str">
        <f aca="false">IF(Q913&lt;=33,"High Risk",IF(Q913&lt;=66,"Medium Risk","Low Risk"))</f>
        <v>Medium Risk</v>
      </c>
    </row>
    <row r="914" customFormat="false" ht="15" hidden="false" customHeight="true" outlineLevel="0" collapsed="false">
      <c r="A914" s="20" t="n">
        <f aca="false">'Raw Data'!A914</f>
        <v>913</v>
      </c>
      <c r="B914" s="20" t="n">
        <f aca="false">'Raw Data'!B914</f>
        <v>25</v>
      </c>
      <c r="C914" s="20" t="str">
        <f aca="false">'Raw Data'!C914</f>
        <v>female</v>
      </c>
      <c r="D914" s="20" t="n">
        <f aca="false">'Raw Data'!D914</f>
        <v>2</v>
      </c>
      <c r="E914" s="20" t="str">
        <f aca="false">'Raw Data'!E914</f>
        <v>own</v>
      </c>
      <c r="F914" s="20" t="str">
        <f aca="false">'Raw Data'!F914</f>
        <v>none</v>
      </c>
      <c r="G914" s="20" t="str">
        <f aca="false">'Raw Data'!G914</f>
        <v>moderate</v>
      </c>
      <c r="H914" s="20" t="n">
        <f aca="false">'Raw Data'!H914</f>
        <v>2991</v>
      </c>
      <c r="I914" s="20" t="n">
        <f aca="false">'Raw Data'!I914</f>
        <v>30</v>
      </c>
      <c r="J914" s="20" t="str">
        <f aca="false">'Raw Data'!J914</f>
        <v>radio/TV</v>
      </c>
      <c r="K914" s="21" t="n">
        <f aca="false">H914/I914</f>
        <v>99.7</v>
      </c>
      <c r="L914" s="21" t="n">
        <f aca="false">100-MIN(K914/Assumptions!$B$14,1)*100</f>
        <v>75.075</v>
      </c>
      <c r="M914" s="21" t="n">
        <f aca="false">VLOOKUP(F914,Assumptions!$A$19:$B$23,2,0)</f>
        <v>40</v>
      </c>
      <c r="N914" s="21" t="n">
        <f aca="false">VLOOKUP(G914,Assumptions!$A$27:$B$30,2,0)</f>
        <v>60</v>
      </c>
      <c r="O914" s="21" t="n">
        <f aca="false">VLOOKUP(D914,Assumptions!$A$34:$B$37,2,0)</f>
        <v>66</v>
      </c>
      <c r="P914" s="21" t="n">
        <f aca="false">VLOOKUP(E914,Assumptions!$A$41:$B$43,2,0)</f>
        <v>100</v>
      </c>
      <c r="Q914" s="22" t="n">
        <f aca="false">L914*Assumptions!$B$7+M914*Assumptions!$B$8+N914*Assumptions!$B$9+O914*Assumptions!$B$10+P914*Assumptions!$B$11</f>
        <v>64.4225</v>
      </c>
      <c r="R914" s="11" t="str">
        <f aca="false">IF(Q914&lt;=33,"High Risk",IF(Q914&lt;=66,"Medium Risk","Low Risk"))</f>
        <v>Medium Risk</v>
      </c>
    </row>
    <row r="915" customFormat="false" ht="15" hidden="false" customHeight="true" outlineLevel="0" collapsed="false">
      <c r="A915" s="20" t="n">
        <f aca="false">'Raw Data'!A915</f>
        <v>914</v>
      </c>
      <c r="B915" s="20" t="n">
        <f aca="false">'Raw Data'!B915</f>
        <v>28</v>
      </c>
      <c r="C915" s="20" t="str">
        <f aca="false">'Raw Data'!C915</f>
        <v>male</v>
      </c>
      <c r="D915" s="20" t="n">
        <f aca="false">'Raw Data'!D915</f>
        <v>2</v>
      </c>
      <c r="E915" s="20" t="str">
        <f aca="false">'Raw Data'!E915</f>
        <v>own</v>
      </c>
      <c r="F915" s="20" t="str">
        <f aca="false">'Raw Data'!F915</f>
        <v>rich</v>
      </c>
      <c r="G915" s="20" t="str">
        <f aca="false">'Raw Data'!G915</f>
        <v>none</v>
      </c>
      <c r="H915" s="20" t="n">
        <f aca="false">'Raw Data'!H915</f>
        <v>2142</v>
      </c>
      <c r="I915" s="20" t="n">
        <f aca="false">'Raw Data'!I915</f>
        <v>11</v>
      </c>
      <c r="J915" s="20" t="str">
        <f aca="false">'Raw Data'!J915</f>
        <v>business</v>
      </c>
      <c r="K915" s="21" t="n">
        <f aca="false">H915/I915</f>
        <v>194.727272727273</v>
      </c>
      <c r="L915" s="21" t="n">
        <f aca="false">100-MIN(K915/Assumptions!$B$14,1)*100</f>
        <v>51.3181818181818</v>
      </c>
      <c r="M915" s="21" t="n">
        <f aca="false">VLOOKUP(F915,Assumptions!$A$19:$B$23,2,0)</f>
        <v>100</v>
      </c>
      <c r="N915" s="21" t="n">
        <f aca="false">VLOOKUP(G915,Assumptions!$A$27:$B$30,2,0)</f>
        <v>50</v>
      </c>
      <c r="O915" s="21" t="n">
        <f aca="false">VLOOKUP(D915,Assumptions!$A$34:$B$37,2,0)</f>
        <v>66</v>
      </c>
      <c r="P915" s="21" t="n">
        <f aca="false">VLOOKUP(E915,Assumptions!$A$41:$B$43,2,0)</f>
        <v>100</v>
      </c>
      <c r="Q915" s="22" t="n">
        <f aca="false">L915*Assumptions!$B$7+M915*Assumptions!$B$8+N915*Assumptions!$B$9+O915*Assumptions!$B$10+P915*Assumptions!$B$11</f>
        <v>70.2954545454545</v>
      </c>
      <c r="R915" s="11" t="str">
        <f aca="false">IF(Q915&lt;=33,"High Risk",IF(Q915&lt;=66,"Medium Risk","Low Risk"))</f>
        <v>Low Risk</v>
      </c>
    </row>
    <row r="916" customFormat="false" ht="15" hidden="false" customHeight="true" outlineLevel="0" collapsed="false">
      <c r="A916" s="20" t="n">
        <f aca="false">'Raw Data'!A916</f>
        <v>915</v>
      </c>
      <c r="B916" s="20" t="n">
        <f aca="false">'Raw Data'!B916</f>
        <v>31</v>
      </c>
      <c r="C916" s="20" t="str">
        <f aca="false">'Raw Data'!C916</f>
        <v>male</v>
      </c>
      <c r="D916" s="20" t="n">
        <f aca="false">'Raw Data'!D916</f>
        <v>2</v>
      </c>
      <c r="E916" s="20" t="str">
        <f aca="false">'Raw Data'!E916</f>
        <v>rent</v>
      </c>
      <c r="F916" s="20" t="str">
        <f aca="false">'Raw Data'!F916</f>
        <v>little</v>
      </c>
      <c r="G916" s="20" t="str">
        <f aca="false">'Raw Data'!G916</f>
        <v>little</v>
      </c>
      <c r="H916" s="20" t="n">
        <f aca="false">'Raw Data'!H916</f>
        <v>3161</v>
      </c>
      <c r="I916" s="20" t="n">
        <f aca="false">'Raw Data'!I916</f>
        <v>24</v>
      </c>
      <c r="J916" s="20" t="str">
        <f aca="false">'Raw Data'!J916</f>
        <v>business</v>
      </c>
      <c r="K916" s="21" t="n">
        <f aca="false">H916/I916</f>
        <v>131.708333333333</v>
      </c>
      <c r="L916" s="21" t="n">
        <f aca="false">100-MIN(K916/Assumptions!$B$14,1)*100</f>
        <v>67.0729166666667</v>
      </c>
      <c r="M916" s="21" t="n">
        <f aca="false">VLOOKUP(F916,Assumptions!$A$19:$B$23,2,0)</f>
        <v>25</v>
      </c>
      <c r="N916" s="21" t="n">
        <f aca="false">VLOOKUP(G916,Assumptions!$A$27:$B$30,2,0)</f>
        <v>25</v>
      </c>
      <c r="O916" s="21" t="n">
        <f aca="false">VLOOKUP(D916,Assumptions!$A$34:$B$37,2,0)</f>
        <v>66</v>
      </c>
      <c r="P916" s="21" t="n">
        <f aca="false">VLOOKUP(E916,Assumptions!$A$41:$B$43,2,0)</f>
        <v>30</v>
      </c>
      <c r="Q916" s="22" t="n">
        <f aca="false">L916*Assumptions!$B$7+M916*Assumptions!$B$8+N916*Assumptions!$B$9+O916*Assumptions!$B$10+P916*Assumptions!$B$11</f>
        <v>44.271875</v>
      </c>
      <c r="R916" s="11" t="str">
        <f aca="false">IF(Q916&lt;=33,"High Risk",IF(Q916&lt;=66,"Medium Risk","Low Risk"))</f>
        <v>Medium Risk</v>
      </c>
    </row>
    <row r="917" customFormat="false" ht="15" hidden="false" customHeight="true" outlineLevel="0" collapsed="false">
      <c r="A917" s="20" t="n">
        <f aca="false">'Raw Data'!A917</f>
        <v>916</v>
      </c>
      <c r="B917" s="20" t="n">
        <f aca="false">'Raw Data'!B917</f>
        <v>32</v>
      </c>
      <c r="C917" s="20" t="str">
        <f aca="false">'Raw Data'!C917</f>
        <v>female</v>
      </c>
      <c r="D917" s="20" t="n">
        <f aca="false">'Raw Data'!D917</f>
        <v>3</v>
      </c>
      <c r="E917" s="20" t="str">
        <f aca="false">'Raw Data'!E917</f>
        <v>own</v>
      </c>
      <c r="F917" s="20" t="str">
        <f aca="false">'Raw Data'!F917</f>
        <v>little</v>
      </c>
      <c r="G917" s="20" t="str">
        <f aca="false">'Raw Data'!G917</f>
        <v>moderate</v>
      </c>
      <c r="H917" s="20" t="n">
        <f aca="false">'Raw Data'!H917</f>
        <v>18424</v>
      </c>
      <c r="I917" s="20" t="n">
        <f aca="false">'Raw Data'!I917</f>
        <v>48</v>
      </c>
      <c r="J917" s="20" t="str">
        <f aca="false">'Raw Data'!J917</f>
        <v>vacation/others</v>
      </c>
      <c r="K917" s="21" t="n">
        <f aca="false">H917/I917</f>
        <v>383.833333333333</v>
      </c>
      <c r="L917" s="21" t="n">
        <f aca="false">100-MIN(K917/Assumptions!$B$14,1)*100</f>
        <v>4.04166666666667</v>
      </c>
      <c r="M917" s="21" t="n">
        <f aca="false">VLOOKUP(F917,Assumptions!$A$19:$B$23,2,0)</f>
        <v>25</v>
      </c>
      <c r="N917" s="21" t="n">
        <f aca="false">VLOOKUP(G917,Assumptions!$A$27:$B$30,2,0)</f>
        <v>60</v>
      </c>
      <c r="O917" s="21" t="n">
        <f aca="false">VLOOKUP(D917,Assumptions!$A$34:$B$37,2,0)</f>
        <v>100</v>
      </c>
      <c r="P917" s="21" t="n">
        <f aca="false">VLOOKUP(E917,Assumptions!$A$41:$B$43,2,0)</f>
        <v>100</v>
      </c>
      <c r="Q917" s="22" t="n">
        <f aca="false">L917*Assumptions!$B$7+M917*Assumptions!$B$8+N917*Assumptions!$B$9+O917*Assumptions!$B$10+P917*Assumptions!$B$11</f>
        <v>44.4625</v>
      </c>
      <c r="R917" s="11" t="str">
        <f aca="false">IF(Q917&lt;=33,"High Risk",IF(Q917&lt;=66,"Medium Risk","Low Risk"))</f>
        <v>Medium Risk</v>
      </c>
    </row>
    <row r="918" customFormat="false" ht="15" hidden="false" customHeight="true" outlineLevel="0" collapsed="false">
      <c r="A918" s="20" t="n">
        <f aca="false">'Raw Data'!A918</f>
        <v>917</v>
      </c>
      <c r="B918" s="20" t="n">
        <f aca="false">'Raw Data'!B918</f>
        <v>32</v>
      </c>
      <c r="C918" s="20" t="str">
        <f aca="false">'Raw Data'!C918</f>
        <v>male</v>
      </c>
      <c r="D918" s="20" t="n">
        <f aca="false">'Raw Data'!D918</f>
        <v>2</v>
      </c>
      <c r="E918" s="20" t="str">
        <f aca="false">'Raw Data'!E918</f>
        <v>own</v>
      </c>
      <c r="F918" s="20" t="str">
        <f aca="false">'Raw Data'!F918</f>
        <v>moderate</v>
      </c>
      <c r="G918" s="20" t="str">
        <f aca="false">'Raw Data'!G918</f>
        <v>none</v>
      </c>
      <c r="H918" s="20" t="n">
        <f aca="false">'Raw Data'!H918</f>
        <v>2848</v>
      </c>
      <c r="I918" s="20" t="n">
        <f aca="false">'Raw Data'!I918</f>
        <v>10</v>
      </c>
      <c r="J918" s="20" t="str">
        <f aca="false">'Raw Data'!J918</f>
        <v>car</v>
      </c>
      <c r="K918" s="21" t="n">
        <f aca="false">H918/I918</f>
        <v>284.8</v>
      </c>
      <c r="L918" s="21" t="n">
        <f aca="false">100-MIN(K918/Assumptions!$B$14,1)*100</f>
        <v>28.8</v>
      </c>
      <c r="M918" s="21" t="n">
        <f aca="false">VLOOKUP(F918,Assumptions!$A$19:$B$23,2,0)</f>
        <v>50</v>
      </c>
      <c r="N918" s="21" t="n">
        <f aca="false">VLOOKUP(G918,Assumptions!$A$27:$B$30,2,0)</f>
        <v>50</v>
      </c>
      <c r="O918" s="21" t="n">
        <f aca="false">VLOOKUP(D918,Assumptions!$A$34:$B$37,2,0)</f>
        <v>66</v>
      </c>
      <c r="P918" s="21" t="n">
        <f aca="false">VLOOKUP(E918,Assumptions!$A$41:$B$43,2,0)</f>
        <v>100</v>
      </c>
      <c r="Q918" s="22" t="n">
        <f aca="false">L918*Assumptions!$B$7+M918*Assumptions!$B$8+N918*Assumptions!$B$9+O918*Assumptions!$B$10+P918*Assumptions!$B$11</f>
        <v>51.04</v>
      </c>
      <c r="R918" s="11" t="str">
        <f aca="false">IF(Q918&lt;=33,"High Risk",IF(Q918&lt;=66,"Medium Risk","Low Risk"))</f>
        <v>Medium Risk</v>
      </c>
    </row>
    <row r="919" customFormat="false" ht="15" hidden="false" customHeight="true" outlineLevel="0" collapsed="false">
      <c r="A919" s="20" t="n">
        <f aca="false">'Raw Data'!A919</f>
        <v>918</v>
      </c>
      <c r="B919" s="20" t="n">
        <f aca="false">'Raw Data'!B919</f>
        <v>68</v>
      </c>
      <c r="C919" s="20" t="str">
        <f aca="false">'Raw Data'!C919</f>
        <v>male</v>
      </c>
      <c r="D919" s="20" t="n">
        <f aca="false">'Raw Data'!D919</f>
        <v>3</v>
      </c>
      <c r="E919" s="20" t="str">
        <f aca="false">'Raw Data'!E919</f>
        <v>own</v>
      </c>
      <c r="F919" s="20" t="str">
        <f aca="false">'Raw Data'!F919</f>
        <v>little</v>
      </c>
      <c r="G919" s="20" t="str">
        <f aca="false">'Raw Data'!G919</f>
        <v>little</v>
      </c>
      <c r="H919" s="20" t="n">
        <f aca="false">'Raw Data'!H919</f>
        <v>14896</v>
      </c>
      <c r="I919" s="20" t="n">
        <f aca="false">'Raw Data'!I919</f>
        <v>6</v>
      </c>
      <c r="J919" s="20" t="str">
        <f aca="false">'Raw Data'!J919</f>
        <v>car</v>
      </c>
      <c r="K919" s="21" t="n">
        <f aca="false">H919/I919</f>
        <v>2482.66666666667</v>
      </c>
      <c r="L919" s="21" t="n">
        <f aca="false">100-MIN(K919/Assumptions!$B$14,1)*100</f>
        <v>0</v>
      </c>
      <c r="M919" s="21" t="n">
        <f aca="false">VLOOKUP(F919,Assumptions!$A$19:$B$23,2,0)</f>
        <v>25</v>
      </c>
      <c r="N919" s="21" t="n">
        <f aca="false">VLOOKUP(G919,Assumptions!$A$27:$B$30,2,0)</f>
        <v>25</v>
      </c>
      <c r="O919" s="21" t="n">
        <f aca="false">VLOOKUP(D919,Assumptions!$A$34:$B$37,2,0)</f>
        <v>100</v>
      </c>
      <c r="P919" s="21" t="n">
        <f aca="false">VLOOKUP(E919,Assumptions!$A$41:$B$43,2,0)</f>
        <v>100</v>
      </c>
      <c r="Q919" s="22" t="n">
        <f aca="false">L919*Assumptions!$B$7+M919*Assumptions!$B$8+N919*Assumptions!$B$9+O919*Assumptions!$B$10+P919*Assumptions!$B$11</f>
        <v>36.25</v>
      </c>
      <c r="R919" s="11" t="str">
        <f aca="false">IF(Q919&lt;=33,"High Risk",IF(Q919&lt;=66,"Medium Risk","Low Risk"))</f>
        <v>Medium Risk</v>
      </c>
    </row>
    <row r="920" customFormat="false" ht="15" hidden="false" customHeight="true" outlineLevel="0" collapsed="false">
      <c r="A920" s="20" t="n">
        <f aca="false">'Raw Data'!A920</f>
        <v>919</v>
      </c>
      <c r="B920" s="20" t="n">
        <f aca="false">'Raw Data'!B920</f>
        <v>33</v>
      </c>
      <c r="C920" s="20" t="str">
        <f aca="false">'Raw Data'!C920</f>
        <v>male</v>
      </c>
      <c r="D920" s="20" t="n">
        <f aca="false">'Raw Data'!D920</f>
        <v>2</v>
      </c>
      <c r="E920" s="20" t="str">
        <f aca="false">'Raw Data'!E920</f>
        <v>own</v>
      </c>
      <c r="F920" s="20" t="str">
        <f aca="false">'Raw Data'!F920</f>
        <v>moderate</v>
      </c>
      <c r="G920" s="20" t="str">
        <f aca="false">'Raw Data'!G920</f>
        <v>little</v>
      </c>
      <c r="H920" s="20" t="n">
        <f aca="false">'Raw Data'!H920</f>
        <v>2359</v>
      </c>
      <c r="I920" s="20" t="n">
        <f aca="false">'Raw Data'!I920</f>
        <v>24</v>
      </c>
      <c r="J920" s="20" t="str">
        <f aca="false">'Raw Data'!J920</f>
        <v>furniture/equipment</v>
      </c>
      <c r="K920" s="21" t="n">
        <f aca="false">H920/I920</f>
        <v>98.2916666666667</v>
      </c>
      <c r="L920" s="21" t="n">
        <f aca="false">100-MIN(K920/Assumptions!$B$14,1)*100</f>
        <v>75.4270833333333</v>
      </c>
      <c r="M920" s="21" t="n">
        <f aca="false">VLOOKUP(F920,Assumptions!$A$19:$B$23,2,0)</f>
        <v>50</v>
      </c>
      <c r="N920" s="21" t="n">
        <f aca="false">VLOOKUP(G920,Assumptions!$A$27:$B$30,2,0)</f>
        <v>25</v>
      </c>
      <c r="O920" s="21" t="n">
        <f aca="false">VLOOKUP(D920,Assumptions!$A$34:$B$37,2,0)</f>
        <v>66</v>
      </c>
      <c r="P920" s="21" t="n">
        <f aca="false">VLOOKUP(E920,Assumptions!$A$41:$B$43,2,0)</f>
        <v>100</v>
      </c>
      <c r="Q920" s="22" t="n">
        <f aca="false">L920*Assumptions!$B$7+M920*Assumptions!$B$8+N920*Assumptions!$B$9+O920*Assumptions!$B$10+P920*Assumptions!$B$11</f>
        <v>60.028125</v>
      </c>
      <c r="R920" s="11" t="str">
        <f aca="false">IF(Q920&lt;=33,"High Risk",IF(Q920&lt;=66,"Medium Risk","Low Risk"))</f>
        <v>Medium Risk</v>
      </c>
    </row>
    <row r="921" customFormat="false" ht="15" hidden="false" customHeight="true" outlineLevel="0" collapsed="false">
      <c r="A921" s="20" t="n">
        <f aca="false">'Raw Data'!A921</f>
        <v>920</v>
      </c>
      <c r="B921" s="20" t="n">
        <f aca="false">'Raw Data'!B921</f>
        <v>39</v>
      </c>
      <c r="C921" s="20" t="str">
        <f aca="false">'Raw Data'!C921</f>
        <v>male</v>
      </c>
      <c r="D921" s="20" t="n">
        <f aca="false">'Raw Data'!D921</f>
        <v>3</v>
      </c>
      <c r="E921" s="20" t="str">
        <f aca="false">'Raw Data'!E921</f>
        <v>rent</v>
      </c>
      <c r="F921" s="20" t="str">
        <f aca="false">'Raw Data'!F921</f>
        <v>little</v>
      </c>
      <c r="G921" s="20" t="str">
        <f aca="false">'Raw Data'!G921</f>
        <v>little</v>
      </c>
      <c r="H921" s="20" t="n">
        <f aca="false">'Raw Data'!H921</f>
        <v>3345</v>
      </c>
      <c r="I921" s="20" t="n">
        <f aca="false">'Raw Data'!I921</f>
        <v>24</v>
      </c>
      <c r="J921" s="20" t="str">
        <f aca="false">'Raw Data'!J921</f>
        <v>furniture/equipment</v>
      </c>
      <c r="K921" s="21" t="n">
        <f aca="false">H921/I921</f>
        <v>139.375</v>
      </c>
      <c r="L921" s="21" t="n">
        <f aca="false">100-MIN(K921/Assumptions!$B$14,1)*100</f>
        <v>65.15625</v>
      </c>
      <c r="M921" s="21" t="n">
        <f aca="false">VLOOKUP(F921,Assumptions!$A$19:$B$23,2,0)</f>
        <v>25</v>
      </c>
      <c r="N921" s="21" t="n">
        <f aca="false">VLOOKUP(G921,Assumptions!$A$27:$B$30,2,0)</f>
        <v>25</v>
      </c>
      <c r="O921" s="21" t="n">
        <f aca="false">VLOOKUP(D921,Assumptions!$A$34:$B$37,2,0)</f>
        <v>100</v>
      </c>
      <c r="P921" s="21" t="n">
        <f aca="false">VLOOKUP(E921,Assumptions!$A$41:$B$43,2,0)</f>
        <v>30</v>
      </c>
      <c r="Q921" s="22" t="n">
        <f aca="false">L921*Assumptions!$B$7+M921*Assumptions!$B$8+N921*Assumptions!$B$9+O921*Assumptions!$B$10+P921*Assumptions!$B$11</f>
        <v>48.796875</v>
      </c>
      <c r="R921" s="11" t="str">
        <f aca="false">IF(Q921&lt;=33,"High Risk",IF(Q921&lt;=66,"Medium Risk","Low Risk"))</f>
        <v>Medium Risk</v>
      </c>
    </row>
    <row r="922" customFormat="false" ht="15" hidden="false" customHeight="true" outlineLevel="0" collapsed="false">
      <c r="A922" s="20" t="n">
        <f aca="false">'Raw Data'!A922</f>
        <v>921</v>
      </c>
      <c r="B922" s="20" t="n">
        <f aca="false">'Raw Data'!B922</f>
        <v>28</v>
      </c>
      <c r="C922" s="20" t="str">
        <f aca="false">'Raw Data'!C922</f>
        <v>female</v>
      </c>
      <c r="D922" s="20" t="n">
        <f aca="false">'Raw Data'!D922</f>
        <v>2</v>
      </c>
      <c r="E922" s="20" t="str">
        <f aca="false">'Raw Data'!E922</f>
        <v>own</v>
      </c>
      <c r="F922" s="20" t="str">
        <f aca="false">'Raw Data'!F922</f>
        <v>little</v>
      </c>
      <c r="G922" s="20" t="str">
        <f aca="false">'Raw Data'!G922</f>
        <v>none</v>
      </c>
      <c r="H922" s="20" t="n">
        <f aca="false">'Raw Data'!H922</f>
        <v>1817</v>
      </c>
      <c r="I922" s="20" t="n">
        <f aca="false">'Raw Data'!I922</f>
        <v>18</v>
      </c>
      <c r="J922" s="20" t="str">
        <f aca="false">'Raw Data'!J922</f>
        <v>furniture/equipment</v>
      </c>
      <c r="K922" s="21" t="n">
        <f aca="false">H922/I922</f>
        <v>100.944444444444</v>
      </c>
      <c r="L922" s="21" t="n">
        <f aca="false">100-MIN(K922/Assumptions!$B$14,1)*100</f>
        <v>74.7638888888889</v>
      </c>
      <c r="M922" s="21" t="n">
        <f aca="false">VLOOKUP(F922,Assumptions!$A$19:$B$23,2,0)</f>
        <v>25</v>
      </c>
      <c r="N922" s="21" t="n">
        <f aca="false">VLOOKUP(G922,Assumptions!$A$27:$B$30,2,0)</f>
        <v>50</v>
      </c>
      <c r="O922" s="21" t="n">
        <f aca="false">VLOOKUP(D922,Assumptions!$A$34:$B$37,2,0)</f>
        <v>66</v>
      </c>
      <c r="P922" s="21" t="n">
        <f aca="false">VLOOKUP(E922,Assumptions!$A$41:$B$43,2,0)</f>
        <v>100</v>
      </c>
      <c r="Q922" s="22" t="n">
        <f aca="false">L922*Assumptions!$B$7+M922*Assumptions!$B$8+N922*Assumptions!$B$9+O922*Assumptions!$B$10+P922*Assumptions!$B$11</f>
        <v>58.5791666666667</v>
      </c>
      <c r="R922" s="11" t="str">
        <f aca="false">IF(Q922&lt;=33,"High Risk",IF(Q922&lt;=66,"Medium Risk","Low Risk"))</f>
        <v>Medium Risk</v>
      </c>
    </row>
    <row r="923" customFormat="false" ht="15" hidden="false" customHeight="true" outlineLevel="0" collapsed="false">
      <c r="A923" s="20" t="n">
        <f aca="false">'Raw Data'!A923</f>
        <v>922</v>
      </c>
      <c r="B923" s="20" t="n">
        <f aca="false">'Raw Data'!B923</f>
        <v>37</v>
      </c>
      <c r="C923" s="20" t="str">
        <f aca="false">'Raw Data'!C923</f>
        <v>male</v>
      </c>
      <c r="D923" s="20" t="n">
        <f aca="false">'Raw Data'!D923</f>
        <v>3</v>
      </c>
      <c r="E923" s="20" t="str">
        <f aca="false">'Raw Data'!E923</f>
        <v>own</v>
      </c>
      <c r="F923" s="20" t="str">
        <f aca="false">'Raw Data'!F923</f>
        <v>quite rich</v>
      </c>
      <c r="G923" s="20" t="str">
        <f aca="false">'Raw Data'!G923</f>
        <v>none</v>
      </c>
      <c r="H923" s="20" t="n">
        <f aca="false">'Raw Data'!H923</f>
        <v>12749</v>
      </c>
      <c r="I923" s="20" t="n">
        <f aca="false">'Raw Data'!I923</f>
        <v>48</v>
      </c>
      <c r="J923" s="20" t="str">
        <f aca="false">'Raw Data'!J923</f>
        <v>radio/TV</v>
      </c>
      <c r="K923" s="21" t="n">
        <f aca="false">H923/I923</f>
        <v>265.604166666667</v>
      </c>
      <c r="L923" s="21" t="n">
        <f aca="false">100-MIN(K923/Assumptions!$B$14,1)*100</f>
        <v>33.5989583333333</v>
      </c>
      <c r="M923" s="21" t="n">
        <f aca="false">VLOOKUP(F923,Assumptions!$A$19:$B$23,2,0)</f>
        <v>75</v>
      </c>
      <c r="N923" s="21" t="n">
        <f aca="false">VLOOKUP(G923,Assumptions!$A$27:$B$30,2,0)</f>
        <v>50</v>
      </c>
      <c r="O923" s="21" t="n">
        <f aca="false">VLOOKUP(D923,Assumptions!$A$34:$B$37,2,0)</f>
        <v>100</v>
      </c>
      <c r="P923" s="21" t="n">
        <f aca="false">VLOOKUP(E923,Assumptions!$A$41:$B$43,2,0)</f>
        <v>100</v>
      </c>
      <c r="Q923" s="22" t="n">
        <f aca="false">L923*Assumptions!$B$7+M923*Assumptions!$B$8+N923*Assumptions!$B$9+O923*Assumptions!$B$10+P923*Assumptions!$B$11</f>
        <v>63.8296875</v>
      </c>
      <c r="R923" s="11" t="str">
        <f aca="false">IF(Q923&lt;=33,"High Risk",IF(Q923&lt;=66,"Medium Risk","Low Risk"))</f>
        <v>Medium Risk</v>
      </c>
    </row>
    <row r="924" customFormat="false" ht="15" hidden="false" customHeight="true" outlineLevel="0" collapsed="false">
      <c r="A924" s="20" t="n">
        <f aca="false">'Raw Data'!A924</f>
        <v>923</v>
      </c>
      <c r="B924" s="20" t="n">
        <f aca="false">'Raw Data'!B924</f>
        <v>22</v>
      </c>
      <c r="C924" s="20" t="str">
        <f aca="false">'Raw Data'!C924</f>
        <v>female</v>
      </c>
      <c r="D924" s="20" t="n">
        <f aca="false">'Raw Data'!D924</f>
        <v>2</v>
      </c>
      <c r="E924" s="20" t="str">
        <f aca="false">'Raw Data'!E924</f>
        <v>rent</v>
      </c>
      <c r="F924" s="20" t="str">
        <f aca="false">'Raw Data'!F924</f>
        <v>little</v>
      </c>
      <c r="G924" s="20" t="str">
        <f aca="false">'Raw Data'!G924</f>
        <v>little</v>
      </c>
      <c r="H924" s="20" t="n">
        <f aca="false">'Raw Data'!H924</f>
        <v>1366</v>
      </c>
      <c r="I924" s="20" t="n">
        <f aca="false">'Raw Data'!I924</f>
        <v>9</v>
      </c>
      <c r="J924" s="20" t="str">
        <f aca="false">'Raw Data'!J924</f>
        <v>radio/TV</v>
      </c>
      <c r="K924" s="21" t="n">
        <f aca="false">H924/I924</f>
        <v>151.777777777778</v>
      </c>
      <c r="L924" s="21" t="n">
        <f aca="false">100-MIN(K924/Assumptions!$B$14,1)*100</f>
        <v>62.0555555555556</v>
      </c>
      <c r="M924" s="21" t="n">
        <f aca="false">VLOOKUP(F924,Assumptions!$A$19:$B$23,2,0)</f>
        <v>25</v>
      </c>
      <c r="N924" s="21" t="n">
        <f aca="false">VLOOKUP(G924,Assumptions!$A$27:$B$30,2,0)</f>
        <v>25</v>
      </c>
      <c r="O924" s="21" t="n">
        <f aca="false">VLOOKUP(D924,Assumptions!$A$34:$B$37,2,0)</f>
        <v>66</v>
      </c>
      <c r="P924" s="21" t="n">
        <f aca="false">VLOOKUP(E924,Assumptions!$A$41:$B$43,2,0)</f>
        <v>30</v>
      </c>
      <c r="Q924" s="22" t="n">
        <f aca="false">L924*Assumptions!$B$7+M924*Assumptions!$B$8+N924*Assumptions!$B$9+O924*Assumptions!$B$10+P924*Assumptions!$B$11</f>
        <v>42.7666666666667</v>
      </c>
      <c r="R924" s="11" t="str">
        <f aca="false">IF(Q924&lt;=33,"High Risk",IF(Q924&lt;=66,"Medium Risk","Low Risk"))</f>
        <v>Medium Risk</v>
      </c>
    </row>
    <row r="925" customFormat="false" ht="15" hidden="false" customHeight="true" outlineLevel="0" collapsed="false">
      <c r="A925" s="20" t="n">
        <f aca="false">'Raw Data'!A925</f>
        <v>924</v>
      </c>
      <c r="B925" s="20" t="n">
        <f aca="false">'Raw Data'!B925</f>
        <v>30</v>
      </c>
      <c r="C925" s="20" t="str">
        <f aca="false">'Raw Data'!C925</f>
        <v>male</v>
      </c>
      <c r="D925" s="20" t="n">
        <f aca="false">'Raw Data'!D925</f>
        <v>2</v>
      </c>
      <c r="E925" s="20" t="str">
        <f aca="false">'Raw Data'!E925</f>
        <v>rent</v>
      </c>
      <c r="F925" s="20" t="str">
        <f aca="false">'Raw Data'!F925</f>
        <v>little</v>
      </c>
      <c r="G925" s="20" t="str">
        <f aca="false">'Raw Data'!G925</f>
        <v>moderate</v>
      </c>
      <c r="H925" s="20" t="n">
        <f aca="false">'Raw Data'!H925</f>
        <v>2002</v>
      </c>
      <c r="I925" s="20" t="n">
        <f aca="false">'Raw Data'!I925</f>
        <v>12</v>
      </c>
      <c r="J925" s="20" t="str">
        <f aca="false">'Raw Data'!J925</f>
        <v>car</v>
      </c>
      <c r="K925" s="21" t="n">
        <f aca="false">H925/I925</f>
        <v>166.833333333333</v>
      </c>
      <c r="L925" s="21" t="n">
        <f aca="false">100-MIN(K925/Assumptions!$B$14,1)*100</f>
        <v>58.2916666666667</v>
      </c>
      <c r="M925" s="21" t="n">
        <f aca="false">VLOOKUP(F925,Assumptions!$A$19:$B$23,2,0)</f>
        <v>25</v>
      </c>
      <c r="N925" s="21" t="n">
        <f aca="false">VLOOKUP(G925,Assumptions!$A$27:$B$30,2,0)</f>
        <v>60</v>
      </c>
      <c r="O925" s="21" t="n">
        <f aca="false">VLOOKUP(D925,Assumptions!$A$34:$B$37,2,0)</f>
        <v>66</v>
      </c>
      <c r="P925" s="21" t="n">
        <f aca="false">VLOOKUP(E925,Assumptions!$A$41:$B$43,2,0)</f>
        <v>30</v>
      </c>
      <c r="Q925" s="22" t="n">
        <f aca="false">L925*Assumptions!$B$7+M925*Assumptions!$B$8+N925*Assumptions!$B$9+O925*Assumptions!$B$10+P925*Assumptions!$B$11</f>
        <v>48.6375</v>
      </c>
      <c r="R925" s="11" t="str">
        <f aca="false">IF(Q925&lt;=33,"High Risk",IF(Q925&lt;=66,"Medium Risk","Low Risk"))</f>
        <v>Medium Risk</v>
      </c>
    </row>
    <row r="926" customFormat="false" ht="15" hidden="false" customHeight="true" outlineLevel="0" collapsed="false">
      <c r="A926" s="20" t="n">
        <f aca="false">'Raw Data'!A926</f>
        <v>925</v>
      </c>
      <c r="B926" s="20" t="n">
        <f aca="false">'Raw Data'!B926</f>
        <v>55</v>
      </c>
      <c r="C926" s="20" t="str">
        <f aca="false">'Raw Data'!C926</f>
        <v>male</v>
      </c>
      <c r="D926" s="20" t="n">
        <f aca="false">'Raw Data'!D926</f>
        <v>2</v>
      </c>
      <c r="E926" s="20" t="str">
        <f aca="false">'Raw Data'!E926</f>
        <v>own</v>
      </c>
      <c r="F926" s="20" t="str">
        <f aca="false">'Raw Data'!F926</f>
        <v>little</v>
      </c>
      <c r="G926" s="20" t="str">
        <f aca="false">'Raw Data'!G926</f>
        <v>little</v>
      </c>
      <c r="H926" s="20" t="n">
        <f aca="false">'Raw Data'!H926</f>
        <v>6872</v>
      </c>
      <c r="I926" s="20" t="n">
        <f aca="false">'Raw Data'!I926</f>
        <v>24</v>
      </c>
      <c r="J926" s="20" t="str">
        <f aca="false">'Raw Data'!J926</f>
        <v>furniture/equipment</v>
      </c>
      <c r="K926" s="21" t="n">
        <f aca="false">H926/I926</f>
        <v>286.333333333333</v>
      </c>
      <c r="L926" s="21" t="n">
        <f aca="false">100-MIN(K926/Assumptions!$B$14,1)*100</f>
        <v>28.4166666666667</v>
      </c>
      <c r="M926" s="21" t="n">
        <f aca="false">VLOOKUP(F926,Assumptions!$A$19:$B$23,2,0)</f>
        <v>25</v>
      </c>
      <c r="N926" s="21" t="n">
        <f aca="false">VLOOKUP(G926,Assumptions!$A$27:$B$30,2,0)</f>
        <v>25</v>
      </c>
      <c r="O926" s="21" t="n">
        <f aca="false">VLOOKUP(D926,Assumptions!$A$34:$B$37,2,0)</f>
        <v>66</v>
      </c>
      <c r="P926" s="21" t="n">
        <f aca="false">VLOOKUP(E926,Assumptions!$A$41:$B$43,2,0)</f>
        <v>100</v>
      </c>
      <c r="Q926" s="22" t="n">
        <f aca="false">L926*Assumptions!$B$7+M926*Assumptions!$B$8+N926*Assumptions!$B$9+O926*Assumptions!$B$10+P926*Assumptions!$B$11</f>
        <v>39.675</v>
      </c>
      <c r="R926" s="11" t="str">
        <f aca="false">IF(Q926&lt;=33,"High Risk",IF(Q926&lt;=66,"Medium Risk","Low Risk"))</f>
        <v>Medium Risk</v>
      </c>
    </row>
    <row r="927" customFormat="false" ht="15" hidden="false" customHeight="true" outlineLevel="0" collapsed="false">
      <c r="A927" s="20" t="n">
        <f aca="false">'Raw Data'!A927</f>
        <v>926</v>
      </c>
      <c r="B927" s="20" t="n">
        <f aca="false">'Raw Data'!B927</f>
        <v>46</v>
      </c>
      <c r="C927" s="20" t="str">
        <f aca="false">'Raw Data'!C927</f>
        <v>male</v>
      </c>
      <c r="D927" s="20" t="n">
        <f aca="false">'Raw Data'!D927</f>
        <v>2</v>
      </c>
      <c r="E927" s="20" t="str">
        <f aca="false">'Raw Data'!E927</f>
        <v>own</v>
      </c>
      <c r="F927" s="20" t="str">
        <f aca="false">'Raw Data'!F927</f>
        <v>little</v>
      </c>
      <c r="G927" s="20" t="str">
        <f aca="false">'Raw Data'!G927</f>
        <v>little</v>
      </c>
      <c r="H927" s="20" t="n">
        <f aca="false">'Raw Data'!H927</f>
        <v>697</v>
      </c>
      <c r="I927" s="20" t="n">
        <f aca="false">'Raw Data'!I927</f>
        <v>12</v>
      </c>
      <c r="J927" s="20" t="str">
        <f aca="false">'Raw Data'!J927</f>
        <v>car</v>
      </c>
      <c r="K927" s="21" t="n">
        <f aca="false">H927/I927</f>
        <v>58.0833333333333</v>
      </c>
      <c r="L927" s="21" t="n">
        <f aca="false">100-MIN(K927/Assumptions!$B$14,1)*100</f>
        <v>85.4791666666667</v>
      </c>
      <c r="M927" s="21" t="n">
        <f aca="false">VLOOKUP(F927,Assumptions!$A$19:$B$23,2,0)</f>
        <v>25</v>
      </c>
      <c r="N927" s="21" t="n">
        <f aca="false">VLOOKUP(G927,Assumptions!$A$27:$B$30,2,0)</f>
        <v>25</v>
      </c>
      <c r="O927" s="21" t="n">
        <f aca="false">VLOOKUP(D927,Assumptions!$A$34:$B$37,2,0)</f>
        <v>66</v>
      </c>
      <c r="P927" s="21" t="n">
        <f aca="false">VLOOKUP(E927,Assumptions!$A$41:$B$43,2,0)</f>
        <v>100</v>
      </c>
      <c r="Q927" s="22" t="n">
        <f aca="false">L927*Assumptions!$B$7+M927*Assumptions!$B$8+N927*Assumptions!$B$9+O927*Assumptions!$B$10+P927*Assumptions!$B$11</f>
        <v>56.79375</v>
      </c>
      <c r="R927" s="11" t="str">
        <f aca="false">IF(Q927&lt;=33,"High Risk",IF(Q927&lt;=66,"Medium Risk","Low Risk"))</f>
        <v>Medium Risk</v>
      </c>
    </row>
    <row r="928" customFormat="false" ht="15" hidden="false" customHeight="true" outlineLevel="0" collapsed="false">
      <c r="A928" s="20" t="n">
        <f aca="false">'Raw Data'!A928</f>
        <v>927</v>
      </c>
      <c r="B928" s="20" t="n">
        <f aca="false">'Raw Data'!B928</f>
        <v>21</v>
      </c>
      <c r="C928" s="20" t="str">
        <f aca="false">'Raw Data'!C928</f>
        <v>female</v>
      </c>
      <c r="D928" s="20" t="n">
        <f aca="false">'Raw Data'!D928</f>
        <v>2</v>
      </c>
      <c r="E928" s="20" t="str">
        <f aca="false">'Raw Data'!E928</f>
        <v>rent</v>
      </c>
      <c r="F928" s="20" t="str">
        <f aca="false">'Raw Data'!F928</f>
        <v>little</v>
      </c>
      <c r="G928" s="20" t="str">
        <f aca="false">'Raw Data'!G928</f>
        <v>little</v>
      </c>
      <c r="H928" s="20" t="n">
        <f aca="false">'Raw Data'!H928</f>
        <v>1049</v>
      </c>
      <c r="I928" s="20" t="n">
        <f aca="false">'Raw Data'!I928</f>
        <v>18</v>
      </c>
      <c r="J928" s="20" t="str">
        <f aca="false">'Raw Data'!J928</f>
        <v>furniture/equipment</v>
      </c>
      <c r="K928" s="21" t="n">
        <f aca="false">H928/I928</f>
        <v>58.2777777777778</v>
      </c>
      <c r="L928" s="21" t="n">
        <f aca="false">100-MIN(K928/Assumptions!$B$14,1)*100</f>
        <v>85.4305555555556</v>
      </c>
      <c r="M928" s="21" t="n">
        <f aca="false">VLOOKUP(F928,Assumptions!$A$19:$B$23,2,0)</f>
        <v>25</v>
      </c>
      <c r="N928" s="21" t="n">
        <f aca="false">VLOOKUP(G928,Assumptions!$A$27:$B$30,2,0)</f>
        <v>25</v>
      </c>
      <c r="O928" s="21" t="n">
        <f aca="false">VLOOKUP(D928,Assumptions!$A$34:$B$37,2,0)</f>
        <v>66</v>
      </c>
      <c r="P928" s="21" t="n">
        <f aca="false">VLOOKUP(E928,Assumptions!$A$41:$B$43,2,0)</f>
        <v>30</v>
      </c>
      <c r="Q928" s="22" t="n">
        <f aca="false">L928*Assumptions!$B$7+M928*Assumptions!$B$8+N928*Assumptions!$B$9+O928*Assumptions!$B$10+P928*Assumptions!$B$11</f>
        <v>49.7791666666667</v>
      </c>
      <c r="R928" s="11" t="str">
        <f aca="false">IF(Q928&lt;=33,"High Risk",IF(Q928&lt;=66,"Medium Risk","Low Risk"))</f>
        <v>Medium Risk</v>
      </c>
    </row>
    <row r="929" customFormat="false" ht="15" hidden="false" customHeight="true" outlineLevel="0" collapsed="false">
      <c r="A929" s="20" t="n">
        <f aca="false">'Raw Data'!A929</f>
        <v>928</v>
      </c>
      <c r="B929" s="20" t="n">
        <f aca="false">'Raw Data'!B929</f>
        <v>39</v>
      </c>
      <c r="C929" s="20" t="str">
        <f aca="false">'Raw Data'!C929</f>
        <v>male</v>
      </c>
      <c r="D929" s="20" t="n">
        <f aca="false">'Raw Data'!D929</f>
        <v>2</v>
      </c>
      <c r="E929" s="20" t="str">
        <f aca="false">'Raw Data'!E929</f>
        <v>free</v>
      </c>
      <c r="F929" s="20" t="str">
        <f aca="false">'Raw Data'!F929</f>
        <v>little</v>
      </c>
      <c r="G929" s="20" t="str">
        <f aca="false">'Raw Data'!G929</f>
        <v>little</v>
      </c>
      <c r="H929" s="20" t="n">
        <f aca="false">'Raw Data'!H929</f>
        <v>10297</v>
      </c>
      <c r="I929" s="20" t="n">
        <f aca="false">'Raw Data'!I929</f>
        <v>48</v>
      </c>
      <c r="J929" s="20" t="str">
        <f aca="false">'Raw Data'!J929</f>
        <v>car</v>
      </c>
      <c r="K929" s="21" t="n">
        <f aca="false">H929/I929</f>
        <v>214.520833333333</v>
      </c>
      <c r="L929" s="21" t="n">
        <f aca="false">100-MIN(K929/Assumptions!$B$14,1)*100</f>
        <v>46.3697916666667</v>
      </c>
      <c r="M929" s="21" t="n">
        <f aca="false">VLOOKUP(F929,Assumptions!$A$19:$B$23,2,0)</f>
        <v>25</v>
      </c>
      <c r="N929" s="21" t="n">
        <f aca="false">VLOOKUP(G929,Assumptions!$A$27:$B$30,2,0)</f>
        <v>25</v>
      </c>
      <c r="O929" s="21" t="n">
        <f aca="false">VLOOKUP(D929,Assumptions!$A$34:$B$37,2,0)</f>
        <v>66</v>
      </c>
      <c r="P929" s="21" t="n">
        <f aca="false">VLOOKUP(E929,Assumptions!$A$41:$B$43,2,0)</f>
        <v>60</v>
      </c>
      <c r="Q929" s="22" t="n">
        <f aca="false">L929*Assumptions!$B$7+M929*Assumptions!$B$8+N929*Assumptions!$B$9+O929*Assumptions!$B$10+P929*Assumptions!$B$11</f>
        <v>41.0609375</v>
      </c>
      <c r="R929" s="11" t="str">
        <f aca="false">IF(Q929&lt;=33,"High Risk",IF(Q929&lt;=66,"Medium Risk","Low Risk"))</f>
        <v>Medium Risk</v>
      </c>
    </row>
    <row r="930" customFormat="false" ht="15" hidden="false" customHeight="true" outlineLevel="0" collapsed="false">
      <c r="A930" s="20" t="n">
        <f aca="false">'Raw Data'!A930</f>
        <v>929</v>
      </c>
      <c r="B930" s="20" t="n">
        <f aca="false">'Raw Data'!B930</f>
        <v>58</v>
      </c>
      <c r="C930" s="20" t="str">
        <f aca="false">'Raw Data'!C930</f>
        <v>male</v>
      </c>
      <c r="D930" s="20" t="n">
        <f aca="false">'Raw Data'!D930</f>
        <v>2</v>
      </c>
      <c r="E930" s="20" t="str">
        <f aca="false">'Raw Data'!E930</f>
        <v>own</v>
      </c>
      <c r="F930" s="20" t="str">
        <f aca="false">'Raw Data'!F930</f>
        <v>none</v>
      </c>
      <c r="G930" s="20" t="str">
        <f aca="false">'Raw Data'!G930</f>
        <v>none</v>
      </c>
      <c r="H930" s="20" t="n">
        <f aca="false">'Raw Data'!H930</f>
        <v>1867</v>
      </c>
      <c r="I930" s="20" t="n">
        <f aca="false">'Raw Data'!I930</f>
        <v>30</v>
      </c>
      <c r="J930" s="20" t="str">
        <f aca="false">'Raw Data'!J930</f>
        <v>radio/TV</v>
      </c>
      <c r="K930" s="21" t="n">
        <f aca="false">H930/I930</f>
        <v>62.2333333333333</v>
      </c>
      <c r="L930" s="21" t="n">
        <f aca="false">100-MIN(K930/Assumptions!$B$14,1)*100</f>
        <v>84.4416666666667</v>
      </c>
      <c r="M930" s="21" t="n">
        <f aca="false">VLOOKUP(F930,Assumptions!$A$19:$B$23,2,0)</f>
        <v>40</v>
      </c>
      <c r="N930" s="21" t="n">
        <f aca="false">VLOOKUP(G930,Assumptions!$A$27:$B$30,2,0)</f>
        <v>50</v>
      </c>
      <c r="O930" s="21" t="n">
        <f aca="false">VLOOKUP(D930,Assumptions!$A$34:$B$37,2,0)</f>
        <v>66</v>
      </c>
      <c r="P930" s="21" t="n">
        <f aca="false">VLOOKUP(E930,Assumptions!$A$41:$B$43,2,0)</f>
        <v>100</v>
      </c>
      <c r="Q930" s="22" t="n">
        <f aca="false">L930*Assumptions!$B$7+M930*Assumptions!$B$8+N930*Assumptions!$B$9+O930*Assumptions!$B$10+P930*Assumptions!$B$11</f>
        <v>65.2325</v>
      </c>
      <c r="R930" s="11" t="str">
        <f aca="false">IF(Q930&lt;=33,"High Risk",IF(Q930&lt;=66,"Medium Risk","Low Risk"))</f>
        <v>Medium Risk</v>
      </c>
    </row>
    <row r="931" customFormat="false" ht="15" hidden="false" customHeight="true" outlineLevel="0" collapsed="false">
      <c r="A931" s="20" t="n">
        <f aca="false">'Raw Data'!A931</f>
        <v>930</v>
      </c>
      <c r="B931" s="20" t="n">
        <f aca="false">'Raw Data'!B931</f>
        <v>43</v>
      </c>
      <c r="C931" s="20" t="str">
        <f aca="false">'Raw Data'!C931</f>
        <v>male</v>
      </c>
      <c r="D931" s="20" t="n">
        <f aca="false">'Raw Data'!D931</f>
        <v>1</v>
      </c>
      <c r="E931" s="20" t="str">
        <f aca="false">'Raw Data'!E931</f>
        <v>own</v>
      </c>
      <c r="F931" s="20" t="str">
        <f aca="false">'Raw Data'!F931</f>
        <v>little</v>
      </c>
      <c r="G931" s="20" t="str">
        <f aca="false">'Raw Data'!G931</f>
        <v>little</v>
      </c>
      <c r="H931" s="20" t="n">
        <f aca="false">'Raw Data'!H931</f>
        <v>1344</v>
      </c>
      <c r="I931" s="20" t="n">
        <f aca="false">'Raw Data'!I931</f>
        <v>12</v>
      </c>
      <c r="J931" s="20" t="str">
        <f aca="false">'Raw Data'!J931</f>
        <v>car</v>
      </c>
      <c r="K931" s="21" t="n">
        <f aca="false">H931/I931</f>
        <v>112</v>
      </c>
      <c r="L931" s="21" t="n">
        <f aca="false">100-MIN(K931/Assumptions!$B$14,1)*100</f>
        <v>72</v>
      </c>
      <c r="M931" s="21" t="n">
        <f aca="false">VLOOKUP(F931,Assumptions!$A$19:$B$23,2,0)</f>
        <v>25</v>
      </c>
      <c r="N931" s="21" t="n">
        <f aca="false">VLOOKUP(G931,Assumptions!$A$27:$B$30,2,0)</f>
        <v>25</v>
      </c>
      <c r="O931" s="21" t="n">
        <f aca="false">VLOOKUP(D931,Assumptions!$A$34:$B$37,2,0)</f>
        <v>33</v>
      </c>
      <c r="P931" s="21" t="n">
        <f aca="false">VLOOKUP(E931,Assumptions!$A$41:$B$43,2,0)</f>
        <v>100</v>
      </c>
      <c r="Q931" s="22" t="n">
        <f aca="false">L931*Assumptions!$B$7+M931*Assumptions!$B$8+N931*Assumptions!$B$9+O931*Assumptions!$B$10+P931*Assumptions!$B$11</f>
        <v>47.8</v>
      </c>
      <c r="R931" s="11" t="str">
        <f aca="false">IF(Q931&lt;=33,"High Risk",IF(Q931&lt;=66,"Medium Risk","Low Risk"))</f>
        <v>Medium Risk</v>
      </c>
    </row>
    <row r="932" customFormat="false" ht="15" hidden="false" customHeight="true" outlineLevel="0" collapsed="false">
      <c r="A932" s="20" t="n">
        <f aca="false">'Raw Data'!A932</f>
        <v>931</v>
      </c>
      <c r="B932" s="20" t="n">
        <f aca="false">'Raw Data'!B932</f>
        <v>24</v>
      </c>
      <c r="C932" s="20" t="str">
        <f aca="false">'Raw Data'!C932</f>
        <v>male</v>
      </c>
      <c r="D932" s="20" t="n">
        <f aca="false">'Raw Data'!D932</f>
        <v>1</v>
      </c>
      <c r="E932" s="20" t="str">
        <f aca="false">'Raw Data'!E932</f>
        <v>own</v>
      </c>
      <c r="F932" s="20" t="str">
        <f aca="false">'Raw Data'!F932</f>
        <v>little</v>
      </c>
      <c r="G932" s="20" t="str">
        <f aca="false">'Raw Data'!G932</f>
        <v>little</v>
      </c>
      <c r="H932" s="20" t="n">
        <f aca="false">'Raw Data'!H932</f>
        <v>1747</v>
      </c>
      <c r="I932" s="20" t="n">
        <f aca="false">'Raw Data'!I932</f>
        <v>24</v>
      </c>
      <c r="J932" s="20" t="str">
        <f aca="false">'Raw Data'!J932</f>
        <v>furniture/equipment</v>
      </c>
      <c r="K932" s="21" t="n">
        <f aca="false">H932/I932</f>
        <v>72.7916666666667</v>
      </c>
      <c r="L932" s="21" t="n">
        <f aca="false">100-MIN(K932/Assumptions!$B$14,1)*100</f>
        <v>81.8020833333333</v>
      </c>
      <c r="M932" s="21" t="n">
        <f aca="false">VLOOKUP(F932,Assumptions!$A$19:$B$23,2,0)</f>
        <v>25</v>
      </c>
      <c r="N932" s="21" t="n">
        <f aca="false">VLOOKUP(G932,Assumptions!$A$27:$B$30,2,0)</f>
        <v>25</v>
      </c>
      <c r="O932" s="21" t="n">
        <f aca="false">VLOOKUP(D932,Assumptions!$A$34:$B$37,2,0)</f>
        <v>33</v>
      </c>
      <c r="P932" s="21" t="n">
        <f aca="false">VLOOKUP(E932,Assumptions!$A$41:$B$43,2,0)</f>
        <v>100</v>
      </c>
      <c r="Q932" s="22" t="n">
        <f aca="false">L932*Assumptions!$B$7+M932*Assumptions!$B$8+N932*Assumptions!$B$9+O932*Assumptions!$B$10+P932*Assumptions!$B$11</f>
        <v>50.740625</v>
      </c>
      <c r="R932" s="11" t="str">
        <f aca="false">IF(Q932&lt;=33,"High Risk",IF(Q932&lt;=66,"Medium Risk","Low Risk"))</f>
        <v>Medium Risk</v>
      </c>
    </row>
    <row r="933" customFormat="false" ht="15" hidden="false" customHeight="true" outlineLevel="0" collapsed="false">
      <c r="A933" s="20" t="n">
        <f aca="false">'Raw Data'!A933</f>
        <v>932</v>
      </c>
      <c r="B933" s="20" t="n">
        <f aca="false">'Raw Data'!B933</f>
        <v>22</v>
      </c>
      <c r="C933" s="20" t="str">
        <f aca="false">'Raw Data'!C933</f>
        <v>female</v>
      </c>
      <c r="D933" s="20" t="n">
        <f aca="false">'Raw Data'!D933</f>
        <v>2</v>
      </c>
      <c r="E933" s="20" t="str">
        <f aca="false">'Raw Data'!E933</f>
        <v>own</v>
      </c>
      <c r="F933" s="20" t="str">
        <f aca="false">'Raw Data'!F933</f>
        <v>little</v>
      </c>
      <c r="G933" s="20" t="str">
        <f aca="false">'Raw Data'!G933</f>
        <v>moderate</v>
      </c>
      <c r="H933" s="20" t="n">
        <f aca="false">'Raw Data'!H933</f>
        <v>1670</v>
      </c>
      <c r="I933" s="20" t="n">
        <f aca="false">'Raw Data'!I933</f>
        <v>9</v>
      </c>
      <c r="J933" s="20" t="str">
        <f aca="false">'Raw Data'!J933</f>
        <v>radio/TV</v>
      </c>
      <c r="K933" s="21" t="n">
        <f aca="false">H933/I933</f>
        <v>185.555555555556</v>
      </c>
      <c r="L933" s="21" t="n">
        <f aca="false">100-MIN(K933/Assumptions!$B$14,1)*100</f>
        <v>53.6111111111111</v>
      </c>
      <c r="M933" s="21" t="n">
        <f aca="false">VLOOKUP(F933,Assumptions!$A$19:$B$23,2,0)</f>
        <v>25</v>
      </c>
      <c r="N933" s="21" t="n">
        <f aca="false">VLOOKUP(G933,Assumptions!$A$27:$B$30,2,0)</f>
        <v>60</v>
      </c>
      <c r="O933" s="21" t="n">
        <f aca="false">VLOOKUP(D933,Assumptions!$A$34:$B$37,2,0)</f>
        <v>66</v>
      </c>
      <c r="P933" s="21" t="n">
        <f aca="false">VLOOKUP(E933,Assumptions!$A$41:$B$43,2,0)</f>
        <v>100</v>
      </c>
      <c r="Q933" s="22" t="n">
        <f aca="false">L933*Assumptions!$B$7+M933*Assumptions!$B$8+N933*Assumptions!$B$9+O933*Assumptions!$B$10+P933*Assumptions!$B$11</f>
        <v>54.2333333333333</v>
      </c>
      <c r="R933" s="11" t="str">
        <f aca="false">IF(Q933&lt;=33,"High Risk",IF(Q933&lt;=66,"Medium Risk","Low Risk"))</f>
        <v>Medium Risk</v>
      </c>
    </row>
    <row r="934" customFormat="false" ht="15" hidden="false" customHeight="true" outlineLevel="0" collapsed="false">
      <c r="A934" s="20" t="n">
        <f aca="false">'Raw Data'!A934</f>
        <v>933</v>
      </c>
      <c r="B934" s="20" t="n">
        <f aca="false">'Raw Data'!B934</f>
        <v>30</v>
      </c>
      <c r="C934" s="20" t="str">
        <f aca="false">'Raw Data'!C934</f>
        <v>male</v>
      </c>
      <c r="D934" s="20" t="n">
        <f aca="false">'Raw Data'!D934</f>
        <v>2</v>
      </c>
      <c r="E934" s="20" t="str">
        <f aca="false">'Raw Data'!E934</f>
        <v>own</v>
      </c>
      <c r="F934" s="20" t="str">
        <f aca="false">'Raw Data'!F934</f>
        <v>little</v>
      </c>
      <c r="G934" s="20" t="str">
        <f aca="false">'Raw Data'!G934</f>
        <v>none</v>
      </c>
      <c r="H934" s="20" t="n">
        <f aca="false">'Raw Data'!H934</f>
        <v>1224</v>
      </c>
      <c r="I934" s="20" t="n">
        <f aca="false">'Raw Data'!I934</f>
        <v>9</v>
      </c>
      <c r="J934" s="20" t="str">
        <f aca="false">'Raw Data'!J934</f>
        <v>car</v>
      </c>
      <c r="K934" s="21" t="n">
        <f aca="false">H934/I934</f>
        <v>136</v>
      </c>
      <c r="L934" s="21" t="n">
        <f aca="false">100-MIN(K934/Assumptions!$B$14,1)*100</f>
        <v>66</v>
      </c>
      <c r="M934" s="21" t="n">
        <f aca="false">VLOOKUP(F934,Assumptions!$A$19:$B$23,2,0)</f>
        <v>25</v>
      </c>
      <c r="N934" s="21" t="n">
        <f aca="false">VLOOKUP(G934,Assumptions!$A$27:$B$30,2,0)</f>
        <v>50</v>
      </c>
      <c r="O934" s="21" t="n">
        <f aca="false">VLOOKUP(D934,Assumptions!$A$34:$B$37,2,0)</f>
        <v>66</v>
      </c>
      <c r="P934" s="21" t="n">
        <f aca="false">VLOOKUP(E934,Assumptions!$A$41:$B$43,2,0)</f>
        <v>100</v>
      </c>
      <c r="Q934" s="22" t="n">
        <f aca="false">L934*Assumptions!$B$7+M934*Assumptions!$B$8+N934*Assumptions!$B$9+O934*Assumptions!$B$10+P934*Assumptions!$B$11</f>
        <v>55.95</v>
      </c>
      <c r="R934" s="11" t="str">
        <f aca="false">IF(Q934&lt;=33,"High Risk",IF(Q934&lt;=66,"Medium Risk","Low Risk"))</f>
        <v>Medium Risk</v>
      </c>
    </row>
    <row r="935" customFormat="false" ht="15" hidden="false" customHeight="true" outlineLevel="0" collapsed="false">
      <c r="A935" s="20" t="n">
        <f aca="false">'Raw Data'!A935</f>
        <v>934</v>
      </c>
      <c r="B935" s="20" t="n">
        <f aca="false">'Raw Data'!B935</f>
        <v>42</v>
      </c>
      <c r="C935" s="20" t="str">
        <f aca="false">'Raw Data'!C935</f>
        <v>male</v>
      </c>
      <c r="D935" s="20" t="n">
        <f aca="false">'Raw Data'!D935</f>
        <v>2</v>
      </c>
      <c r="E935" s="20" t="str">
        <f aca="false">'Raw Data'!E935</f>
        <v>own</v>
      </c>
      <c r="F935" s="20" t="str">
        <f aca="false">'Raw Data'!F935</f>
        <v>quite rich</v>
      </c>
      <c r="G935" s="20" t="str">
        <f aca="false">'Raw Data'!G935</f>
        <v>none</v>
      </c>
      <c r="H935" s="20" t="n">
        <f aca="false">'Raw Data'!H935</f>
        <v>522</v>
      </c>
      <c r="I935" s="20" t="n">
        <f aca="false">'Raw Data'!I935</f>
        <v>12</v>
      </c>
      <c r="J935" s="20" t="str">
        <f aca="false">'Raw Data'!J935</f>
        <v>radio/TV</v>
      </c>
      <c r="K935" s="21" t="n">
        <f aca="false">H935/I935</f>
        <v>43.5</v>
      </c>
      <c r="L935" s="21" t="n">
        <f aca="false">100-MIN(K935/Assumptions!$B$14,1)*100</f>
        <v>89.125</v>
      </c>
      <c r="M935" s="21" t="n">
        <f aca="false">VLOOKUP(F935,Assumptions!$A$19:$B$23,2,0)</f>
        <v>75</v>
      </c>
      <c r="N935" s="21" t="n">
        <f aca="false">VLOOKUP(G935,Assumptions!$A$27:$B$30,2,0)</f>
        <v>50</v>
      </c>
      <c r="O935" s="21" t="n">
        <f aca="false">VLOOKUP(D935,Assumptions!$A$34:$B$37,2,0)</f>
        <v>66</v>
      </c>
      <c r="P935" s="21" t="n">
        <f aca="false">VLOOKUP(E935,Assumptions!$A$41:$B$43,2,0)</f>
        <v>100</v>
      </c>
      <c r="Q935" s="22" t="n">
        <f aca="false">L935*Assumptions!$B$7+M935*Assumptions!$B$8+N935*Assumptions!$B$9+O935*Assumptions!$B$10+P935*Assumptions!$B$11</f>
        <v>75.3875</v>
      </c>
      <c r="R935" s="11" t="str">
        <f aca="false">IF(Q935&lt;=33,"High Risk",IF(Q935&lt;=66,"Medium Risk","Low Risk"))</f>
        <v>Low Risk</v>
      </c>
    </row>
    <row r="936" customFormat="false" ht="15" hidden="false" customHeight="true" outlineLevel="0" collapsed="false">
      <c r="A936" s="20" t="n">
        <f aca="false">'Raw Data'!A936</f>
        <v>935</v>
      </c>
      <c r="B936" s="20" t="n">
        <f aca="false">'Raw Data'!B936</f>
        <v>23</v>
      </c>
      <c r="C936" s="20" t="str">
        <f aca="false">'Raw Data'!C936</f>
        <v>female</v>
      </c>
      <c r="D936" s="20" t="n">
        <f aca="false">'Raw Data'!D936</f>
        <v>2</v>
      </c>
      <c r="E936" s="20" t="str">
        <f aca="false">'Raw Data'!E936</f>
        <v>own</v>
      </c>
      <c r="F936" s="20" t="str">
        <f aca="false">'Raw Data'!F936</f>
        <v>little</v>
      </c>
      <c r="G936" s="20" t="str">
        <f aca="false">'Raw Data'!G936</f>
        <v>little</v>
      </c>
      <c r="H936" s="20" t="n">
        <f aca="false">'Raw Data'!H936</f>
        <v>1498</v>
      </c>
      <c r="I936" s="20" t="n">
        <f aca="false">'Raw Data'!I936</f>
        <v>12</v>
      </c>
      <c r="J936" s="20" t="str">
        <f aca="false">'Raw Data'!J936</f>
        <v>radio/TV</v>
      </c>
      <c r="K936" s="21" t="n">
        <f aca="false">H936/I936</f>
        <v>124.833333333333</v>
      </c>
      <c r="L936" s="21" t="n">
        <f aca="false">100-MIN(K936/Assumptions!$B$14,1)*100</f>
        <v>68.7916666666667</v>
      </c>
      <c r="M936" s="21" t="n">
        <f aca="false">VLOOKUP(F936,Assumptions!$A$19:$B$23,2,0)</f>
        <v>25</v>
      </c>
      <c r="N936" s="21" t="n">
        <f aca="false">VLOOKUP(G936,Assumptions!$A$27:$B$30,2,0)</f>
        <v>25</v>
      </c>
      <c r="O936" s="21" t="n">
        <f aca="false">VLOOKUP(D936,Assumptions!$A$34:$B$37,2,0)</f>
        <v>66</v>
      </c>
      <c r="P936" s="21" t="n">
        <f aca="false">VLOOKUP(E936,Assumptions!$A$41:$B$43,2,0)</f>
        <v>100</v>
      </c>
      <c r="Q936" s="22" t="n">
        <f aca="false">L936*Assumptions!$B$7+M936*Assumptions!$B$8+N936*Assumptions!$B$9+O936*Assumptions!$B$10+P936*Assumptions!$B$11</f>
        <v>51.7875</v>
      </c>
      <c r="R936" s="11" t="str">
        <f aca="false">IF(Q936&lt;=33,"High Risk",IF(Q936&lt;=66,"Medium Risk","Low Risk"))</f>
        <v>Medium Risk</v>
      </c>
    </row>
    <row r="937" customFormat="false" ht="15" hidden="false" customHeight="true" outlineLevel="0" collapsed="false">
      <c r="A937" s="20" t="n">
        <f aca="false">'Raw Data'!A937</f>
        <v>936</v>
      </c>
      <c r="B937" s="20" t="n">
        <f aca="false">'Raw Data'!B937</f>
        <v>30</v>
      </c>
      <c r="C937" s="20" t="str">
        <f aca="false">'Raw Data'!C937</f>
        <v>male</v>
      </c>
      <c r="D937" s="20" t="n">
        <f aca="false">'Raw Data'!D937</f>
        <v>3</v>
      </c>
      <c r="E937" s="20" t="str">
        <f aca="false">'Raw Data'!E937</f>
        <v>own</v>
      </c>
      <c r="F937" s="20" t="str">
        <f aca="false">'Raw Data'!F937</f>
        <v>moderate</v>
      </c>
      <c r="G937" s="20" t="str">
        <f aca="false">'Raw Data'!G937</f>
        <v>moderate</v>
      </c>
      <c r="H937" s="20" t="n">
        <f aca="false">'Raw Data'!H937</f>
        <v>1919</v>
      </c>
      <c r="I937" s="20" t="n">
        <f aca="false">'Raw Data'!I937</f>
        <v>30</v>
      </c>
      <c r="J937" s="20" t="str">
        <f aca="false">'Raw Data'!J937</f>
        <v>radio/TV</v>
      </c>
      <c r="K937" s="21" t="n">
        <f aca="false">H937/I937</f>
        <v>63.9666666666667</v>
      </c>
      <c r="L937" s="21" t="n">
        <f aca="false">100-MIN(K937/Assumptions!$B$14,1)*100</f>
        <v>84.0083333333333</v>
      </c>
      <c r="M937" s="21" t="n">
        <f aca="false">VLOOKUP(F937,Assumptions!$A$19:$B$23,2,0)</f>
        <v>50</v>
      </c>
      <c r="N937" s="21" t="n">
        <f aca="false">VLOOKUP(G937,Assumptions!$A$27:$B$30,2,0)</f>
        <v>60</v>
      </c>
      <c r="O937" s="21" t="n">
        <f aca="false">VLOOKUP(D937,Assumptions!$A$34:$B$37,2,0)</f>
        <v>100</v>
      </c>
      <c r="P937" s="21" t="n">
        <f aca="false">VLOOKUP(E937,Assumptions!$A$41:$B$43,2,0)</f>
        <v>100</v>
      </c>
      <c r="Q937" s="22" t="n">
        <f aca="false">L937*Assumptions!$B$7+M937*Assumptions!$B$8+N937*Assumptions!$B$9+O937*Assumptions!$B$10+P937*Assumptions!$B$11</f>
        <v>74.7025</v>
      </c>
      <c r="R937" s="11" t="str">
        <f aca="false">IF(Q937&lt;=33,"High Risk",IF(Q937&lt;=66,"Medium Risk","Low Risk"))</f>
        <v>Low Risk</v>
      </c>
    </row>
    <row r="938" customFormat="false" ht="15" hidden="false" customHeight="true" outlineLevel="0" collapsed="false">
      <c r="A938" s="20" t="n">
        <f aca="false">'Raw Data'!A938</f>
        <v>937</v>
      </c>
      <c r="B938" s="20" t="n">
        <f aca="false">'Raw Data'!B938</f>
        <v>28</v>
      </c>
      <c r="C938" s="20" t="str">
        <f aca="false">'Raw Data'!C938</f>
        <v>female</v>
      </c>
      <c r="D938" s="20" t="n">
        <f aca="false">'Raw Data'!D938</f>
        <v>1</v>
      </c>
      <c r="E938" s="20" t="str">
        <f aca="false">'Raw Data'!E938</f>
        <v>own</v>
      </c>
      <c r="F938" s="20" t="str">
        <f aca="false">'Raw Data'!F938</f>
        <v>little</v>
      </c>
      <c r="G938" s="20" t="str">
        <f aca="false">'Raw Data'!G938</f>
        <v>rich</v>
      </c>
      <c r="H938" s="20" t="n">
        <f aca="false">'Raw Data'!H938</f>
        <v>745</v>
      </c>
      <c r="I938" s="20" t="n">
        <f aca="false">'Raw Data'!I938</f>
        <v>9</v>
      </c>
      <c r="J938" s="20" t="str">
        <f aca="false">'Raw Data'!J938</f>
        <v>radio/TV</v>
      </c>
      <c r="K938" s="21" t="n">
        <f aca="false">H938/I938</f>
        <v>82.7777777777778</v>
      </c>
      <c r="L938" s="21" t="n">
        <f aca="false">100-MIN(K938/Assumptions!$B$14,1)*100</f>
        <v>79.3055555555556</v>
      </c>
      <c r="M938" s="21" t="n">
        <f aca="false">VLOOKUP(F938,Assumptions!$A$19:$B$23,2,0)</f>
        <v>25</v>
      </c>
      <c r="N938" s="21" t="n">
        <f aca="false">VLOOKUP(G938,Assumptions!$A$27:$B$30,2,0)</f>
        <v>100</v>
      </c>
      <c r="O938" s="21" t="n">
        <f aca="false">VLOOKUP(D938,Assumptions!$A$34:$B$37,2,0)</f>
        <v>33</v>
      </c>
      <c r="P938" s="21" t="n">
        <f aca="false">VLOOKUP(E938,Assumptions!$A$41:$B$43,2,0)</f>
        <v>100</v>
      </c>
      <c r="Q938" s="22" t="n">
        <f aca="false">L938*Assumptions!$B$7+M938*Assumptions!$B$8+N938*Assumptions!$B$9+O938*Assumptions!$B$10+P938*Assumptions!$B$11</f>
        <v>64.9916666666667</v>
      </c>
      <c r="R938" s="11" t="str">
        <f aca="false">IF(Q938&lt;=33,"High Risk",IF(Q938&lt;=66,"Medium Risk","Low Risk"))</f>
        <v>Medium Risk</v>
      </c>
    </row>
    <row r="939" customFormat="false" ht="15" hidden="false" customHeight="true" outlineLevel="0" collapsed="false">
      <c r="A939" s="20" t="n">
        <f aca="false">'Raw Data'!A939</f>
        <v>938</v>
      </c>
      <c r="B939" s="20" t="n">
        <f aca="false">'Raw Data'!B939</f>
        <v>30</v>
      </c>
      <c r="C939" s="20" t="str">
        <f aca="false">'Raw Data'!C939</f>
        <v>male</v>
      </c>
      <c r="D939" s="20" t="n">
        <f aca="false">'Raw Data'!D939</f>
        <v>3</v>
      </c>
      <c r="E939" s="20" t="str">
        <f aca="false">'Raw Data'!E939</f>
        <v>rent</v>
      </c>
      <c r="F939" s="20" t="str">
        <f aca="false">'Raw Data'!F939</f>
        <v>little</v>
      </c>
      <c r="G939" s="20" t="str">
        <f aca="false">'Raw Data'!G939</f>
        <v>moderate</v>
      </c>
      <c r="H939" s="20" t="n">
        <f aca="false">'Raw Data'!H939</f>
        <v>2063</v>
      </c>
      <c r="I939" s="20" t="n">
        <f aca="false">'Raw Data'!I939</f>
        <v>6</v>
      </c>
      <c r="J939" s="20" t="str">
        <f aca="false">'Raw Data'!J939</f>
        <v>radio/TV</v>
      </c>
      <c r="K939" s="21" t="n">
        <f aca="false">H939/I939</f>
        <v>343.833333333333</v>
      </c>
      <c r="L939" s="21" t="n">
        <f aca="false">100-MIN(K939/Assumptions!$B$14,1)*100</f>
        <v>14.0416666666667</v>
      </c>
      <c r="M939" s="21" t="n">
        <f aca="false">VLOOKUP(F939,Assumptions!$A$19:$B$23,2,0)</f>
        <v>25</v>
      </c>
      <c r="N939" s="21" t="n">
        <f aca="false">VLOOKUP(G939,Assumptions!$A$27:$B$30,2,0)</f>
        <v>60</v>
      </c>
      <c r="O939" s="21" t="n">
        <f aca="false">VLOOKUP(D939,Assumptions!$A$34:$B$37,2,0)</f>
        <v>100</v>
      </c>
      <c r="P939" s="21" t="n">
        <f aca="false">VLOOKUP(E939,Assumptions!$A$41:$B$43,2,0)</f>
        <v>30</v>
      </c>
      <c r="Q939" s="22" t="n">
        <f aca="false">L939*Assumptions!$B$7+M939*Assumptions!$B$8+N939*Assumptions!$B$9+O939*Assumptions!$B$10+P939*Assumptions!$B$11</f>
        <v>40.4625</v>
      </c>
      <c r="R939" s="11" t="str">
        <f aca="false">IF(Q939&lt;=33,"High Risk",IF(Q939&lt;=66,"Medium Risk","Low Risk"))</f>
        <v>Medium Risk</v>
      </c>
    </row>
    <row r="940" customFormat="false" ht="15" hidden="false" customHeight="true" outlineLevel="0" collapsed="false">
      <c r="A940" s="20" t="n">
        <f aca="false">'Raw Data'!A940</f>
        <v>939</v>
      </c>
      <c r="B940" s="20" t="n">
        <f aca="false">'Raw Data'!B940</f>
        <v>42</v>
      </c>
      <c r="C940" s="20" t="str">
        <f aca="false">'Raw Data'!C940</f>
        <v>male</v>
      </c>
      <c r="D940" s="20" t="n">
        <f aca="false">'Raw Data'!D940</f>
        <v>2</v>
      </c>
      <c r="E940" s="20" t="str">
        <f aca="false">'Raw Data'!E940</f>
        <v>free</v>
      </c>
      <c r="F940" s="20" t="str">
        <f aca="false">'Raw Data'!F940</f>
        <v>little</v>
      </c>
      <c r="G940" s="20" t="str">
        <f aca="false">'Raw Data'!G940</f>
        <v>moderate</v>
      </c>
      <c r="H940" s="20" t="n">
        <f aca="false">'Raw Data'!H940</f>
        <v>6288</v>
      </c>
      <c r="I940" s="20" t="n">
        <f aca="false">'Raw Data'!I940</f>
        <v>60</v>
      </c>
      <c r="J940" s="20" t="str">
        <f aca="false">'Raw Data'!J940</f>
        <v>education</v>
      </c>
      <c r="K940" s="21" t="n">
        <f aca="false">H940/I940</f>
        <v>104.8</v>
      </c>
      <c r="L940" s="21" t="n">
        <f aca="false">100-MIN(K940/Assumptions!$B$14,1)*100</f>
        <v>73.8</v>
      </c>
      <c r="M940" s="21" t="n">
        <f aca="false">VLOOKUP(F940,Assumptions!$A$19:$B$23,2,0)</f>
        <v>25</v>
      </c>
      <c r="N940" s="21" t="n">
        <f aca="false">VLOOKUP(G940,Assumptions!$A$27:$B$30,2,0)</f>
        <v>60</v>
      </c>
      <c r="O940" s="21" t="n">
        <f aca="false">VLOOKUP(D940,Assumptions!$A$34:$B$37,2,0)</f>
        <v>66</v>
      </c>
      <c r="P940" s="21" t="n">
        <f aca="false">VLOOKUP(E940,Assumptions!$A$41:$B$43,2,0)</f>
        <v>60</v>
      </c>
      <c r="Q940" s="22" t="n">
        <f aca="false">L940*Assumptions!$B$7+M940*Assumptions!$B$8+N940*Assumptions!$B$9+O940*Assumptions!$B$10+P940*Assumptions!$B$11</f>
        <v>56.29</v>
      </c>
      <c r="R940" s="11" t="str">
        <f aca="false">IF(Q940&lt;=33,"High Risk",IF(Q940&lt;=66,"Medium Risk","Low Risk"))</f>
        <v>Medium Risk</v>
      </c>
    </row>
    <row r="941" customFormat="false" ht="15" hidden="false" customHeight="true" outlineLevel="0" collapsed="false">
      <c r="A941" s="20" t="n">
        <f aca="false">'Raw Data'!A941</f>
        <v>940</v>
      </c>
      <c r="B941" s="20" t="n">
        <f aca="false">'Raw Data'!B941</f>
        <v>46</v>
      </c>
      <c r="C941" s="20" t="str">
        <f aca="false">'Raw Data'!C941</f>
        <v>male</v>
      </c>
      <c r="D941" s="20" t="n">
        <f aca="false">'Raw Data'!D941</f>
        <v>3</v>
      </c>
      <c r="E941" s="20" t="str">
        <f aca="false">'Raw Data'!E941</f>
        <v>own</v>
      </c>
      <c r="F941" s="20" t="str">
        <f aca="false">'Raw Data'!F941</f>
        <v>none</v>
      </c>
      <c r="G941" s="20" t="str">
        <f aca="false">'Raw Data'!G941</f>
        <v>none</v>
      </c>
      <c r="H941" s="20" t="n">
        <f aca="false">'Raw Data'!H941</f>
        <v>6842</v>
      </c>
      <c r="I941" s="20" t="n">
        <f aca="false">'Raw Data'!I941</f>
        <v>24</v>
      </c>
      <c r="J941" s="20" t="str">
        <f aca="false">'Raw Data'!J941</f>
        <v>car</v>
      </c>
      <c r="K941" s="21" t="n">
        <f aca="false">H941/I941</f>
        <v>285.083333333333</v>
      </c>
      <c r="L941" s="21" t="n">
        <f aca="false">100-MIN(K941/Assumptions!$B$14,1)*100</f>
        <v>28.7291666666667</v>
      </c>
      <c r="M941" s="21" t="n">
        <f aca="false">VLOOKUP(F941,Assumptions!$A$19:$B$23,2,0)</f>
        <v>40</v>
      </c>
      <c r="N941" s="21" t="n">
        <f aca="false">VLOOKUP(G941,Assumptions!$A$27:$B$30,2,0)</f>
        <v>50</v>
      </c>
      <c r="O941" s="21" t="n">
        <f aca="false">VLOOKUP(D941,Assumptions!$A$34:$B$37,2,0)</f>
        <v>100</v>
      </c>
      <c r="P941" s="21" t="n">
        <f aca="false">VLOOKUP(E941,Assumptions!$A$41:$B$43,2,0)</f>
        <v>100</v>
      </c>
      <c r="Q941" s="22" t="n">
        <f aca="false">L941*Assumptions!$B$7+M941*Assumptions!$B$8+N941*Assumptions!$B$9+O941*Assumptions!$B$10+P941*Assumptions!$B$11</f>
        <v>53.61875</v>
      </c>
      <c r="R941" s="11" t="str">
        <f aca="false">IF(Q941&lt;=33,"High Risk",IF(Q941&lt;=66,"Medium Risk","Low Risk"))</f>
        <v>Medium Risk</v>
      </c>
    </row>
    <row r="942" customFormat="false" ht="15" hidden="false" customHeight="true" outlineLevel="0" collapsed="false">
      <c r="A942" s="20" t="n">
        <f aca="false">'Raw Data'!A942</f>
        <v>941</v>
      </c>
      <c r="B942" s="20" t="n">
        <f aca="false">'Raw Data'!B942</f>
        <v>45</v>
      </c>
      <c r="C942" s="20" t="str">
        <f aca="false">'Raw Data'!C942</f>
        <v>male</v>
      </c>
      <c r="D942" s="20" t="n">
        <f aca="false">'Raw Data'!D942</f>
        <v>3</v>
      </c>
      <c r="E942" s="20" t="str">
        <f aca="false">'Raw Data'!E942</f>
        <v>own</v>
      </c>
      <c r="F942" s="20" t="str">
        <f aca="false">'Raw Data'!F942</f>
        <v>none</v>
      </c>
      <c r="G942" s="20" t="str">
        <f aca="false">'Raw Data'!G942</f>
        <v>none</v>
      </c>
      <c r="H942" s="20" t="n">
        <f aca="false">'Raw Data'!H942</f>
        <v>3527</v>
      </c>
      <c r="I942" s="20" t="n">
        <f aca="false">'Raw Data'!I942</f>
        <v>12</v>
      </c>
      <c r="J942" s="20" t="str">
        <f aca="false">'Raw Data'!J942</f>
        <v>car</v>
      </c>
      <c r="K942" s="21" t="n">
        <f aca="false">H942/I942</f>
        <v>293.916666666667</v>
      </c>
      <c r="L942" s="21" t="n">
        <f aca="false">100-MIN(K942/Assumptions!$B$14,1)*100</f>
        <v>26.5208333333333</v>
      </c>
      <c r="M942" s="21" t="n">
        <f aca="false">VLOOKUP(F942,Assumptions!$A$19:$B$23,2,0)</f>
        <v>40</v>
      </c>
      <c r="N942" s="21" t="n">
        <f aca="false">VLOOKUP(G942,Assumptions!$A$27:$B$30,2,0)</f>
        <v>50</v>
      </c>
      <c r="O942" s="21" t="n">
        <f aca="false">VLOOKUP(D942,Assumptions!$A$34:$B$37,2,0)</f>
        <v>100</v>
      </c>
      <c r="P942" s="21" t="n">
        <f aca="false">VLOOKUP(E942,Assumptions!$A$41:$B$43,2,0)</f>
        <v>100</v>
      </c>
      <c r="Q942" s="22" t="n">
        <f aca="false">L942*Assumptions!$B$7+M942*Assumptions!$B$8+N942*Assumptions!$B$9+O942*Assumptions!$B$10+P942*Assumptions!$B$11</f>
        <v>52.95625</v>
      </c>
      <c r="R942" s="11" t="str">
        <f aca="false">IF(Q942&lt;=33,"High Risk",IF(Q942&lt;=66,"Medium Risk","Low Risk"))</f>
        <v>Medium Risk</v>
      </c>
    </row>
    <row r="943" customFormat="false" ht="15" hidden="false" customHeight="true" outlineLevel="0" collapsed="false">
      <c r="A943" s="20" t="n">
        <f aca="false">'Raw Data'!A943</f>
        <v>942</v>
      </c>
      <c r="B943" s="20" t="n">
        <f aca="false">'Raw Data'!B943</f>
        <v>31</v>
      </c>
      <c r="C943" s="20" t="str">
        <f aca="false">'Raw Data'!C943</f>
        <v>male</v>
      </c>
      <c r="D943" s="20" t="n">
        <f aca="false">'Raw Data'!D943</f>
        <v>1</v>
      </c>
      <c r="E943" s="20" t="str">
        <f aca="false">'Raw Data'!E943</f>
        <v>own</v>
      </c>
      <c r="F943" s="20" t="str">
        <f aca="false">'Raw Data'!F943</f>
        <v>little</v>
      </c>
      <c r="G943" s="20" t="str">
        <f aca="false">'Raw Data'!G943</f>
        <v>none</v>
      </c>
      <c r="H943" s="20" t="n">
        <f aca="false">'Raw Data'!H943</f>
        <v>1546</v>
      </c>
      <c r="I943" s="20" t="n">
        <f aca="false">'Raw Data'!I943</f>
        <v>10</v>
      </c>
      <c r="J943" s="20" t="str">
        <f aca="false">'Raw Data'!J943</f>
        <v>car</v>
      </c>
      <c r="K943" s="21" t="n">
        <f aca="false">H943/I943</f>
        <v>154.6</v>
      </c>
      <c r="L943" s="21" t="n">
        <f aca="false">100-MIN(K943/Assumptions!$B$14,1)*100</f>
        <v>61.35</v>
      </c>
      <c r="M943" s="21" t="n">
        <f aca="false">VLOOKUP(F943,Assumptions!$A$19:$B$23,2,0)</f>
        <v>25</v>
      </c>
      <c r="N943" s="21" t="n">
        <f aca="false">VLOOKUP(G943,Assumptions!$A$27:$B$30,2,0)</f>
        <v>50</v>
      </c>
      <c r="O943" s="21" t="n">
        <f aca="false">VLOOKUP(D943,Assumptions!$A$34:$B$37,2,0)</f>
        <v>33</v>
      </c>
      <c r="P943" s="21" t="n">
        <f aca="false">VLOOKUP(E943,Assumptions!$A$41:$B$43,2,0)</f>
        <v>100</v>
      </c>
      <c r="Q943" s="22" t="n">
        <f aca="false">L943*Assumptions!$B$7+M943*Assumptions!$B$8+N943*Assumptions!$B$9+O943*Assumptions!$B$10+P943*Assumptions!$B$11</f>
        <v>49.605</v>
      </c>
      <c r="R943" s="11" t="str">
        <f aca="false">IF(Q943&lt;=33,"High Risk",IF(Q943&lt;=66,"Medium Risk","Low Risk"))</f>
        <v>Medium Risk</v>
      </c>
    </row>
    <row r="944" customFormat="false" ht="15" hidden="false" customHeight="true" outlineLevel="0" collapsed="false">
      <c r="A944" s="20" t="n">
        <f aca="false">'Raw Data'!A944</f>
        <v>943</v>
      </c>
      <c r="B944" s="20" t="n">
        <f aca="false">'Raw Data'!B944</f>
        <v>31</v>
      </c>
      <c r="C944" s="20" t="str">
        <f aca="false">'Raw Data'!C944</f>
        <v>male</v>
      </c>
      <c r="D944" s="20" t="n">
        <f aca="false">'Raw Data'!D944</f>
        <v>2</v>
      </c>
      <c r="E944" s="20" t="str">
        <f aca="false">'Raw Data'!E944</f>
        <v>own</v>
      </c>
      <c r="F944" s="20" t="str">
        <f aca="false">'Raw Data'!F944</f>
        <v>none</v>
      </c>
      <c r="G944" s="20" t="str">
        <f aca="false">'Raw Data'!G944</f>
        <v>none</v>
      </c>
      <c r="H944" s="20" t="n">
        <f aca="false">'Raw Data'!H944</f>
        <v>929</v>
      </c>
      <c r="I944" s="20" t="n">
        <f aca="false">'Raw Data'!I944</f>
        <v>24</v>
      </c>
      <c r="J944" s="20" t="str">
        <f aca="false">'Raw Data'!J944</f>
        <v>furniture/equipment</v>
      </c>
      <c r="K944" s="21" t="n">
        <f aca="false">H944/I944</f>
        <v>38.7083333333333</v>
      </c>
      <c r="L944" s="21" t="n">
        <f aca="false">100-MIN(K944/Assumptions!$B$14,1)*100</f>
        <v>90.3229166666667</v>
      </c>
      <c r="M944" s="21" t="n">
        <f aca="false">VLOOKUP(F944,Assumptions!$A$19:$B$23,2,0)</f>
        <v>40</v>
      </c>
      <c r="N944" s="21" t="n">
        <f aca="false">VLOOKUP(G944,Assumptions!$A$27:$B$30,2,0)</f>
        <v>50</v>
      </c>
      <c r="O944" s="21" t="n">
        <f aca="false">VLOOKUP(D944,Assumptions!$A$34:$B$37,2,0)</f>
        <v>66</v>
      </c>
      <c r="P944" s="21" t="n">
        <f aca="false">VLOOKUP(E944,Assumptions!$A$41:$B$43,2,0)</f>
        <v>100</v>
      </c>
      <c r="Q944" s="22" t="n">
        <f aca="false">L944*Assumptions!$B$7+M944*Assumptions!$B$8+N944*Assumptions!$B$9+O944*Assumptions!$B$10+P944*Assumptions!$B$11</f>
        <v>66.996875</v>
      </c>
      <c r="R944" s="11" t="str">
        <f aca="false">IF(Q944&lt;=33,"High Risk",IF(Q944&lt;=66,"Medium Risk","Low Risk"))</f>
        <v>Low Risk</v>
      </c>
    </row>
    <row r="945" customFormat="false" ht="15" hidden="false" customHeight="true" outlineLevel="0" collapsed="false">
      <c r="A945" s="20" t="n">
        <f aca="false">'Raw Data'!A945</f>
        <v>944</v>
      </c>
      <c r="B945" s="20" t="n">
        <f aca="false">'Raw Data'!B945</f>
        <v>42</v>
      </c>
      <c r="C945" s="20" t="str">
        <f aca="false">'Raw Data'!C945</f>
        <v>male</v>
      </c>
      <c r="D945" s="20" t="n">
        <f aca="false">'Raw Data'!D945</f>
        <v>1</v>
      </c>
      <c r="E945" s="20" t="str">
        <f aca="false">'Raw Data'!E945</f>
        <v>own</v>
      </c>
      <c r="F945" s="20" t="str">
        <f aca="false">'Raw Data'!F945</f>
        <v>little</v>
      </c>
      <c r="G945" s="20" t="str">
        <f aca="false">'Raw Data'!G945</f>
        <v>none</v>
      </c>
      <c r="H945" s="20" t="n">
        <f aca="false">'Raw Data'!H945</f>
        <v>1455</v>
      </c>
      <c r="I945" s="20" t="n">
        <f aca="false">'Raw Data'!I945</f>
        <v>4</v>
      </c>
      <c r="J945" s="20" t="str">
        <f aca="false">'Raw Data'!J945</f>
        <v>car</v>
      </c>
      <c r="K945" s="21" t="n">
        <f aca="false">H945/I945</f>
        <v>363.75</v>
      </c>
      <c r="L945" s="21" t="n">
        <f aca="false">100-MIN(K945/Assumptions!$B$14,1)*100</f>
        <v>9.0625</v>
      </c>
      <c r="M945" s="21" t="n">
        <f aca="false">VLOOKUP(F945,Assumptions!$A$19:$B$23,2,0)</f>
        <v>25</v>
      </c>
      <c r="N945" s="21" t="n">
        <f aca="false">VLOOKUP(G945,Assumptions!$A$27:$B$30,2,0)</f>
        <v>50</v>
      </c>
      <c r="O945" s="21" t="n">
        <f aca="false">VLOOKUP(D945,Assumptions!$A$34:$B$37,2,0)</f>
        <v>33</v>
      </c>
      <c r="P945" s="21" t="n">
        <f aca="false">VLOOKUP(E945,Assumptions!$A$41:$B$43,2,0)</f>
        <v>100</v>
      </c>
      <c r="Q945" s="22" t="n">
        <f aca="false">L945*Assumptions!$B$7+M945*Assumptions!$B$8+N945*Assumptions!$B$9+O945*Assumptions!$B$10+P945*Assumptions!$B$11</f>
        <v>33.91875</v>
      </c>
      <c r="R945" s="11" t="str">
        <f aca="false">IF(Q945&lt;=33,"High Risk",IF(Q945&lt;=66,"Medium Risk","Low Risk"))</f>
        <v>Medium Risk</v>
      </c>
    </row>
    <row r="946" customFormat="false" ht="15" hidden="false" customHeight="true" outlineLevel="0" collapsed="false">
      <c r="A946" s="20" t="n">
        <f aca="false">'Raw Data'!A946</f>
        <v>945</v>
      </c>
      <c r="B946" s="20" t="n">
        <f aca="false">'Raw Data'!B946</f>
        <v>46</v>
      </c>
      <c r="C946" s="20" t="str">
        <f aca="false">'Raw Data'!C946</f>
        <v>female</v>
      </c>
      <c r="D946" s="20" t="n">
        <f aca="false">'Raw Data'!D946</f>
        <v>2</v>
      </c>
      <c r="E946" s="20" t="str">
        <f aca="false">'Raw Data'!E946</f>
        <v>rent</v>
      </c>
      <c r="F946" s="20" t="str">
        <f aca="false">'Raw Data'!F946</f>
        <v>little</v>
      </c>
      <c r="G946" s="20" t="str">
        <f aca="false">'Raw Data'!G946</f>
        <v>little</v>
      </c>
      <c r="H946" s="20" t="n">
        <f aca="false">'Raw Data'!H946</f>
        <v>1845</v>
      </c>
      <c r="I946" s="20" t="n">
        <f aca="false">'Raw Data'!I946</f>
        <v>15</v>
      </c>
      <c r="J946" s="20" t="str">
        <f aca="false">'Raw Data'!J946</f>
        <v>furniture/equipment</v>
      </c>
      <c r="K946" s="21" t="n">
        <f aca="false">H946/I946</f>
        <v>123</v>
      </c>
      <c r="L946" s="21" t="n">
        <f aca="false">100-MIN(K946/Assumptions!$B$14,1)*100</f>
        <v>69.25</v>
      </c>
      <c r="M946" s="21" t="n">
        <f aca="false">VLOOKUP(F946,Assumptions!$A$19:$B$23,2,0)</f>
        <v>25</v>
      </c>
      <c r="N946" s="21" t="n">
        <f aca="false">VLOOKUP(G946,Assumptions!$A$27:$B$30,2,0)</f>
        <v>25</v>
      </c>
      <c r="O946" s="21" t="n">
        <f aca="false">VLOOKUP(D946,Assumptions!$A$34:$B$37,2,0)</f>
        <v>66</v>
      </c>
      <c r="P946" s="21" t="n">
        <f aca="false">VLOOKUP(E946,Assumptions!$A$41:$B$43,2,0)</f>
        <v>30</v>
      </c>
      <c r="Q946" s="22" t="n">
        <f aca="false">L946*Assumptions!$B$7+M946*Assumptions!$B$8+N946*Assumptions!$B$9+O946*Assumptions!$B$10+P946*Assumptions!$B$11</f>
        <v>44.925</v>
      </c>
      <c r="R946" s="11" t="str">
        <f aca="false">IF(Q946&lt;=33,"High Risk",IF(Q946&lt;=66,"Medium Risk","Low Risk"))</f>
        <v>Medium Risk</v>
      </c>
    </row>
    <row r="947" customFormat="false" ht="15" hidden="false" customHeight="true" outlineLevel="0" collapsed="false">
      <c r="A947" s="20" t="n">
        <f aca="false">'Raw Data'!A947</f>
        <v>946</v>
      </c>
      <c r="B947" s="20" t="n">
        <f aca="false">'Raw Data'!B947</f>
        <v>30</v>
      </c>
      <c r="C947" s="20" t="str">
        <f aca="false">'Raw Data'!C947</f>
        <v>female</v>
      </c>
      <c r="D947" s="20" t="n">
        <f aca="false">'Raw Data'!D947</f>
        <v>2</v>
      </c>
      <c r="E947" s="20" t="str">
        <f aca="false">'Raw Data'!E947</f>
        <v>own</v>
      </c>
      <c r="F947" s="20" t="str">
        <f aca="false">'Raw Data'!F947</f>
        <v>quite rich</v>
      </c>
      <c r="G947" s="20" t="str">
        <f aca="false">'Raw Data'!G947</f>
        <v>moderate</v>
      </c>
      <c r="H947" s="20" t="n">
        <f aca="false">'Raw Data'!H947</f>
        <v>8358</v>
      </c>
      <c r="I947" s="20" t="n">
        <f aca="false">'Raw Data'!I947</f>
        <v>48</v>
      </c>
      <c r="J947" s="20" t="str">
        <f aca="false">'Raw Data'!J947</f>
        <v>car</v>
      </c>
      <c r="K947" s="21" t="n">
        <f aca="false">H947/I947</f>
        <v>174.125</v>
      </c>
      <c r="L947" s="21" t="n">
        <f aca="false">100-MIN(K947/Assumptions!$B$14,1)*100</f>
        <v>56.46875</v>
      </c>
      <c r="M947" s="21" t="n">
        <f aca="false">VLOOKUP(F947,Assumptions!$A$19:$B$23,2,0)</f>
        <v>75</v>
      </c>
      <c r="N947" s="21" t="n">
        <f aca="false">VLOOKUP(G947,Assumptions!$A$27:$B$30,2,0)</f>
        <v>60</v>
      </c>
      <c r="O947" s="21" t="n">
        <f aca="false">VLOOKUP(D947,Assumptions!$A$34:$B$37,2,0)</f>
        <v>66</v>
      </c>
      <c r="P947" s="21" t="n">
        <f aca="false">VLOOKUP(E947,Assumptions!$A$41:$B$43,2,0)</f>
        <v>100</v>
      </c>
      <c r="Q947" s="22" t="n">
        <f aca="false">L947*Assumptions!$B$7+M947*Assumptions!$B$8+N947*Assumptions!$B$9+O947*Assumptions!$B$10+P947*Assumptions!$B$11</f>
        <v>67.590625</v>
      </c>
      <c r="R947" s="11" t="str">
        <f aca="false">IF(Q947&lt;=33,"High Risk",IF(Q947&lt;=66,"Medium Risk","Low Risk"))</f>
        <v>Low Risk</v>
      </c>
    </row>
    <row r="948" customFormat="false" ht="15" hidden="false" customHeight="true" outlineLevel="0" collapsed="false">
      <c r="A948" s="20" t="n">
        <f aca="false">'Raw Data'!A948</f>
        <v>947</v>
      </c>
      <c r="B948" s="20" t="n">
        <f aca="false">'Raw Data'!B948</f>
        <v>30</v>
      </c>
      <c r="C948" s="20" t="str">
        <f aca="false">'Raw Data'!C948</f>
        <v>male</v>
      </c>
      <c r="D948" s="20" t="n">
        <f aca="false">'Raw Data'!D948</f>
        <v>2</v>
      </c>
      <c r="E948" s="20" t="str">
        <f aca="false">'Raw Data'!E948</f>
        <v>free</v>
      </c>
      <c r="F948" s="20" t="str">
        <f aca="false">'Raw Data'!F948</f>
        <v>quite rich</v>
      </c>
      <c r="G948" s="20" t="str">
        <f aca="false">'Raw Data'!G948</f>
        <v>little</v>
      </c>
      <c r="H948" s="20" t="n">
        <f aca="false">'Raw Data'!H948</f>
        <v>3349</v>
      </c>
      <c r="I948" s="20" t="n">
        <f aca="false">'Raw Data'!I948</f>
        <v>24</v>
      </c>
      <c r="J948" s="20" t="str">
        <f aca="false">'Raw Data'!J948</f>
        <v>furniture/equipment</v>
      </c>
      <c r="K948" s="21" t="n">
        <f aca="false">H948/I948</f>
        <v>139.541666666667</v>
      </c>
      <c r="L948" s="21" t="n">
        <f aca="false">100-MIN(K948/Assumptions!$B$14,1)*100</f>
        <v>65.1145833333333</v>
      </c>
      <c r="M948" s="21" t="n">
        <f aca="false">VLOOKUP(F948,Assumptions!$A$19:$B$23,2,0)</f>
        <v>75</v>
      </c>
      <c r="N948" s="21" t="n">
        <f aca="false">VLOOKUP(G948,Assumptions!$A$27:$B$30,2,0)</f>
        <v>25</v>
      </c>
      <c r="O948" s="21" t="n">
        <f aca="false">VLOOKUP(D948,Assumptions!$A$34:$B$37,2,0)</f>
        <v>66</v>
      </c>
      <c r="P948" s="21" t="n">
        <f aca="false">VLOOKUP(E948,Assumptions!$A$41:$B$43,2,0)</f>
        <v>60</v>
      </c>
      <c r="Q948" s="22" t="n">
        <f aca="false">L948*Assumptions!$B$7+M948*Assumptions!$B$8+N948*Assumptions!$B$9+O948*Assumptions!$B$10+P948*Assumptions!$B$11</f>
        <v>59.184375</v>
      </c>
      <c r="R948" s="11" t="str">
        <f aca="false">IF(Q948&lt;=33,"High Risk",IF(Q948&lt;=66,"Medium Risk","Low Risk"))</f>
        <v>Medium Risk</v>
      </c>
    </row>
    <row r="949" customFormat="false" ht="15" hidden="false" customHeight="true" outlineLevel="0" collapsed="false">
      <c r="A949" s="20" t="n">
        <f aca="false">'Raw Data'!A949</f>
        <v>948</v>
      </c>
      <c r="B949" s="20" t="n">
        <f aca="false">'Raw Data'!B949</f>
        <v>38</v>
      </c>
      <c r="C949" s="20" t="str">
        <f aca="false">'Raw Data'!C949</f>
        <v>male</v>
      </c>
      <c r="D949" s="20" t="n">
        <f aca="false">'Raw Data'!D949</f>
        <v>3</v>
      </c>
      <c r="E949" s="20" t="str">
        <f aca="false">'Raw Data'!E949</f>
        <v>own</v>
      </c>
      <c r="F949" s="20" t="str">
        <f aca="false">'Raw Data'!F949</f>
        <v>none</v>
      </c>
      <c r="G949" s="20" t="str">
        <f aca="false">'Raw Data'!G949</f>
        <v>none</v>
      </c>
      <c r="H949" s="20" t="n">
        <f aca="false">'Raw Data'!H949</f>
        <v>2859</v>
      </c>
      <c r="I949" s="20" t="n">
        <f aca="false">'Raw Data'!I949</f>
        <v>12</v>
      </c>
      <c r="J949" s="20" t="str">
        <f aca="false">'Raw Data'!J949</f>
        <v>car</v>
      </c>
      <c r="K949" s="21" t="n">
        <f aca="false">H949/I949</f>
        <v>238.25</v>
      </c>
      <c r="L949" s="21" t="n">
        <f aca="false">100-MIN(K949/Assumptions!$B$14,1)*100</f>
        <v>40.4375</v>
      </c>
      <c r="M949" s="21" t="n">
        <f aca="false">VLOOKUP(F949,Assumptions!$A$19:$B$23,2,0)</f>
        <v>40</v>
      </c>
      <c r="N949" s="21" t="n">
        <f aca="false">VLOOKUP(G949,Assumptions!$A$27:$B$30,2,0)</f>
        <v>50</v>
      </c>
      <c r="O949" s="21" t="n">
        <f aca="false">VLOOKUP(D949,Assumptions!$A$34:$B$37,2,0)</f>
        <v>100</v>
      </c>
      <c r="P949" s="21" t="n">
        <f aca="false">VLOOKUP(E949,Assumptions!$A$41:$B$43,2,0)</f>
        <v>100</v>
      </c>
      <c r="Q949" s="22" t="n">
        <f aca="false">L949*Assumptions!$B$7+M949*Assumptions!$B$8+N949*Assumptions!$B$9+O949*Assumptions!$B$10+P949*Assumptions!$B$11</f>
        <v>57.13125</v>
      </c>
      <c r="R949" s="11" t="str">
        <f aca="false">IF(Q949&lt;=33,"High Risk",IF(Q949&lt;=66,"Medium Risk","Low Risk"))</f>
        <v>Medium Risk</v>
      </c>
    </row>
    <row r="950" customFormat="false" ht="15" hidden="false" customHeight="true" outlineLevel="0" collapsed="false">
      <c r="A950" s="20" t="n">
        <f aca="false">'Raw Data'!A950</f>
        <v>949</v>
      </c>
      <c r="B950" s="20" t="n">
        <f aca="false">'Raw Data'!B950</f>
        <v>43</v>
      </c>
      <c r="C950" s="20" t="str">
        <f aca="false">'Raw Data'!C950</f>
        <v>male</v>
      </c>
      <c r="D950" s="20" t="n">
        <f aca="false">'Raw Data'!D950</f>
        <v>1</v>
      </c>
      <c r="E950" s="20" t="str">
        <f aca="false">'Raw Data'!E950</f>
        <v>own</v>
      </c>
      <c r="F950" s="20" t="str">
        <f aca="false">'Raw Data'!F950</f>
        <v>little</v>
      </c>
      <c r="G950" s="20" t="str">
        <f aca="false">'Raw Data'!G950</f>
        <v>none</v>
      </c>
      <c r="H950" s="20" t="n">
        <f aca="false">'Raw Data'!H950</f>
        <v>1533</v>
      </c>
      <c r="I950" s="20" t="n">
        <f aca="false">'Raw Data'!I950</f>
        <v>18</v>
      </c>
      <c r="J950" s="20" t="str">
        <f aca="false">'Raw Data'!J950</f>
        <v>furniture/equipment</v>
      </c>
      <c r="K950" s="21" t="n">
        <f aca="false">H950/I950</f>
        <v>85.1666666666667</v>
      </c>
      <c r="L950" s="21" t="n">
        <f aca="false">100-MIN(K950/Assumptions!$B$14,1)*100</f>
        <v>78.7083333333333</v>
      </c>
      <c r="M950" s="21" t="n">
        <f aca="false">VLOOKUP(F950,Assumptions!$A$19:$B$23,2,0)</f>
        <v>25</v>
      </c>
      <c r="N950" s="21" t="n">
        <f aca="false">VLOOKUP(G950,Assumptions!$A$27:$B$30,2,0)</f>
        <v>50</v>
      </c>
      <c r="O950" s="21" t="n">
        <f aca="false">VLOOKUP(D950,Assumptions!$A$34:$B$37,2,0)</f>
        <v>33</v>
      </c>
      <c r="P950" s="21" t="n">
        <f aca="false">VLOOKUP(E950,Assumptions!$A$41:$B$43,2,0)</f>
        <v>100</v>
      </c>
      <c r="Q950" s="22" t="n">
        <f aca="false">L950*Assumptions!$B$7+M950*Assumptions!$B$8+N950*Assumptions!$B$9+O950*Assumptions!$B$10+P950*Assumptions!$B$11</f>
        <v>54.8125</v>
      </c>
      <c r="R950" s="11" t="str">
        <f aca="false">IF(Q950&lt;=33,"High Risk",IF(Q950&lt;=66,"Medium Risk","Low Risk"))</f>
        <v>Medium Risk</v>
      </c>
    </row>
    <row r="951" customFormat="false" ht="15" hidden="false" customHeight="true" outlineLevel="0" collapsed="false">
      <c r="A951" s="20" t="n">
        <f aca="false">'Raw Data'!A951</f>
        <v>950</v>
      </c>
      <c r="B951" s="20" t="n">
        <f aca="false">'Raw Data'!B951</f>
        <v>31</v>
      </c>
      <c r="C951" s="20" t="str">
        <f aca="false">'Raw Data'!C951</f>
        <v>male</v>
      </c>
      <c r="D951" s="20" t="n">
        <f aca="false">'Raw Data'!D951</f>
        <v>2</v>
      </c>
      <c r="E951" s="20" t="str">
        <f aca="false">'Raw Data'!E951</f>
        <v>own</v>
      </c>
      <c r="F951" s="20" t="str">
        <f aca="false">'Raw Data'!F951</f>
        <v>moderate</v>
      </c>
      <c r="G951" s="20" t="str">
        <f aca="false">'Raw Data'!G951</f>
        <v>none</v>
      </c>
      <c r="H951" s="20" t="n">
        <f aca="false">'Raw Data'!H951</f>
        <v>3621</v>
      </c>
      <c r="I951" s="20" t="n">
        <f aca="false">'Raw Data'!I951</f>
        <v>24</v>
      </c>
      <c r="J951" s="20" t="str">
        <f aca="false">'Raw Data'!J951</f>
        <v>radio/TV</v>
      </c>
      <c r="K951" s="21" t="n">
        <f aca="false">H951/I951</f>
        <v>150.875</v>
      </c>
      <c r="L951" s="21" t="n">
        <f aca="false">100-MIN(K951/Assumptions!$B$14,1)*100</f>
        <v>62.28125</v>
      </c>
      <c r="M951" s="21" t="n">
        <f aca="false">VLOOKUP(F951,Assumptions!$A$19:$B$23,2,0)</f>
        <v>50</v>
      </c>
      <c r="N951" s="21" t="n">
        <f aca="false">VLOOKUP(G951,Assumptions!$A$27:$B$30,2,0)</f>
        <v>50</v>
      </c>
      <c r="O951" s="21" t="n">
        <f aca="false">VLOOKUP(D951,Assumptions!$A$34:$B$37,2,0)</f>
        <v>66</v>
      </c>
      <c r="P951" s="21" t="n">
        <f aca="false">VLOOKUP(E951,Assumptions!$A$41:$B$43,2,0)</f>
        <v>100</v>
      </c>
      <c r="Q951" s="22" t="n">
        <f aca="false">L951*Assumptions!$B$7+M951*Assumptions!$B$8+N951*Assumptions!$B$9+O951*Assumptions!$B$10+P951*Assumptions!$B$11</f>
        <v>61.084375</v>
      </c>
      <c r="R951" s="11" t="str">
        <f aca="false">IF(Q951&lt;=33,"High Risk",IF(Q951&lt;=66,"Medium Risk","Low Risk"))</f>
        <v>Medium Risk</v>
      </c>
    </row>
    <row r="952" customFormat="false" ht="15" hidden="false" customHeight="true" outlineLevel="0" collapsed="false">
      <c r="A952" s="20" t="n">
        <f aca="false">'Raw Data'!A952</f>
        <v>951</v>
      </c>
      <c r="B952" s="20" t="n">
        <f aca="false">'Raw Data'!B952</f>
        <v>40</v>
      </c>
      <c r="C952" s="20" t="str">
        <f aca="false">'Raw Data'!C952</f>
        <v>male</v>
      </c>
      <c r="D952" s="20" t="n">
        <f aca="false">'Raw Data'!D952</f>
        <v>0</v>
      </c>
      <c r="E952" s="20" t="str">
        <f aca="false">'Raw Data'!E952</f>
        <v>own</v>
      </c>
      <c r="F952" s="20" t="str">
        <f aca="false">'Raw Data'!F952</f>
        <v>little</v>
      </c>
      <c r="G952" s="20" t="str">
        <f aca="false">'Raw Data'!G952</f>
        <v>moderate</v>
      </c>
      <c r="H952" s="20" t="n">
        <f aca="false">'Raw Data'!H952</f>
        <v>3590</v>
      </c>
      <c r="I952" s="20" t="n">
        <f aca="false">'Raw Data'!I952</f>
        <v>18</v>
      </c>
      <c r="J952" s="20" t="str">
        <f aca="false">'Raw Data'!J952</f>
        <v>business</v>
      </c>
      <c r="K952" s="21" t="n">
        <f aca="false">H952/I952</f>
        <v>199.444444444444</v>
      </c>
      <c r="L952" s="21" t="n">
        <f aca="false">100-MIN(K952/Assumptions!$B$14,1)*100</f>
        <v>50.1388888888889</v>
      </c>
      <c r="M952" s="21" t="n">
        <f aca="false">VLOOKUP(F952,Assumptions!$A$19:$B$23,2,0)</f>
        <v>25</v>
      </c>
      <c r="N952" s="21" t="n">
        <f aca="false">VLOOKUP(G952,Assumptions!$A$27:$B$30,2,0)</f>
        <v>60</v>
      </c>
      <c r="O952" s="21" t="n">
        <f aca="false">VLOOKUP(D952,Assumptions!$A$34:$B$37,2,0)</f>
        <v>0</v>
      </c>
      <c r="P952" s="21" t="n">
        <f aca="false">VLOOKUP(E952,Assumptions!$A$41:$B$43,2,0)</f>
        <v>100</v>
      </c>
      <c r="Q952" s="22" t="n">
        <f aca="false">L952*Assumptions!$B$7+M952*Assumptions!$B$8+N952*Assumptions!$B$9+O952*Assumptions!$B$10+P952*Assumptions!$B$11</f>
        <v>43.2916666666667</v>
      </c>
      <c r="R952" s="11" t="str">
        <f aca="false">IF(Q952&lt;=33,"High Risk",IF(Q952&lt;=66,"Medium Risk","Low Risk"))</f>
        <v>Medium Risk</v>
      </c>
    </row>
    <row r="953" customFormat="false" ht="15" hidden="false" customHeight="true" outlineLevel="0" collapsed="false">
      <c r="A953" s="20" t="n">
        <f aca="false">'Raw Data'!A953</f>
        <v>952</v>
      </c>
      <c r="B953" s="20" t="n">
        <f aca="false">'Raw Data'!B953</f>
        <v>24</v>
      </c>
      <c r="C953" s="20" t="str">
        <f aca="false">'Raw Data'!C953</f>
        <v>male</v>
      </c>
      <c r="D953" s="20" t="n">
        <f aca="false">'Raw Data'!D953</f>
        <v>2</v>
      </c>
      <c r="E953" s="20" t="str">
        <f aca="false">'Raw Data'!E953</f>
        <v>own</v>
      </c>
      <c r="F953" s="20" t="str">
        <f aca="false">'Raw Data'!F953</f>
        <v>little</v>
      </c>
      <c r="G953" s="20" t="str">
        <f aca="false">'Raw Data'!G953</f>
        <v>little</v>
      </c>
      <c r="H953" s="20" t="n">
        <f aca="false">'Raw Data'!H953</f>
        <v>2145</v>
      </c>
      <c r="I953" s="20" t="n">
        <f aca="false">'Raw Data'!I953</f>
        <v>36</v>
      </c>
      <c r="J953" s="20" t="str">
        <f aca="false">'Raw Data'!J953</f>
        <v>business</v>
      </c>
      <c r="K953" s="21" t="n">
        <f aca="false">H953/I953</f>
        <v>59.5833333333333</v>
      </c>
      <c r="L953" s="21" t="n">
        <f aca="false">100-MIN(K953/Assumptions!$B$14,1)*100</f>
        <v>85.1041666666667</v>
      </c>
      <c r="M953" s="21" t="n">
        <f aca="false">VLOOKUP(F953,Assumptions!$A$19:$B$23,2,0)</f>
        <v>25</v>
      </c>
      <c r="N953" s="21" t="n">
        <f aca="false">VLOOKUP(G953,Assumptions!$A$27:$B$30,2,0)</f>
        <v>25</v>
      </c>
      <c r="O953" s="21" t="n">
        <f aca="false">VLOOKUP(D953,Assumptions!$A$34:$B$37,2,0)</f>
        <v>66</v>
      </c>
      <c r="P953" s="21" t="n">
        <f aca="false">VLOOKUP(E953,Assumptions!$A$41:$B$43,2,0)</f>
        <v>100</v>
      </c>
      <c r="Q953" s="22" t="n">
        <f aca="false">L953*Assumptions!$B$7+M953*Assumptions!$B$8+N953*Assumptions!$B$9+O953*Assumptions!$B$10+P953*Assumptions!$B$11</f>
        <v>56.68125</v>
      </c>
      <c r="R953" s="11" t="str">
        <f aca="false">IF(Q953&lt;=33,"High Risk",IF(Q953&lt;=66,"Medium Risk","Low Risk"))</f>
        <v>Medium Risk</v>
      </c>
    </row>
    <row r="954" customFormat="false" ht="15" hidden="false" customHeight="true" outlineLevel="0" collapsed="false">
      <c r="A954" s="20" t="n">
        <f aca="false">'Raw Data'!A954</f>
        <v>953</v>
      </c>
      <c r="B954" s="20" t="n">
        <f aca="false">'Raw Data'!B954</f>
        <v>28</v>
      </c>
      <c r="C954" s="20" t="str">
        <f aca="false">'Raw Data'!C954</f>
        <v>female</v>
      </c>
      <c r="D954" s="20" t="n">
        <f aca="false">'Raw Data'!D954</f>
        <v>2</v>
      </c>
      <c r="E954" s="20" t="str">
        <f aca="false">'Raw Data'!E954</f>
        <v>rent</v>
      </c>
      <c r="F954" s="20" t="str">
        <f aca="false">'Raw Data'!F954</f>
        <v>quite rich</v>
      </c>
      <c r="G954" s="20" t="str">
        <f aca="false">'Raw Data'!G954</f>
        <v>moderate</v>
      </c>
      <c r="H954" s="20" t="n">
        <f aca="false">'Raw Data'!H954</f>
        <v>4113</v>
      </c>
      <c r="I954" s="20" t="n">
        <f aca="false">'Raw Data'!I954</f>
        <v>24</v>
      </c>
      <c r="J954" s="20" t="str">
        <f aca="false">'Raw Data'!J954</f>
        <v>car</v>
      </c>
      <c r="K954" s="21" t="n">
        <f aca="false">H954/I954</f>
        <v>171.375</v>
      </c>
      <c r="L954" s="21" t="n">
        <f aca="false">100-MIN(K954/Assumptions!$B$14,1)*100</f>
        <v>57.15625</v>
      </c>
      <c r="M954" s="21" t="n">
        <f aca="false">VLOOKUP(F954,Assumptions!$A$19:$B$23,2,0)</f>
        <v>75</v>
      </c>
      <c r="N954" s="21" t="n">
        <f aca="false">VLOOKUP(G954,Assumptions!$A$27:$B$30,2,0)</f>
        <v>60</v>
      </c>
      <c r="O954" s="21" t="n">
        <f aca="false">VLOOKUP(D954,Assumptions!$A$34:$B$37,2,0)</f>
        <v>66</v>
      </c>
      <c r="P954" s="21" t="n">
        <f aca="false">VLOOKUP(E954,Assumptions!$A$41:$B$43,2,0)</f>
        <v>30</v>
      </c>
      <c r="Q954" s="22" t="n">
        <f aca="false">L954*Assumptions!$B$7+M954*Assumptions!$B$8+N954*Assumptions!$B$9+O954*Assumptions!$B$10+P954*Assumptions!$B$11</f>
        <v>60.796875</v>
      </c>
      <c r="R954" s="11" t="str">
        <f aca="false">IF(Q954&lt;=33,"High Risk",IF(Q954&lt;=66,"Medium Risk","Low Risk"))</f>
        <v>Medium Risk</v>
      </c>
    </row>
    <row r="955" customFormat="false" ht="15" hidden="false" customHeight="true" outlineLevel="0" collapsed="false">
      <c r="A955" s="20" t="n">
        <f aca="false">'Raw Data'!A955</f>
        <v>954</v>
      </c>
      <c r="B955" s="20" t="n">
        <f aca="false">'Raw Data'!B955</f>
        <v>26</v>
      </c>
      <c r="C955" s="20" t="str">
        <f aca="false">'Raw Data'!C955</f>
        <v>female</v>
      </c>
      <c r="D955" s="20" t="n">
        <f aca="false">'Raw Data'!D955</f>
        <v>3</v>
      </c>
      <c r="E955" s="20" t="str">
        <f aca="false">'Raw Data'!E955</f>
        <v>own</v>
      </c>
      <c r="F955" s="20" t="str">
        <f aca="false">'Raw Data'!F955</f>
        <v>little</v>
      </c>
      <c r="G955" s="20" t="str">
        <f aca="false">'Raw Data'!G955</f>
        <v>none</v>
      </c>
      <c r="H955" s="20" t="n">
        <f aca="false">'Raw Data'!H955</f>
        <v>10974</v>
      </c>
      <c r="I955" s="20" t="n">
        <f aca="false">'Raw Data'!I955</f>
        <v>36</v>
      </c>
      <c r="J955" s="20" t="str">
        <f aca="false">'Raw Data'!J955</f>
        <v>furniture/equipment</v>
      </c>
      <c r="K955" s="21" t="n">
        <f aca="false">H955/I955</f>
        <v>304.833333333333</v>
      </c>
      <c r="L955" s="21" t="n">
        <f aca="false">100-MIN(K955/Assumptions!$B$14,1)*100</f>
        <v>23.7916666666667</v>
      </c>
      <c r="M955" s="21" t="n">
        <f aca="false">VLOOKUP(F955,Assumptions!$A$19:$B$23,2,0)</f>
        <v>25</v>
      </c>
      <c r="N955" s="21" t="n">
        <f aca="false">VLOOKUP(G955,Assumptions!$A$27:$B$30,2,0)</f>
        <v>50</v>
      </c>
      <c r="O955" s="21" t="n">
        <f aca="false">VLOOKUP(D955,Assumptions!$A$34:$B$37,2,0)</f>
        <v>100</v>
      </c>
      <c r="P955" s="21" t="n">
        <f aca="false">VLOOKUP(E955,Assumptions!$A$41:$B$43,2,0)</f>
        <v>100</v>
      </c>
      <c r="Q955" s="22" t="n">
        <f aca="false">L955*Assumptions!$B$7+M955*Assumptions!$B$8+N955*Assumptions!$B$9+O955*Assumptions!$B$10+P955*Assumptions!$B$11</f>
        <v>48.3875</v>
      </c>
      <c r="R955" s="11" t="str">
        <f aca="false">IF(Q955&lt;=33,"High Risk",IF(Q955&lt;=66,"Medium Risk","Low Risk"))</f>
        <v>Medium Risk</v>
      </c>
    </row>
    <row r="956" customFormat="false" ht="15" hidden="false" customHeight="true" outlineLevel="0" collapsed="false">
      <c r="A956" s="20" t="n">
        <f aca="false">'Raw Data'!A956</f>
        <v>955</v>
      </c>
      <c r="B956" s="20" t="n">
        <f aca="false">'Raw Data'!B956</f>
        <v>29</v>
      </c>
      <c r="C956" s="20" t="str">
        <f aca="false">'Raw Data'!C956</f>
        <v>female</v>
      </c>
      <c r="D956" s="20" t="n">
        <f aca="false">'Raw Data'!D956</f>
        <v>2</v>
      </c>
      <c r="E956" s="20" t="str">
        <f aca="false">'Raw Data'!E956</f>
        <v>own</v>
      </c>
      <c r="F956" s="20" t="str">
        <f aca="false">'Raw Data'!F956</f>
        <v>little</v>
      </c>
      <c r="G956" s="20" t="str">
        <f aca="false">'Raw Data'!G956</f>
        <v>little</v>
      </c>
      <c r="H956" s="20" t="n">
        <f aca="false">'Raw Data'!H956</f>
        <v>1893</v>
      </c>
      <c r="I956" s="20" t="n">
        <f aca="false">'Raw Data'!I956</f>
        <v>12</v>
      </c>
      <c r="J956" s="20" t="str">
        <f aca="false">'Raw Data'!J956</f>
        <v>car</v>
      </c>
      <c r="K956" s="21" t="n">
        <f aca="false">H956/I956</f>
        <v>157.75</v>
      </c>
      <c r="L956" s="21" t="n">
        <f aca="false">100-MIN(K956/Assumptions!$B$14,1)*100</f>
        <v>60.5625</v>
      </c>
      <c r="M956" s="21" t="n">
        <f aca="false">VLOOKUP(F956,Assumptions!$A$19:$B$23,2,0)</f>
        <v>25</v>
      </c>
      <c r="N956" s="21" t="n">
        <f aca="false">VLOOKUP(G956,Assumptions!$A$27:$B$30,2,0)</f>
        <v>25</v>
      </c>
      <c r="O956" s="21" t="n">
        <f aca="false">VLOOKUP(D956,Assumptions!$A$34:$B$37,2,0)</f>
        <v>66</v>
      </c>
      <c r="P956" s="21" t="n">
        <f aca="false">VLOOKUP(E956,Assumptions!$A$41:$B$43,2,0)</f>
        <v>100</v>
      </c>
      <c r="Q956" s="22" t="n">
        <f aca="false">L956*Assumptions!$B$7+M956*Assumptions!$B$8+N956*Assumptions!$B$9+O956*Assumptions!$B$10+P956*Assumptions!$B$11</f>
        <v>49.31875</v>
      </c>
      <c r="R956" s="11" t="str">
        <f aca="false">IF(Q956&lt;=33,"High Risk",IF(Q956&lt;=66,"Medium Risk","Low Risk"))</f>
        <v>Medium Risk</v>
      </c>
    </row>
    <row r="957" customFormat="false" ht="15" hidden="false" customHeight="true" outlineLevel="0" collapsed="false">
      <c r="A957" s="20" t="n">
        <f aca="false">'Raw Data'!A957</f>
        <v>956</v>
      </c>
      <c r="B957" s="20" t="n">
        <f aca="false">'Raw Data'!B957</f>
        <v>57</v>
      </c>
      <c r="C957" s="20" t="str">
        <f aca="false">'Raw Data'!C957</f>
        <v>female</v>
      </c>
      <c r="D957" s="20" t="n">
        <f aca="false">'Raw Data'!D957</f>
        <v>3</v>
      </c>
      <c r="E957" s="20" t="str">
        <f aca="false">'Raw Data'!E957</f>
        <v>rent</v>
      </c>
      <c r="F957" s="20" t="str">
        <f aca="false">'Raw Data'!F957</f>
        <v>rich</v>
      </c>
      <c r="G957" s="20" t="str">
        <f aca="false">'Raw Data'!G957</f>
        <v>little</v>
      </c>
      <c r="H957" s="20" t="n">
        <f aca="false">'Raw Data'!H957</f>
        <v>1231</v>
      </c>
      <c r="I957" s="20" t="n">
        <f aca="false">'Raw Data'!I957</f>
        <v>24</v>
      </c>
      <c r="J957" s="20" t="str">
        <f aca="false">'Raw Data'!J957</f>
        <v>radio/TV</v>
      </c>
      <c r="K957" s="21" t="n">
        <f aca="false">H957/I957</f>
        <v>51.2916666666667</v>
      </c>
      <c r="L957" s="21" t="n">
        <f aca="false">100-MIN(K957/Assumptions!$B$14,1)*100</f>
        <v>87.1770833333333</v>
      </c>
      <c r="M957" s="21" t="n">
        <f aca="false">VLOOKUP(F957,Assumptions!$A$19:$B$23,2,0)</f>
        <v>100</v>
      </c>
      <c r="N957" s="21" t="n">
        <f aca="false">VLOOKUP(G957,Assumptions!$A$27:$B$30,2,0)</f>
        <v>25</v>
      </c>
      <c r="O957" s="21" t="n">
        <f aca="false">VLOOKUP(D957,Assumptions!$A$34:$B$37,2,0)</f>
        <v>100</v>
      </c>
      <c r="P957" s="21" t="n">
        <f aca="false">VLOOKUP(E957,Assumptions!$A$41:$B$43,2,0)</f>
        <v>30</v>
      </c>
      <c r="Q957" s="22" t="n">
        <f aca="false">L957*Assumptions!$B$7+M957*Assumptions!$B$8+N957*Assumptions!$B$9+O957*Assumptions!$B$10+P957*Assumptions!$B$11</f>
        <v>74.153125</v>
      </c>
      <c r="R957" s="11" t="str">
        <f aca="false">IF(Q957&lt;=33,"High Risk",IF(Q957&lt;=66,"Medium Risk","Low Risk"))</f>
        <v>Low Risk</v>
      </c>
    </row>
    <row r="958" customFormat="false" ht="15" hidden="false" customHeight="true" outlineLevel="0" collapsed="false">
      <c r="A958" s="20" t="n">
        <f aca="false">'Raw Data'!A958</f>
        <v>957</v>
      </c>
      <c r="B958" s="20" t="n">
        <f aca="false">'Raw Data'!B958</f>
        <v>49</v>
      </c>
      <c r="C958" s="20" t="str">
        <f aca="false">'Raw Data'!C958</f>
        <v>male</v>
      </c>
      <c r="D958" s="20" t="n">
        <f aca="false">'Raw Data'!D958</f>
        <v>1</v>
      </c>
      <c r="E958" s="20" t="str">
        <f aca="false">'Raw Data'!E958</f>
        <v>own</v>
      </c>
      <c r="F958" s="20" t="str">
        <f aca="false">'Raw Data'!F958</f>
        <v>none</v>
      </c>
      <c r="G958" s="20" t="str">
        <f aca="false">'Raw Data'!G958</f>
        <v>rich</v>
      </c>
      <c r="H958" s="20" t="n">
        <f aca="false">'Raw Data'!H958</f>
        <v>3656</v>
      </c>
      <c r="I958" s="20" t="n">
        <f aca="false">'Raw Data'!I958</f>
        <v>30</v>
      </c>
      <c r="J958" s="20" t="str">
        <f aca="false">'Raw Data'!J958</f>
        <v>radio/TV</v>
      </c>
      <c r="K958" s="21" t="n">
        <f aca="false">H958/I958</f>
        <v>121.866666666667</v>
      </c>
      <c r="L958" s="21" t="n">
        <f aca="false">100-MIN(K958/Assumptions!$B$14,1)*100</f>
        <v>69.5333333333333</v>
      </c>
      <c r="M958" s="21" t="n">
        <f aca="false">VLOOKUP(F958,Assumptions!$A$19:$B$23,2,0)</f>
        <v>40</v>
      </c>
      <c r="N958" s="21" t="n">
        <f aca="false">VLOOKUP(G958,Assumptions!$A$27:$B$30,2,0)</f>
        <v>100</v>
      </c>
      <c r="O958" s="21" t="n">
        <f aca="false">VLOOKUP(D958,Assumptions!$A$34:$B$37,2,0)</f>
        <v>33</v>
      </c>
      <c r="P958" s="21" t="n">
        <f aca="false">VLOOKUP(E958,Assumptions!$A$41:$B$43,2,0)</f>
        <v>100</v>
      </c>
      <c r="Q958" s="22" t="n">
        <f aca="false">L958*Assumptions!$B$7+M958*Assumptions!$B$8+N958*Assumptions!$B$9+O958*Assumptions!$B$10+P958*Assumptions!$B$11</f>
        <v>65.81</v>
      </c>
      <c r="R958" s="11" t="str">
        <f aca="false">IF(Q958&lt;=33,"High Risk",IF(Q958&lt;=66,"Medium Risk","Low Risk"))</f>
        <v>Medium Risk</v>
      </c>
    </row>
    <row r="959" customFormat="false" ht="15" hidden="false" customHeight="true" outlineLevel="0" collapsed="false">
      <c r="A959" s="20" t="n">
        <f aca="false">'Raw Data'!A959</f>
        <v>958</v>
      </c>
      <c r="B959" s="20" t="n">
        <f aca="false">'Raw Data'!B959</f>
        <v>37</v>
      </c>
      <c r="C959" s="20" t="str">
        <f aca="false">'Raw Data'!C959</f>
        <v>male</v>
      </c>
      <c r="D959" s="20" t="n">
        <f aca="false">'Raw Data'!D959</f>
        <v>1</v>
      </c>
      <c r="E959" s="20" t="str">
        <f aca="false">'Raw Data'!E959</f>
        <v>own</v>
      </c>
      <c r="F959" s="20" t="str">
        <f aca="false">'Raw Data'!F959</f>
        <v>little</v>
      </c>
      <c r="G959" s="20" t="str">
        <f aca="false">'Raw Data'!G959</f>
        <v>moderate</v>
      </c>
      <c r="H959" s="20" t="n">
        <f aca="false">'Raw Data'!H959</f>
        <v>1154</v>
      </c>
      <c r="I959" s="20" t="n">
        <f aca="false">'Raw Data'!I959</f>
        <v>9</v>
      </c>
      <c r="J959" s="20" t="str">
        <f aca="false">'Raw Data'!J959</f>
        <v>radio/TV</v>
      </c>
      <c r="K959" s="21" t="n">
        <f aca="false">H959/I959</f>
        <v>128.222222222222</v>
      </c>
      <c r="L959" s="21" t="n">
        <f aca="false">100-MIN(K959/Assumptions!$B$14,1)*100</f>
        <v>67.9444444444444</v>
      </c>
      <c r="M959" s="21" t="n">
        <f aca="false">VLOOKUP(F959,Assumptions!$A$19:$B$23,2,0)</f>
        <v>25</v>
      </c>
      <c r="N959" s="21" t="n">
        <f aca="false">VLOOKUP(G959,Assumptions!$A$27:$B$30,2,0)</f>
        <v>60</v>
      </c>
      <c r="O959" s="21" t="n">
        <f aca="false">VLOOKUP(D959,Assumptions!$A$34:$B$37,2,0)</f>
        <v>33</v>
      </c>
      <c r="P959" s="21" t="n">
        <f aca="false">VLOOKUP(E959,Assumptions!$A$41:$B$43,2,0)</f>
        <v>100</v>
      </c>
      <c r="Q959" s="22" t="n">
        <f aca="false">L959*Assumptions!$B$7+M959*Assumptions!$B$8+N959*Assumptions!$B$9+O959*Assumptions!$B$10+P959*Assumptions!$B$11</f>
        <v>53.5833333333333</v>
      </c>
      <c r="R959" s="11" t="str">
        <f aca="false">IF(Q959&lt;=33,"High Risk",IF(Q959&lt;=66,"Medium Risk","Low Risk"))</f>
        <v>Medium Risk</v>
      </c>
    </row>
    <row r="960" customFormat="false" ht="15" hidden="false" customHeight="true" outlineLevel="0" collapsed="false">
      <c r="A960" s="20" t="n">
        <f aca="false">'Raw Data'!A960</f>
        <v>959</v>
      </c>
      <c r="B960" s="20" t="n">
        <f aca="false">'Raw Data'!B960</f>
        <v>45</v>
      </c>
      <c r="C960" s="20" t="str">
        <f aca="false">'Raw Data'!C960</f>
        <v>male</v>
      </c>
      <c r="D960" s="20" t="n">
        <f aca="false">'Raw Data'!D960</f>
        <v>1</v>
      </c>
      <c r="E960" s="20" t="str">
        <f aca="false">'Raw Data'!E960</f>
        <v>own</v>
      </c>
      <c r="F960" s="20" t="str">
        <f aca="false">'Raw Data'!F960</f>
        <v>little</v>
      </c>
      <c r="G960" s="20" t="str">
        <f aca="false">'Raw Data'!G960</f>
        <v>little</v>
      </c>
      <c r="H960" s="20" t="n">
        <f aca="false">'Raw Data'!H960</f>
        <v>4006</v>
      </c>
      <c r="I960" s="20" t="n">
        <f aca="false">'Raw Data'!I960</f>
        <v>28</v>
      </c>
      <c r="J960" s="20" t="str">
        <f aca="false">'Raw Data'!J960</f>
        <v>car</v>
      </c>
      <c r="K960" s="21" t="n">
        <f aca="false">H960/I960</f>
        <v>143.071428571429</v>
      </c>
      <c r="L960" s="21" t="n">
        <f aca="false">100-MIN(K960/Assumptions!$B$14,1)*100</f>
        <v>64.2321428571429</v>
      </c>
      <c r="M960" s="21" t="n">
        <f aca="false">VLOOKUP(F960,Assumptions!$A$19:$B$23,2,0)</f>
        <v>25</v>
      </c>
      <c r="N960" s="21" t="n">
        <f aca="false">VLOOKUP(G960,Assumptions!$A$27:$B$30,2,0)</f>
        <v>25</v>
      </c>
      <c r="O960" s="21" t="n">
        <f aca="false">VLOOKUP(D960,Assumptions!$A$34:$B$37,2,0)</f>
        <v>33</v>
      </c>
      <c r="P960" s="21" t="n">
        <f aca="false">VLOOKUP(E960,Assumptions!$A$41:$B$43,2,0)</f>
        <v>100</v>
      </c>
      <c r="Q960" s="22" t="n">
        <f aca="false">L960*Assumptions!$B$7+M960*Assumptions!$B$8+N960*Assumptions!$B$9+O960*Assumptions!$B$10+P960*Assumptions!$B$11</f>
        <v>45.4696428571429</v>
      </c>
      <c r="R960" s="11" t="str">
        <f aca="false">IF(Q960&lt;=33,"High Risk",IF(Q960&lt;=66,"Medium Risk","Low Risk"))</f>
        <v>Medium Risk</v>
      </c>
    </row>
    <row r="961" customFormat="false" ht="15" hidden="false" customHeight="true" outlineLevel="0" collapsed="false">
      <c r="A961" s="20" t="n">
        <f aca="false">'Raw Data'!A961</f>
        <v>960</v>
      </c>
      <c r="B961" s="20" t="n">
        <f aca="false">'Raw Data'!B961</f>
        <v>30</v>
      </c>
      <c r="C961" s="20" t="str">
        <f aca="false">'Raw Data'!C961</f>
        <v>male</v>
      </c>
      <c r="D961" s="20" t="n">
        <f aca="false">'Raw Data'!D961</f>
        <v>2</v>
      </c>
      <c r="E961" s="20" t="str">
        <f aca="false">'Raw Data'!E961</f>
        <v>free</v>
      </c>
      <c r="F961" s="20" t="str">
        <f aca="false">'Raw Data'!F961</f>
        <v>moderate</v>
      </c>
      <c r="G961" s="20" t="str">
        <f aca="false">'Raw Data'!G961</f>
        <v>moderate</v>
      </c>
      <c r="H961" s="20" t="n">
        <f aca="false">'Raw Data'!H961</f>
        <v>3069</v>
      </c>
      <c r="I961" s="20" t="n">
        <f aca="false">'Raw Data'!I961</f>
        <v>24</v>
      </c>
      <c r="J961" s="20" t="str">
        <f aca="false">'Raw Data'!J961</f>
        <v>furniture/equipment</v>
      </c>
      <c r="K961" s="21" t="n">
        <f aca="false">H961/I961</f>
        <v>127.875</v>
      </c>
      <c r="L961" s="21" t="n">
        <f aca="false">100-MIN(K961/Assumptions!$B$14,1)*100</f>
        <v>68.03125</v>
      </c>
      <c r="M961" s="21" t="n">
        <f aca="false">VLOOKUP(F961,Assumptions!$A$19:$B$23,2,0)</f>
        <v>50</v>
      </c>
      <c r="N961" s="21" t="n">
        <f aca="false">VLOOKUP(G961,Assumptions!$A$27:$B$30,2,0)</f>
        <v>60</v>
      </c>
      <c r="O961" s="21" t="n">
        <f aca="false">VLOOKUP(D961,Assumptions!$A$34:$B$37,2,0)</f>
        <v>66</v>
      </c>
      <c r="P961" s="21" t="n">
        <f aca="false">VLOOKUP(E961,Assumptions!$A$41:$B$43,2,0)</f>
        <v>60</v>
      </c>
      <c r="Q961" s="22" t="n">
        <f aca="false">L961*Assumptions!$B$7+M961*Assumptions!$B$8+N961*Assumptions!$B$9+O961*Assumptions!$B$10+P961*Assumptions!$B$11</f>
        <v>60.809375</v>
      </c>
      <c r="R961" s="11" t="str">
        <f aca="false">IF(Q961&lt;=33,"High Risk",IF(Q961&lt;=66,"Medium Risk","Low Risk"))</f>
        <v>Medium Risk</v>
      </c>
    </row>
    <row r="962" customFormat="false" ht="15" hidden="false" customHeight="true" outlineLevel="0" collapsed="false">
      <c r="A962" s="20" t="n">
        <f aca="false">'Raw Data'!A962</f>
        <v>961</v>
      </c>
      <c r="B962" s="20" t="n">
        <f aca="false">'Raw Data'!B962</f>
        <v>30</v>
      </c>
      <c r="C962" s="20" t="str">
        <f aca="false">'Raw Data'!C962</f>
        <v>male</v>
      </c>
      <c r="D962" s="20" t="n">
        <f aca="false">'Raw Data'!D962</f>
        <v>2</v>
      </c>
      <c r="E962" s="20" t="str">
        <f aca="false">'Raw Data'!E962</f>
        <v>rent</v>
      </c>
      <c r="F962" s="20" t="str">
        <f aca="false">'Raw Data'!F962</f>
        <v>little</v>
      </c>
      <c r="G962" s="20" t="str">
        <f aca="false">'Raw Data'!G962</f>
        <v>none</v>
      </c>
      <c r="H962" s="20" t="n">
        <f aca="false">'Raw Data'!H962</f>
        <v>1740</v>
      </c>
      <c r="I962" s="20" t="n">
        <f aca="false">'Raw Data'!I962</f>
        <v>6</v>
      </c>
      <c r="J962" s="20" t="str">
        <f aca="false">'Raw Data'!J962</f>
        <v>radio/TV</v>
      </c>
      <c r="K962" s="21" t="n">
        <f aca="false">H962/I962</f>
        <v>290</v>
      </c>
      <c r="L962" s="21" t="n">
        <f aca="false">100-MIN(K962/Assumptions!$B$14,1)*100</f>
        <v>27.5</v>
      </c>
      <c r="M962" s="21" t="n">
        <f aca="false">VLOOKUP(F962,Assumptions!$A$19:$B$23,2,0)</f>
        <v>25</v>
      </c>
      <c r="N962" s="21" t="n">
        <f aca="false">VLOOKUP(G962,Assumptions!$A$27:$B$30,2,0)</f>
        <v>50</v>
      </c>
      <c r="O962" s="21" t="n">
        <f aca="false">VLOOKUP(D962,Assumptions!$A$34:$B$37,2,0)</f>
        <v>66</v>
      </c>
      <c r="P962" s="21" t="n">
        <f aca="false">VLOOKUP(E962,Assumptions!$A$41:$B$43,2,0)</f>
        <v>30</v>
      </c>
      <c r="Q962" s="22" t="n">
        <f aca="false">L962*Assumptions!$B$7+M962*Assumptions!$B$8+N962*Assumptions!$B$9+O962*Assumptions!$B$10+P962*Assumptions!$B$11</f>
        <v>37.4</v>
      </c>
      <c r="R962" s="11" t="str">
        <f aca="false">IF(Q962&lt;=33,"High Risk",IF(Q962&lt;=66,"Medium Risk","Low Risk"))</f>
        <v>Medium Risk</v>
      </c>
    </row>
    <row r="963" customFormat="false" ht="15" hidden="false" customHeight="true" outlineLevel="0" collapsed="false">
      <c r="A963" s="20" t="n">
        <f aca="false">'Raw Data'!A963</f>
        <v>962</v>
      </c>
      <c r="B963" s="20" t="n">
        <f aca="false">'Raw Data'!B963</f>
        <v>47</v>
      </c>
      <c r="C963" s="20" t="str">
        <f aca="false">'Raw Data'!C963</f>
        <v>male</v>
      </c>
      <c r="D963" s="20" t="n">
        <f aca="false">'Raw Data'!D963</f>
        <v>2</v>
      </c>
      <c r="E963" s="20" t="str">
        <f aca="false">'Raw Data'!E963</f>
        <v>own</v>
      </c>
      <c r="F963" s="20" t="str">
        <f aca="false">'Raw Data'!F963</f>
        <v>little</v>
      </c>
      <c r="G963" s="20" t="str">
        <f aca="false">'Raw Data'!G963</f>
        <v>moderate</v>
      </c>
      <c r="H963" s="20" t="n">
        <f aca="false">'Raw Data'!H963</f>
        <v>2353</v>
      </c>
      <c r="I963" s="20" t="n">
        <f aca="false">'Raw Data'!I963</f>
        <v>21</v>
      </c>
      <c r="J963" s="20" t="str">
        <f aca="false">'Raw Data'!J963</f>
        <v>car</v>
      </c>
      <c r="K963" s="21" t="n">
        <f aca="false">H963/I963</f>
        <v>112.047619047619</v>
      </c>
      <c r="L963" s="21" t="n">
        <f aca="false">100-MIN(K963/Assumptions!$B$14,1)*100</f>
        <v>71.9880952380952</v>
      </c>
      <c r="M963" s="21" t="n">
        <f aca="false">VLOOKUP(F963,Assumptions!$A$19:$B$23,2,0)</f>
        <v>25</v>
      </c>
      <c r="N963" s="21" t="n">
        <f aca="false">VLOOKUP(G963,Assumptions!$A$27:$B$30,2,0)</f>
        <v>60</v>
      </c>
      <c r="O963" s="21" t="n">
        <f aca="false">VLOOKUP(D963,Assumptions!$A$34:$B$37,2,0)</f>
        <v>66</v>
      </c>
      <c r="P963" s="21" t="n">
        <f aca="false">VLOOKUP(E963,Assumptions!$A$41:$B$43,2,0)</f>
        <v>100</v>
      </c>
      <c r="Q963" s="22" t="n">
        <f aca="false">L963*Assumptions!$B$7+M963*Assumptions!$B$8+N963*Assumptions!$B$9+O963*Assumptions!$B$10+P963*Assumptions!$B$11</f>
        <v>59.7464285714286</v>
      </c>
      <c r="R963" s="11" t="str">
        <f aca="false">IF(Q963&lt;=33,"High Risk",IF(Q963&lt;=66,"Medium Risk","Low Risk"))</f>
        <v>Medium Risk</v>
      </c>
    </row>
    <row r="964" customFormat="false" ht="15" hidden="false" customHeight="true" outlineLevel="0" collapsed="false">
      <c r="A964" s="20" t="n">
        <f aca="false">'Raw Data'!A964</f>
        <v>963</v>
      </c>
      <c r="B964" s="20" t="n">
        <f aca="false">'Raw Data'!B964</f>
        <v>29</v>
      </c>
      <c r="C964" s="20" t="str">
        <f aca="false">'Raw Data'!C964</f>
        <v>male</v>
      </c>
      <c r="D964" s="20" t="n">
        <f aca="false">'Raw Data'!D964</f>
        <v>2</v>
      </c>
      <c r="E964" s="20" t="str">
        <f aca="false">'Raw Data'!E964</f>
        <v>own</v>
      </c>
      <c r="F964" s="20" t="str">
        <f aca="false">'Raw Data'!F964</f>
        <v>none</v>
      </c>
      <c r="G964" s="20" t="str">
        <f aca="false">'Raw Data'!G964</f>
        <v>none</v>
      </c>
      <c r="H964" s="20" t="n">
        <f aca="false">'Raw Data'!H964</f>
        <v>3556</v>
      </c>
      <c r="I964" s="20" t="n">
        <f aca="false">'Raw Data'!I964</f>
        <v>15</v>
      </c>
      <c r="J964" s="20" t="str">
        <f aca="false">'Raw Data'!J964</f>
        <v>car</v>
      </c>
      <c r="K964" s="21" t="n">
        <f aca="false">H964/I964</f>
        <v>237.066666666667</v>
      </c>
      <c r="L964" s="21" t="n">
        <f aca="false">100-MIN(K964/Assumptions!$B$14,1)*100</f>
        <v>40.7333333333333</v>
      </c>
      <c r="M964" s="21" t="n">
        <f aca="false">VLOOKUP(F964,Assumptions!$A$19:$B$23,2,0)</f>
        <v>40</v>
      </c>
      <c r="N964" s="21" t="n">
        <f aca="false">VLOOKUP(G964,Assumptions!$A$27:$B$30,2,0)</f>
        <v>50</v>
      </c>
      <c r="O964" s="21" t="n">
        <f aca="false">VLOOKUP(D964,Assumptions!$A$34:$B$37,2,0)</f>
        <v>66</v>
      </c>
      <c r="P964" s="21" t="n">
        <f aca="false">VLOOKUP(E964,Assumptions!$A$41:$B$43,2,0)</f>
        <v>100</v>
      </c>
      <c r="Q964" s="22" t="n">
        <f aca="false">L964*Assumptions!$B$7+M964*Assumptions!$B$8+N964*Assumptions!$B$9+O964*Assumptions!$B$10+P964*Assumptions!$B$11</f>
        <v>52.12</v>
      </c>
      <c r="R964" s="11" t="str">
        <f aca="false">IF(Q964&lt;=33,"High Risk",IF(Q964&lt;=66,"Medium Risk","Low Risk"))</f>
        <v>Medium Risk</v>
      </c>
    </row>
    <row r="965" customFormat="false" ht="15" hidden="false" customHeight="true" outlineLevel="0" collapsed="false">
      <c r="A965" s="20" t="n">
        <f aca="false">'Raw Data'!A965</f>
        <v>964</v>
      </c>
      <c r="B965" s="20" t="n">
        <f aca="false">'Raw Data'!B965</f>
        <v>35</v>
      </c>
      <c r="C965" s="20" t="str">
        <f aca="false">'Raw Data'!C965</f>
        <v>male</v>
      </c>
      <c r="D965" s="20" t="n">
        <f aca="false">'Raw Data'!D965</f>
        <v>2</v>
      </c>
      <c r="E965" s="20" t="str">
        <f aca="false">'Raw Data'!E965</f>
        <v>own</v>
      </c>
      <c r="F965" s="20" t="str">
        <f aca="false">'Raw Data'!F965</f>
        <v>quite rich</v>
      </c>
      <c r="G965" s="20" t="str">
        <f aca="false">'Raw Data'!G965</f>
        <v>none</v>
      </c>
      <c r="H965" s="20" t="n">
        <f aca="false">'Raw Data'!H965</f>
        <v>2397</v>
      </c>
      <c r="I965" s="20" t="n">
        <f aca="false">'Raw Data'!I965</f>
        <v>24</v>
      </c>
      <c r="J965" s="20" t="str">
        <f aca="false">'Raw Data'!J965</f>
        <v>radio/TV</v>
      </c>
      <c r="K965" s="21" t="n">
        <f aca="false">H965/I965</f>
        <v>99.875</v>
      </c>
      <c r="L965" s="21" t="n">
        <f aca="false">100-MIN(K965/Assumptions!$B$14,1)*100</f>
        <v>75.03125</v>
      </c>
      <c r="M965" s="21" t="n">
        <f aca="false">VLOOKUP(F965,Assumptions!$A$19:$B$23,2,0)</f>
        <v>75</v>
      </c>
      <c r="N965" s="21" t="n">
        <f aca="false">VLOOKUP(G965,Assumptions!$A$27:$B$30,2,0)</f>
        <v>50</v>
      </c>
      <c r="O965" s="21" t="n">
        <f aca="false">VLOOKUP(D965,Assumptions!$A$34:$B$37,2,0)</f>
        <v>66</v>
      </c>
      <c r="P965" s="21" t="n">
        <f aca="false">VLOOKUP(E965,Assumptions!$A$41:$B$43,2,0)</f>
        <v>100</v>
      </c>
      <c r="Q965" s="22" t="n">
        <f aca="false">L965*Assumptions!$B$7+M965*Assumptions!$B$8+N965*Assumptions!$B$9+O965*Assumptions!$B$10+P965*Assumptions!$B$11</f>
        <v>71.159375</v>
      </c>
      <c r="R965" s="11" t="str">
        <f aca="false">IF(Q965&lt;=33,"High Risk",IF(Q965&lt;=66,"Medium Risk","Low Risk"))</f>
        <v>Low Risk</v>
      </c>
    </row>
    <row r="966" customFormat="false" ht="15" hidden="false" customHeight="true" outlineLevel="0" collapsed="false">
      <c r="A966" s="20" t="n">
        <f aca="false">'Raw Data'!A966</f>
        <v>965</v>
      </c>
      <c r="B966" s="20" t="n">
        <f aca="false">'Raw Data'!B966</f>
        <v>22</v>
      </c>
      <c r="C966" s="20" t="str">
        <f aca="false">'Raw Data'!C966</f>
        <v>male</v>
      </c>
      <c r="D966" s="20" t="n">
        <f aca="false">'Raw Data'!D966</f>
        <v>1</v>
      </c>
      <c r="E966" s="20" t="str">
        <f aca="false">'Raw Data'!E966</f>
        <v>own</v>
      </c>
      <c r="F966" s="20" t="str">
        <f aca="false">'Raw Data'!F966</f>
        <v>little</v>
      </c>
      <c r="G966" s="20" t="str">
        <f aca="false">'Raw Data'!G966</f>
        <v>moderate</v>
      </c>
      <c r="H966" s="20" t="n">
        <f aca="false">'Raw Data'!H966</f>
        <v>454</v>
      </c>
      <c r="I966" s="20" t="n">
        <f aca="false">'Raw Data'!I966</f>
        <v>6</v>
      </c>
      <c r="J966" s="20" t="str">
        <f aca="false">'Raw Data'!J966</f>
        <v>repairs</v>
      </c>
      <c r="K966" s="21" t="n">
        <f aca="false">H966/I966</f>
        <v>75.6666666666667</v>
      </c>
      <c r="L966" s="21" t="n">
        <f aca="false">100-MIN(K966/Assumptions!$B$14,1)*100</f>
        <v>81.0833333333333</v>
      </c>
      <c r="M966" s="21" t="n">
        <f aca="false">VLOOKUP(F966,Assumptions!$A$19:$B$23,2,0)</f>
        <v>25</v>
      </c>
      <c r="N966" s="21" t="n">
        <f aca="false">VLOOKUP(G966,Assumptions!$A$27:$B$30,2,0)</f>
        <v>60</v>
      </c>
      <c r="O966" s="21" t="n">
        <f aca="false">VLOOKUP(D966,Assumptions!$A$34:$B$37,2,0)</f>
        <v>33</v>
      </c>
      <c r="P966" s="21" t="n">
        <f aca="false">VLOOKUP(E966,Assumptions!$A$41:$B$43,2,0)</f>
        <v>100</v>
      </c>
      <c r="Q966" s="22" t="n">
        <f aca="false">L966*Assumptions!$B$7+M966*Assumptions!$B$8+N966*Assumptions!$B$9+O966*Assumptions!$B$10+P966*Assumptions!$B$11</f>
        <v>57.525</v>
      </c>
      <c r="R966" s="11" t="str">
        <f aca="false">IF(Q966&lt;=33,"High Risk",IF(Q966&lt;=66,"Medium Risk","Low Risk"))</f>
        <v>Medium Risk</v>
      </c>
    </row>
    <row r="967" customFormat="false" ht="15" hidden="false" customHeight="true" outlineLevel="0" collapsed="false">
      <c r="A967" s="20" t="n">
        <f aca="false">'Raw Data'!A967</f>
        <v>966</v>
      </c>
      <c r="B967" s="20" t="n">
        <f aca="false">'Raw Data'!B967</f>
        <v>26</v>
      </c>
      <c r="C967" s="20" t="str">
        <f aca="false">'Raw Data'!C967</f>
        <v>female</v>
      </c>
      <c r="D967" s="20" t="n">
        <f aca="false">'Raw Data'!D967</f>
        <v>2</v>
      </c>
      <c r="E967" s="20" t="str">
        <f aca="false">'Raw Data'!E967</f>
        <v>own</v>
      </c>
      <c r="F967" s="20" t="str">
        <f aca="false">'Raw Data'!F967</f>
        <v>none</v>
      </c>
      <c r="G967" s="20" t="str">
        <f aca="false">'Raw Data'!G967</f>
        <v>moderate</v>
      </c>
      <c r="H967" s="20" t="n">
        <f aca="false">'Raw Data'!H967</f>
        <v>1715</v>
      </c>
      <c r="I967" s="20" t="n">
        <f aca="false">'Raw Data'!I967</f>
        <v>30</v>
      </c>
      <c r="J967" s="20" t="str">
        <f aca="false">'Raw Data'!J967</f>
        <v>radio/TV</v>
      </c>
      <c r="K967" s="21" t="n">
        <f aca="false">H967/I967</f>
        <v>57.1666666666667</v>
      </c>
      <c r="L967" s="21" t="n">
        <f aca="false">100-MIN(K967/Assumptions!$B$14,1)*100</f>
        <v>85.7083333333333</v>
      </c>
      <c r="M967" s="21" t="n">
        <f aca="false">VLOOKUP(F967,Assumptions!$A$19:$B$23,2,0)</f>
        <v>40</v>
      </c>
      <c r="N967" s="21" t="n">
        <f aca="false">VLOOKUP(G967,Assumptions!$A$27:$B$30,2,0)</f>
        <v>60</v>
      </c>
      <c r="O967" s="21" t="n">
        <f aca="false">VLOOKUP(D967,Assumptions!$A$34:$B$37,2,0)</f>
        <v>66</v>
      </c>
      <c r="P967" s="21" t="n">
        <f aca="false">VLOOKUP(E967,Assumptions!$A$41:$B$43,2,0)</f>
        <v>100</v>
      </c>
      <c r="Q967" s="22" t="n">
        <f aca="false">L967*Assumptions!$B$7+M967*Assumptions!$B$8+N967*Assumptions!$B$9+O967*Assumptions!$B$10+P967*Assumptions!$B$11</f>
        <v>67.6125</v>
      </c>
      <c r="R967" s="11" t="str">
        <f aca="false">IF(Q967&lt;=33,"High Risk",IF(Q967&lt;=66,"Medium Risk","Low Risk"))</f>
        <v>Low Risk</v>
      </c>
    </row>
    <row r="968" customFormat="false" ht="15" hidden="false" customHeight="true" outlineLevel="0" collapsed="false">
      <c r="A968" s="20" t="n">
        <f aca="false">'Raw Data'!A968</f>
        <v>967</v>
      </c>
      <c r="B968" s="20" t="n">
        <f aca="false">'Raw Data'!B968</f>
        <v>23</v>
      </c>
      <c r="C968" s="20" t="str">
        <f aca="false">'Raw Data'!C968</f>
        <v>male</v>
      </c>
      <c r="D968" s="20" t="n">
        <f aca="false">'Raw Data'!D968</f>
        <v>1</v>
      </c>
      <c r="E968" s="20" t="str">
        <f aca="false">'Raw Data'!E968</f>
        <v>own</v>
      </c>
      <c r="F968" s="20" t="str">
        <f aca="false">'Raw Data'!F968</f>
        <v>quite rich</v>
      </c>
      <c r="G968" s="20" t="str">
        <f aca="false">'Raw Data'!G968</f>
        <v>moderate</v>
      </c>
      <c r="H968" s="20" t="n">
        <f aca="false">'Raw Data'!H968</f>
        <v>2520</v>
      </c>
      <c r="I968" s="20" t="n">
        <f aca="false">'Raw Data'!I968</f>
        <v>27</v>
      </c>
      <c r="J968" s="20" t="str">
        <f aca="false">'Raw Data'!J968</f>
        <v>radio/TV</v>
      </c>
      <c r="K968" s="21" t="n">
        <f aca="false">H968/I968</f>
        <v>93.3333333333333</v>
      </c>
      <c r="L968" s="21" t="n">
        <f aca="false">100-MIN(K968/Assumptions!$B$14,1)*100</f>
        <v>76.6666666666667</v>
      </c>
      <c r="M968" s="21" t="n">
        <f aca="false">VLOOKUP(F968,Assumptions!$A$19:$B$23,2,0)</f>
        <v>75</v>
      </c>
      <c r="N968" s="21" t="n">
        <f aca="false">VLOOKUP(G968,Assumptions!$A$27:$B$30,2,0)</f>
        <v>60</v>
      </c>
      <c r="O968" s="21" t="n">
        <f aca="false">VLOOKUP(D968,Assumptions!$A$34:$B$37,2,0)</f>
        <v>33</v>
      </c>
      <c r="P968" s="21" t="n">
        <f aca="false">VLOOKUP(E968,Assumptions!$A$41:$B$43,2,0)</f>
        <v>100</v>
      </c>
      <c r="Q968" s="22" t="n">
        <f aca="false">L968*Assumptions!$B$7+M968*Assumptions!$B$8+N968*Assumptions!$B$9+O968*Assumptions!$B$10+P968*Assumptions!$B$11</f>
        <v>68.7</v>
      </c>
      <c r="R968" s="11" t="str">
        <f aca="false">IF(Q968&lt;=33,"High Risk",IF(Q968&lt;=66,"Medium Risk","Low Risk"))</f>
        <v>Low Risk</v>
      </c>
    </row>
    <row r="969" customFormat="false" ht="15" hidden="false" customHeight="true" outlineLevel="0" collapsed="false">
      <c r="A969" s="20" t="n">
        <f aca="false">'Raw Data'!A969</f>
        <v>968</v>
      </c>
      <c r="B969" s="20" t="n">
        <f aca="false">'Raw Data'!B969</f>
        <v>54</v>
      </c>
      <c r="C969" s="20" t="str">
        <f aca="false">'Raw Data'!C969</f>
        <v>female</v>
      </c>
      <c r="D969" s="20" t="n">
        <f aca="false">'Raw Data'!D969</f>
        <v>3</v>
      </c>
      <c r="E969" s="20" t="str">
        <f aca="false">'Raw Data'!E969</f>
        <v>rent</v>
      </c>
      <c r="F969" s="20" t="str">
        <f aca="false">'Raw Data'!F969</f>
        <v>little</v>
      </c>
      <c r="G969" s="20" t="str">
        <f aca="false">'Raw Data'!G969</f>
        <v>none</v>
      </c>
      <c r="H969" s="20" t="n">
        <f aca="false">'Raw Data'!H969</f>
        <v>3568</v>
      </c>
      <c r="I969" s="20" t="n">
        <f aca="false">'Raw Data'!I969</f>
        <v>15</v>
      </c>
      <c r="J969" s="20" t="str">
        <f aca="false">'Raw Data'!J969</f>
        <v>radio/TV</v>
      </c>
      <c r="K969" s="21" t="n">
        <f aca="false">H969/I969</f>
        <v>237.866666666667</v>
      </c>
      <c r="L969" s="21" t="n">
        <f aca="false">100-MIN(K969/Assumptions!$B$14,1)*100</f>
        <v>40.5333333333333</v>
      </c>
      <c r="M969" s="21" t="n">
        <f aca="false">VLOOKUP(F969,Assumptions!$A$19:$B$23,2,0)</f>
        <v>25</v>
      </c>
      <c r="N969" s="21" t="n">
        <f aca="false">VLOOKUP(G969,Assumptions!$A$27:$B$30,2,0)</f>
        <v>50</v>
      </c>
      <c r="O969" s="21" t="n">
        <f aca="false">VLOOKUP(D969,Assumptions!$A$34:$B$37,2,0)</f>
        <v>100</v>
      </c>
      <c r="P969" s="21" t="n">
        <f aca="false">VLOOKUP(E969,Assumptions!$A$41:$B$43,2,0)</f>
        <v>30</v>
      </c>
      <c r="Q969" s="22" t="n">
        <f aca="false">L969*Assumptions!$B$7+M969*Assumptions!$B$8+N969*Assumptions!$B$9+O969*Assumptions!$B$10+P969*Assumptions!$B$11</f>
        <v>46.41</v>
      </c>
      <c r="R969" s="11" t="str">
        <f aca="false">IF(Q969&lt;=33,"High Risk",IF(Q969&lt;=66,"Medium Risk","Low Risk"))</f>
        <v>Medium Risk</v>
      </c>
    </row>
    <row r="970" customFormat="false" ht="15" hidden="false" customHeight="true" outlineLevel="0" collapsed="false">
      <c r="A970" s="20" t="n">
        <f aca="false">'Raw Data'!A970</f>
        <v>969</v>
      </c>
      <c r="B970" s="20" t="n">
        <f aca="false">'Raw Data'!B970</f>
        <v>29</v>
      </c>
      <c r="C970" s="20" t="str">
        <f aca="false">'Raw Data'!C970</f>
        <v>male</v>
      </c>
      <c r="D970" s="20" t="n">
        <f aca="false">'Raw Data'!D970</f>
        <v>2</v>
      </c>
      <c r="E970" s="20" t="str">
        <f aca="false">'Raw Data'!E970</f>
        <v>rent</v>
      </c>
      <c r="F970" s="20" t="str">
        <f aca="false">'Raw Data'!F970</f>
        <v>none</v>
      </c>
      <c r="G970" s="20" t="str">
        <f aca="false">'Raw Data'!G970</f>
        <v>none</v>
      </c>
      <c r="H970" s="20" t="n">
        <f aca="false">'Raw Data'!H970</f>
        <v>7166</v>
      </c>
      <c r="I970" s="20" t="n">
        <f aca="false">'Raw Data'!I970</f>
        <v>42</v>
      </c>
      <c r="J970" s="20" t="str">
        <f aca="false">'Raw Data'!J970</f>
        <v>radio/TV</v>
      </c>
      <c r="K970" s="21" t="n">
        <f aca="false">H970/I970</f>
        <v>170.619047619048</v>
      </c>
      <c r="L970" s="21" t="n">
        <f aca="false">100-MIN(K970/Assumptions!$B$14,1)*100</f>
        <v>57.3452380952381</v>
      </c>
      <c r="M970" s="21" t="n">
        <f aca="false">VLOOKUP(F970,Assumptions!$A$19:$B$23,2,0)</f>
        <v>40</v>
      </c>
      <c r="N970" s="21" t="n">
        <f aca="false">VLOOKUP(G970,Assumptions!$A$27:$B$30,2,0)</f>
        <v>50</v>
      </c>
      <c r="O970" s="21" t="n">
        <f aca="false">VLOOKUP(D970,Assumptions!$A$34:$B$37,2,0)</f>
        <v>66</v>
      </c>
      <c r="P970" s="21" t="n">
        <f aca="false">VLOOKUP(E970,Assumptions!$A$41:$B$43,2,0)</f>
        <v>30</v>
      </c>
      <c r="Q970" s="22" t="n">
        <f aca="false">L970*Assumptions!$B$7+M970*Assumptions!$B$8+N970*Assumptions!$B$9+O970*Assumptions!$B$10+P970*Assumptions!$B$11</f>
        <v>50.1035714285714</v>
      </c>
      <c r="R970" s="11" t="str">
        <f aca="false">IF(Q970&lt;=33,"High Risk",IF(Q970&lt;=66,"Medium Risk","Low Risk"))</f>
        <v>Medium Risk</v>
      </c>
    </row>
    <row r="971" customFormat="false" ht="15" hidden="false" customHeight="true" outlineLevel="0" collapsed="false">
      <c r="A971" s="20" t="n">
        <f aca="false">'Raw Data'!A971</f>
        <v>970</v>
      </c>
      <c r="B971" s="20" t="n">
        <f aca="false">'Raw Data'!B971</f>
        <v>40</v>
      </c>
      <c r="C971" s="20" t="str">
        <f aca="false">'Raw Data'!C971</f>
        <v>male</v>
      </c>
      <c r="D971" s="20" t="n">
        <f aca="false">'Raw Data'!D971</f>
        <v>1</v>
      </c>
      <c r="E971" s="20" t="str">
        <f aca="false">'Raw Data'!E971</f>
        <v>own</v>
      </c>
      <c r="F971" s="20" t="str">
        <f aca="false">'Raw Data'!F971</f>
        <v>little</v>
      </c>
      <c r="G971" s="20" t="str">
        <f aca="false">'Raw Data'!G971</f>
        <v>little</v>
      </c>
      <c r="H971" s="20" t="n">
        <f aca="false">'Raw Data'!H971</f>
        <v>3939</v>
      </c>
      <c r="I971" s="20" t="n">
        <f aca="false">'Raw Data'!I971</f>
        <v>11</v>
      </c>
      <c r="J971" s="20" t="str">
        <f aca="false">'Raw Data'!J971</f>
        <v>car</v>
      </c>
      <c r="K971" s="21" t="n">
        <f aca="false">H971/I971</f>
        <v>358.090909090909</v>
      </c>
      <c r="L971" s="21" t="n">
        <f aca="false">100-MIN(K971/Assumptions!$B$14,1)*100</f>
        <v>10.4772727272727</v>
      </c>
      <c r="M971" s="21" t="n">
        <f aca="false">VLOOKUP(F971,Assumptions!$A$19:$B$23,2,0)</f>
        <v>25</v>
      </c>
      <c r="N971" s="21" t="n">
        <f aca="false">VLOOKUP(G971,Assumptions!$A$27:$B$30,2,0)</f>
        <v>25</v>
      </c>
      <c r="O971" s="21" t="n">
        <f aca="false">VLOOKUP(D971,Assumptions!$A$34:$B$37,2,0)</f>
        <v>33</v>
      </c>
      <c r="P971" s="21" t="n">
        <f aca="false">VLOOKUP(E971,Assumptions!$A$41:$B$43,2,0)</f>
        <v>100</v>
      </c>
      <c r="Q971" s="22" t="n">
        <f aca="false">L971*Assumptions!$B$7+M971*Assumptions!$B$8+N971*Assumptions!$B$9+O971*Assumptions!$B$10+P971*Assumptions!$B$11</f>
        <v>29.3431818181818</v>
      </c>
      <c r="R971" s="11" t="str">
        <f aca="false">IF(Q971&lt;=33,"High Risk",IF(Q971&lt;=66,"Medium Risk","Low Risk"))</f>
        <v>High Risk</v>
      </c>
    </row>
    <row r="972" customFormat="false" ht="15" hidden="false" customHeight="true" outlineLevel="0" collapsed="false">
      <c r="A972" s="20" t="n">
        <f aca="false">'Raw Data'!A972</f>
        <v>971</v>
      </c>
      <c r="B972" s="20" t="n">
        <f aca="false">'Raw Data'!B972</f>
        <v>22</v>
      </c>
      <c r="C972" s="20" t="str">
        <f aca="false">'Raw Data'!C972</f>
        <v>male</v>
      </c>
      <c r="D972" s="20" t="n">
        <f aca="false">'Raw Data'!D972</f>
        <v>2</v>
      </c>
      <c r="E972" s="20" t="str">
        <f aca="false">'Raw Data'!E972</f>
        <v>own</v>
      </c>
      <c r="F972" s="20" t="str">
        <f aca="false">'Raw Data'!F972</f>
        <v>moderate</v>
      </c>
      <c r="G972" s="20" t="str">
        <f aca="false">'Raw Data'!G972</f>
        <v>moderate</v>
      </c>
      <c r="H972" s="20" t="n">
        <f aca="false">'Raw Data'!H972</f>
        <v>1514</v>
      </c>
      <c r="I972" s="20" t="n">
        <f aca="false">'Raw Data'!I972</f>
        <v>15</v>
      </c>
      <c r="J972" s="20" t="str">
        <f aca="false">'Raw Data'!J972</f>
        <v>repairs</v>
      </c>
      <c r="K972" s="21" t="n">
        <f aca="false">H972/I972</f>
        <v>100.933333333333</v>
      </c>
      <c r="L972" s="21" t="n">
        <f aca="false">100-MIN(K972/Assumptions!$B$14,1)*100</f>
        <v>74.7666666666667</v>
      </c>
      <c r="M972" s="21" t="n">
        <f aca="false">VLOOKUP(F972,Assumptions!$A$19:$B$23,2,0)</f>
        <v>50</v>
      </c>
      <c r="N972" s="21" t="n">
        <f aca="false">VLOOKUP(G972,Assumptions!$A$27:$B$30,2,0)</f>
        <v>60</v>
      </c>
      <c r="O972" s="21" t="n">
        <f aca="false">VLOOKUP(D972,Assumptions!$A$34:$B$37,2,0)</f>
        <v>66</v>
      </c>
      <c r="P972" s="21" t="n">
        <f aca="false">VLOOKUP(E972,Assumptions!$A$41:$B$43,2,0)</f>
        <v>100</v>
      </c>
      <c r="Q972" s="22" t="n">
        <f aca="false">L972*Assumptions!$B$7+M972*Assumptions!$B$8+N972*Assumptions!$B$9+O972*Assumptions!$B$10+P972*Assumptions!$B$11</f>
        <v>66.83</v>
      </c>
      <c r="R972" s="11" t="str">
        <f aca="false">IF(Q972&lt;=33,"High Risk",IF(Q972&lt;=66,"Medium Risk","Low Risk"))</f>
        <v>Low Risk</v>
      </c>
    </row>
    <row r="973" customFormat="false" ht="15" hidden="false" customHeight="true" outlineLevel="0" collapsed="false">
      <c r="A973" s="20" t="n">
        <f aca="false">'Raw Data'!A973</f>
        <v>972</v>
      </c>
      <c r="B973" s="20" t="n">
        <f aca="false">'Raw Data'!B973</f>
        <v>43</v>
      </c>
      <c r="C973" s="20" t="str">
        <f aca="false">'Raw Data'!C973</f>
        <v>male</v>
      </c>
      <c r="D973" s="20" t="n">
        <f aca="false">'Raw Data'!D973</f>
        <v>1</v>
      </c>
      <c r="E973" s="20" t="str">
        <f aca="false">'Raw Data'!E973</f>
        <v>own</v>
      </c>
      <c r="F973" s="20" t="str">
        <f aca="false">'Raw Data'!F973</f>
        <v>little</v>
      </c>
      <c r="G973" s="20" t="str">
        <f aca="false">'Raw Data'!G973</f>
        <v>none</v>
      </c>
      <c r="H973" s="20" t="n">
        <f aca="false">'Raw Data'!H973</f>
        <v>7393</v>
      </c>
      <c r="I973" s="20" t="n">
        <f aca="false">'Raw Data'!I973</f>
        <v>24</v>
      </c>
      <c r="J973" s="20" t="str">
        <f aca="false">'Raw Data'!J973</f>
        <v>car</v>
      </c>
      <c r="K973" s="21" t="n">
        <f aca="false">H973/I973</f>
        <v>308.041666666667</v>
      </c>
      <c r="L973" s="21" t="n">
        <f aca="false">100-MIN(K973/Assumptions!$B$14,1)*100</f>
        <v>22.9895833333333</v>
      </c>
      <c r="M973" s="21" t="n">
        <f aca="false">VLOOKUP(F973,Assumptions!$A$19:$B$23,2,0)</f>
        <v>25</v>
      </c>
      <c r="N973" s="21" t="n">
        <f aca="false">VLOOKUP(G973,Assumptions!$A$27:$B$30,2,0)</f>
        <v>50</v>
      </c>
      <c r="O973" s="21" t="n">
        <f aca="false">VLOOKUP(D973,Assumptions!$A$34:$B$37,2,0)</f>
        <v>33</v>
      </c>
      <c r="P973" s="21" t="n">
        <f aca="false">VLOOKUP(E973,Assumptions!$A$41:$B$43,2,0)</f>
        <v>100</v>
      </c>
      <c r="Q973" s="22" t="n">
        <f aca="false">L973*Assumptions!$B$7+M973*Assumptions!$B$8+N973*Assumptions!$B$9+O973*Assumptions!$B$10+P973*Assumptions!$B$11</f>
        <v>38.096875</v>
      </c>
      <c r="R973" s="11" t="str">
        <f aca="false">IF(Q973&lt;=33,"High Risk",IF(Q973&lt;=66,"Medium Risk","Low Risk"))</f>
        <v>Medium Risk</v>
      </c>
    </row>
    <row r="974" customFormat="false" ht="15" hidden="false" customHeight="true" outlineLevel="0" collapsed="false">
      <c r="A974" s="20" t="n">
        <f aca="false">'Raw Data'!A974</f>
        <v>973</v>
      </c>
      <c r="B974" s="20" t="n">
        <f aca="false">'Raw Data'!B974</f>
        <v>29</v>
      </c>
      <c r="C974" s="20" t="str">
        <f aca="false">'Raw Data'!C974</f>
        <v>female</v>
      </c>
      <c r="D974" s="20" t="n">
        <f aca="false">'Raw Data'!D974</f>
        <v>0</v>
      </c>
      <c r="E974" s="20" t="str">
        <f aca="false">'Raw Data'!E974</f>
        <v>rent</v>
      </c>
      <c r="F974" s="20" t="str">
        <f aca="false">'Raw Data'!F974</f>
        <v>little</v>
      </c>
      <c r="G974" s="20" t="str">
        <f aca="false">'Raw Data'!G974</f>
        <v>little</v>
      </c>
      <c r="H974" s="20" t="n">
        <f aca="false">'Raw Data'!H974</f>
        <v>1193</v>
      </c>
      <c r="I974" s="20" t="n">
        <f aca="false">'Raw Data'!I974</f>
        <v>24</v>
      </c>
      <c r="J974" s="20" t="str">
        <f aca="false">'Raw Data'!J974</f>
        <v>car</v>
      </c>
      <c r="K974" s="21" t="n">
        <f aca="false">H974/I974</f>
        <v>49.7083333333333</v>
      </c>
      <c r="L974" s="21" t="n">
        <f aca="false">100-MIN(K974/Assumptions!$B$14,1)*100</f>
        <v>87.5729166666667</v>
      </c>
      <c r="M974" s="21" t="n">
        <f aca="false">VLOOKUP(F974,Assumptions!$A$19:$B$23,2,0)</f>
        <v>25</v>
      </c>
      <c r="N974" s="21" t="n">
        <f aca="false">VLOOKUP(G974,Assumptions!$A$27:$B$30,2,0)</f>
        <v>25</v>
      </c>
      <c r="O974" s="21" t="n">
        <f aca="false">VLOOKUP(D974,Assumptions!$A$34:$B$37,2,0)</f>
        <v>0</v>
      </c>
      <c r="P974" s="21" t="n">
        <f aca="false">VLOOKUP(E974,Assumptions!$A$41:$B$43,2,0)</f>
        <v>30</v>
      </c>
      <c r="Q974" s="22" t="n">
        <f aca="false">L974*Assumptions!$B$7+M974*Assumptions!$B$8+N974*Assumptions!$B$9+O974*Assumptions!$B$10+P974*Assumptions!$B$11</f>
        <v>40.521875</v>
      </c>
      <c r="R974" s="11" t="str">
        <f aca="false">IF(Q974&lt;=33,"High Risk",IF(Q974&lt;=66,"Medium Risk","Low Risk"))</f>
        <v>Medium Risk</v>
      </c>
    </row>
    <row r="975" customFormat="false" ht="15" hidden="false" customHeight="true" outlineLevel="0" collapsed="false">
      <c r="A975" s="20" t="n">
        <f aca="false">'Raw Data'!A975</f>
        <v>974</v>
      </c>
      <c r="B975" s="20" t="n">
        <f aca="false">'Raw Data'!B975</f>
        <v>36</v>
      </c>
      <c r="C975" s="20" t="str">
        <f aca="false">'Raw Data'!C975</f>
        <v>male</v>
      </c>
      <c r="D975" s="20" t="n">
        <f aca="false">'Raw Data'!D975</f>
        <v>2</v>
      </c>
      <c r="E975" s="20" t="str">
        <f aca="false">'Raw Data'!E975</f>
        <v>rent</v>
      </c>
      <c r="F975" s="20" t="str">
        <f aca="false">'Raw Data'!F975</f>
        <v>little</v>
      </c>
      <c r="G975" s="20" t="str">
        <f aca="false">'Raw Data'!G975</f>
        <v>little</v>
      </c>
      <c r="H975" s="20" t="n">
        <f aca="false">'Raw Data'!H975</f>
        <v>7297</v>
      </c>
      <c r="I975" s="20" t="n">
        <f aca="false">'Raw Data'!I975</f>
        <v>60</v>
      </c>
      <c r="J975" s="20" t="str">
        <f aca="false">'Raw Data'!J975</f>
        <v>business</v>
      </c>
      <c r="K975" s="21" t="n">
        <f aca="false">H975/I975</f>
        <v>121.616666666667</v>
      </c>
      <c r="L975" s="21" t="n">
        <f aca="false">100-MIN(K975/Assumptions!$B$14,1)*100</f>
        <v>69.5958333333333</v>
      </c>
      <c r="M975" s="21" t="n">
        <f aca="false">VLOOKUP(F975,Assumptions!$A$19:$B$23,2,0)</f>
        <v>25</v>
      </c>
      <c r="N975" s="21" t="n">
        <f aca="false">VLOOKUP(G975,Assumptions!$A$27:$B$30,2,0)</f>
        <v>25</v>
      </c>
      <c r="O975" s="21" t="n">
        <f aca="false">VLOOKUP(D975,Assumptions!$A$34:$B$37,2,0)</f>
        <v>66</v>
      </c>
      <c r="P975" s="21" t="n">
        <f aca="false">VLOOKUP(E975,Assumptions!$A$41:$B$43,2,0)</f>
        <v>30</v>
      </c>
      <c r="Q975" s="22" t="n">
        <f aca="false">L975*Assumptions!$B$7+M975*Assumptions!$B$8+N975*Assumptions!$B$9+O975*Assumptions!$B$10+P975*Assumptions!$B$11</f>
        <v>45.02875</v>
      </c>
      <c r="R975" s="11" t="str">
        <f aca="false">IF(Q975&lt;=33,"High Risk",IF(Q975&lt;=66,"Medium Risk","Low Risk"))</f>
        <v>Medium Risk</v>
      </c>
    </row>
    <row r="976" customFormat="false" ht="15" hidden="false" customHeight="true" outlineLevel="0" collapsed="false">
      <c r="A976" s="20" t="n">
        <f aca="false">'Raw Data'!A976</f>
        <v>975</v>
      </c>
      <c r="B976" s="20" t="n">
        <f aca="false">'Raw Data'!B976</f>
        <v>33</v>
      </c>
      <c r="C976" s="20" t="str">
        <f aca="false">'Raw Data'!C976</f>
        <v>female</v>
      </c>
      <c r="D976" s="20" t="n">
        <f aca="false">'Raw Data'!D976</f>
        <v>2</v>
      </c>
      <c r="E976" s="20" t="str">
        <f aca="false">'Raw Data'!E976</f>
        <v>own</v>
      </c>
      <c r="F976" s="20" t="str">
        <f aca="false">'Raw Data'!F976</f>
        <v>little</v>
      </c>
      <c r="G976" s="20" t="str">
        <f aca="false">'Raw Data'!G976</f>
        <v>none</v>
      </c>
      <c r="H976" s="20" t="n">
        <f aca="false">'Raw Data'!H976</f>
        <v>2831</v>
      </c>
      <c r="I976" s="20" t="n">
        <f aca="false">'Raw Data'!I976</f>
        <v>30</v>
      </c>
      <c r="J976" s="20" t="str">
        <f aca="false">'Raw Data'!J976</f>
        <v>radio/TV</v>
      </c>
      <c r="K976" s="21" t="n">
        <f aca="false">H976/I976</f>
        <v>94.3666666666667</v>
      </c>
      <c r="L976" s="21" t="n">
        <f aca="false">100-MIN(K976/Assumptions!$B$14,1)*100</f>
        <v>76.4083333333333</v>
      </c>
      <c r="M976" s="21" t="n">
        <f aca="false">VLOOKUP(F976,Assumptions!$A$19:$B$23,2,0)</f>
        <v>25</v>
      </c>
      <c r="N976" s="21" t="n">
        <f aca="false">VLOOKUP(G976,Assumptions!$A$27:$B$30,2,0)</f>
        <v>50</v>
      </c>
      <c r="O976" s="21" t="n">
        <f aca="false">VLOOKUP(D976,Assumptions!$A$34:$B$37,2,0)</f>
        <v>66</v>
      </c>
      <c r="P976" s="21" t="n">
        <f aca="false">VLOOKUP(E976,Assumptions!$A$41:$B$43,2,0)</f>
        <v>100</v>
      </c>
      <c r="Q976" s="22" t="n">
        <f aca="false">L976*Assumptions!$B$7+M976*Assumptions!$B$8+N976*Assumptions!$B$9+O976*Assumptions!$B$10+P976*Assumptions!$B$11</f>
        <v>59.0725</v>
      </c>
      <c r="R976" s="11" t="str">
        <f aca="false">IF(Q976&lt;=33,"High Risk",IF(Q976&lt;=66,"Medium Risk","Low Risk"))</f>
        <v>Medium Risk</v>
      </c>
    </row>
    <row r="977" customFormat="false" ht="15" hidden="false" customHeight="true" outlineLevel="0" collapsed="false">
      <c r="A977" s="20" t="n">
        <f aca="false">'Raw Data'!A977</f>
        <v>976</v>
      </c>
      <c r="B977" s="20" t="n">
        <f aca="false">'Raw Data'!B977</f>
        <v>57</v>
      </c>
      <c r="C977" s="20" t="str">
        <f aca="false">'Raw Data'!C977</f>
        <v>female</v>
      </c>
      <c r="D977" s="20" t="n">
        <f aca="false">'Raw Data'!D977</f>
        <v>1</v>
      </c>
      <c r="E977" s="20" t="str">
        <f aca="false">'Raw Data'!E977</f>
        <v>own</v>
      </c>
      <c r="F977" s="20" t="str">
        <f aca="false">'Raw Data'!F977</f>
        <v>quite rich</v>
      </c>
      <c r="G977" s="20" t="str">
        <f aca="false">'Raw Data'!G977</f>
        <v>rich</v>
      </c>
      <c r="H977" s="20" t="n">
        <f aca="false">'Raw Data'!H977</f>
        <v>1258</v>
      </c>
      <c r="I977" s="20" t="n">
        <f aca="false">'Raw Data'!I977</f>
        <v>24</v>
      </c>
      <c r="J977" s="20" t="str">
        <f aca="false">'Raw Data'!J977</f>
        <v>radio/TV</v>
      </c>
      <c r="K977" s="21" t="n">
        <f aca="false">H977/I977</f>
        <v>52.4166666666667</v>
      </c>
      <c r="L977" s="21" t="n">
        <f aca="false">100-MIN(K977/Assumptions!$B$14,1)*100</f>
        <v>86.8958333333333</v>
      </c>
      <c r="M977" s="21" t="n">
        <f aca="false">VLOOKUP(F977,Assumptions!$A$19:$B$23,2,0)</f>
        <v>75</v>
      </c>
      <c r="N977" s="21" t="n">
        <f aca="false">VLOOKUP(G977,Assumptions!$A$27:$B$30,2,0)</f>
        <v>100</v>
      </c>
      <c r="O977" s="21" t="n">
        <f aca="false">VLOOKUP(D977,Assumptions!$A$34:$B$37,2,0)</f>
        <v>33</v>
      </c>
      <c r="P977" s="21" t="n">
        <f aca="false">VLOOKUP(E977,Assumptions!$A$41:$B$43,2,0)</f>
        <v>100</v>
      </c>
      <c r="Q977" s="22" t="n">
        <f aca="false">L977*Assumptions!$B$7+M977*Assumptions!$B$8+N977*Assumptions!$B$9+O977*Assumptions!$B$10+P977*Assumptions!$B$11</f>
        <v>79.76875</v>
      </c>
      <c r="R977" s="11" t="str">
        <f aca="false">IF(Q977&lt;=33,"High Risk",IF(Q977&lt;=66,"Medium Risk","Low Risk"))</f>
        <v>Low Risk</v>
      </c>
    </row>
    <row r="978" customFormat="false" ht="15" hidden="false" customHeight="true" outlineLevel="0" collapsed="false">
      <c r="A978" s="20" t="n">
        <f aca="false">'Raw Data'!A978</f>
        <v>977</v>
      </c>
      <c r="B978" s="20" t="n">
        <f aca="false">'Raw Data'!B978</f>
        <v>64</v>
      </c>
      <c r="C978" s="20" t="str">
        <f aca="false">'Raw Data'!C978</f>
        <v>female</v>
      </c>
      <c r="D978" s="20" t="n">
        <f aca="false">'Raw Data'!D978</f>
        <v>2</v>
      </c>
      <c r="E978" s="20" t="str">
        <f aca="false">'Raw Data'!E978</f>
        <v>own</v>
      </c>
      <c r="F978" s="20" t="str">
        <f aca="false">'Raw Data'!F978</f>
        <v>little</v>
      </c>
      <c r="G978" s="20" t="str">
        <f aca="false">'Raw Data'!G978</f>
        <v>moderate</v>
      </c>
      <c r="H978" s="20" t="n">
        <f aca="false">'Raw Data'!H978</f>
        <v>753</v>
      </c>
      <c r="I978" s="20" t="n">
        <f aca="false">'Raw Data'!I978</f>
        <v>6</v>
      </c>
      <c r="J978" s="20" t="str">
        <f aca="false">'Raw Data'!J978</f>
        <v>radio/TV</v>
      </c>
      <c r="K978" s="21" t="n">
        <f aca="false">H978/I978</f>
        <v>125.5</v>
      </c>
      <c r="L978" s="21" t="n">
        <f aca="false">100-MIN(K978/Assumptions!$B$14,1)*100</f>
        <v>68.625</v>
      </c>
      <c r="M978" s="21" t="n">
        <f aca="false">VLOOKUP(F978,Assumptions!$A$19:$B$23,2,0)</f>
        <v>25</v>
      </c>
      <c r="N978" s="21" t="n">
        <f aca="false">VLOOKUP(G978,Assumptions!$A$27:$B$30,2,0)</f>
        <v>60</v>
      </c>
      <c r="O978" s="21" t="n">
        <f aca="false">VLOOKUP(D978,Assumptions!$A$34:$B$37,2,0)</f>
        <v>66</v>
      </c>
      <c r="P978" s="21" t="n">
        <f aca="false">VLOOKUP(E978,Assumptions!$A$41:$B$43,2,0)</f>
        <v>100</v>
      </c>
      <c r="Q978" s="22" t="n">
        <f aca="false">L978*Assumptions!$B$7+M978*Assumptions!$B$8+N978*Assumptions!$B$9+O978*Assumptions!$B$10+P978*Assumptions!$B$11</f>
        <v>58.7375</v>
      </c>
      <c r="R978" s="11" t="str">
        <f aca="false">IF(Q978&lt;=33,"High Risk",IF(Q978&lt;=66,"Medium Risk","Low Risk"))</f>
        <v>Medium Risk</v>
      </c>
    </row>
    <row r="979" customFormat="false" ht="15" hidden="false" customHeight="true" outlineLevel="0" collapsed="false">
      <c r="A979" s="20" t="n">
        <f aca="false">'Raw Data'!A979</f>
        <v>978</v>
      </c>
      <c r="B979" s="20" t="n">
        <f aca="false">'Raw Data'!B979</f>
        <v>42</v>
      </c>
      <c r="C979" s="20" t="str">
        <f aca="false">'Raw Data'!C979</f>
        <v>male</v>
      </c>
      <c r="D979" s="20" t="n">
        <f aca="false">'Raw Data'!D979</f>
        <v>2</v>
      </c>
      <c r="E979" s="20" t="str">
        <f aca="false">'Raw Data'!E979</f>
        <v>own</v>
      </c>
      <c r="F979" s="20" t="str">
        <f aca="false">'Raw Data'!F979</f>
        <v>none</v>
      </c>
      <c r="G979" s="20" t="str">
        <f aca="false">'Raw Data'!G979</f>
        <v>moderate</v>
      </c>
      <c r="H979" s="20" t="n">
        <f aca="false">'Raw Data'!H979</f>
        <v>2427</v>
      </c>
      <c r="I979" s="20" t="n">
        <f aca="false">'Raw Data'!I979</f>
        <v>18</v>
      </c>
      <c r="J979" s="20" t="str">
        <f aca="false">'Raw Data'!J979</f>
        <v>business</v>
      </c>
      <c r="K979" s="21" t="n">
        <f aca="false">H979/I979</f>
        <v>134.833333333333</v>
      </c>
      <c r="L979" s="21" t="n">
        <f aca="false">100-MIN(K979/Assumptions!$B$14,1)*100</f>
        <v>66.2916666666667</v>
      </c>
      <c r="M979" s="21" t="n">
        <f aca="false">VLOOKUP(F979,Assumptions!$A$19:$B$23,2,0)</f>
        <v>40</v>
      </c>
      <c r="N979" s="21" t="n">
        <f aca="false">VLOOKUP(G979,Assumptions!$A$27:$B$30,2,0)</f>
        <v>60</v>
      </c>
      <c r="O979" s="21" t="n">
        <f aca="false">VLOOKUP(D979,Assumptions!$A$34:$B$37,2,0)</f>
        <v>66</v>
      </c>
      <c r="P979" s="21" t="n">
        <f aca="false">VLOOKUP(E979,Assumptions!$A$41:$B$43,2,0)</f>
        <v>100</v>
      </c>
      <c r="Q979" s="22" t="n">
        <f aca="false">L979*Assumptions!$B$7+M979*Assumptions!$B$8+N979*Assumptions!$B$9+O979*Assumptions!$B$10+P979*Assumptions!$B$11</f>
        <v>61.7875</v>
      </c>
      <c r="R979" s="11" t="str">
        <f aca="false">IF(Q979&lt;=33,"High Risk",IF(Q979&lt;=66,"Medium Risk","Low Risk"))</f>
        <v>Medium Risk</v>
      </c>
    </row>
    <row r="980" customFormat="false" ht="15" hidden="false" customHeight="true" outlineLevel="0" collapsed="false">
      <c r="A980" s="20" t="n">
        <f aca="false">'Raw Data'!A980</f>
        <v>979</v>
      </c>
      <c r="B980" s="20" t="n">
        <f aca="false">'Raw Data'!B980</f>
        <v>47</v>
      </c>
      <c r="C980" s="20" t="str">
        <f aca="false">'Raw Data'!C980</f>
        <v>male</v>
      </c>
      <c r="D980" s="20" t="n">
        <f aca="false">'Raw Data'!D980</f>
        <v>1</v>
      </c>
      <c r="E980" s="20" t="str">
        <f aca="false">'Raw Data'!E980</f>
        <v>own</v>
      </c>
      <c r="F980" s="20" t="str">
        <f aca="false">'Raw Data'!F980</f>
        <v>little</v>
      </c>
      <c r="G980" s="20" t="str">
        <f aca="false">'Raw Data'!G980</f>
        <v>none</v>
      </c>
      <c r="H980" s="20" t="n">
        <f aca="false">'Raw Data'!H980</f>
        <v>2538</v>
      </c>
      <c r="I980" s="20" t="n">
        <f aca="false">'Raw Data'!I980</f>
        <v>24</v>
      </c>
      <c r="J980" s="20" t="str">
        <f aca="false">'Raw Data'!J980</f>
        <v>car</v>
      </c>
      <c r="K980" s="21" t="n">
        <f aca="false">H980/I980</f>
        <v>105.75</v>
      </c>
      <c r="L980" s="21" t="n">
        <f aca="false">100-MIN(K980/Assumptions!$B$14,1)*100</f>
        <v>73.5625</v>
      </c>
      <c r="M980" s="21" t="n">
        <f aca="false">VLOOKUP(F980,Assumptions!$A$19:$B$23,2,0)</f>
        <v>25</v>
      </c>
      <c r="N980" s="21" t="n">
        <f aca="false">VLOOKUP(G980,Assumptions!$A$27:$B$30,2,0)</f>
        <v>50</v>
      </c>
      <c r="O980" s="21" t="n">
        <f aca="false">VLOOKUP(D980,Assumptions!$A$34:$B$37,2,0)</f>
        <v>33</v>
      </c>
      <c r="P980" s="21" t="n">
        <f aca="false">VLOOKUP(E980,Assumptions!$A$41:$B$43,2,0)</f>
        <v>100</v>
      </c>
      <c r="Q980" s="22" t="n">
        <f aca="false">L980*Assumptions!$B$7+M980*Assumptions!$B$8+N980*Assumptions!$B$9+O980*Assumptions!$B$10+P980*Assumptions!$B$11</f>
        <v>53.26875</v>
      </c>
      <c r="R980" s="11" t="str">
        <f aca="false">IF(Q980&lt;=33,"High Risk",IF(Q980&lt;=66,"Medium Risk","Low Risk"))</f>
        <v>Medium Risk</v>
      </c>
    </row>
    <row r="981" customFormat="false" ht="15" hidden="false" customHeight="true" outlineLevel="0" collapsed="false">
      <c r="A981" s="20" t="n">
        <f aca="false">'Raw Data'!A981</f>
        <v>980</v>
      </c>
      <c r="B981" s="20" t="n">
        <f aca="false">'Raw Data'!B981</f>
        <v>25</v>
      </c>
      <c r="C981" s="20" t="str">
        <f aca="false">'Raw Data'!C981</f>
        <v>male</v>
      </c>
      <c r="D981" s="20" t="n">
        <f aca="false">'Raw Data'!D981</f>
        <v>2</v>
      </c>
      <c r="E981" s="20" t="str">
        <f aca="false">'Raw Data'!E981</f>
        <v>rent</v>
      </c>
      <c r="F981" s="20" t="str">
        <f aca="false">'Raw Data'!F981</f>
        <v>moderate</v>
      </c>
      <c r="G981" s="20" t="str">
        <f aca="false">'Raw Data'!G981</f>
        <v>moderate</v>
      </c>
      <c r="H981" s="20" t="n">
        <f aca="false">'Raw Data'!H981</f>
        <v>1264</v>
      </c>
      <c r="I981" s="20" t="n">
        <f aca="false">'Raw Data'!I981</f>
        <v>15</v>
      </c>
      <c r="J981" s="20" t="str">
        <f aca="false">'Raw Data'!J981</f>
        <v>car</v>
      </c>
      <c r="K981" s="21" t="n">
        <f aca="false">H981/I981</f>
        <v>84.2666666666667</v>
      </c>
      <c r="L981" s="21" t="n">
        <f aca="false">100-MIN(K981/Assumptions!$B$14,1)*100</f>
        <v>78.9333333333333</v>
      </c>
      <c r="M981" s="21" t="n">
        <f aca="false">VLOOKUP(F981,Assumptions!$A$19:$B$23,2,0)</f>
        <v>50</v>
      </c>
      <c r="N981" s="21" t="n">
        <f aca="false">VLOOKUP(G981,Assumptions!$A$27:$B$30,2,0)</f>
        <v>60</v>
      </c>
      <c r="O981" s="21" t="n">
        <f aca="false">VLOOKUP(D981,Assumptions!$A$34:$B$37,2,0)</f>
        <v>66</v>
      </c>
      <c r="P981" s="21" t="n">
        <f aca="false">VLOOKUP(E981,Assumptions!$A$41:$B$43,2,0)</f>
        <v>30</v>
      </c>
      <c r="Q981" s="22" t="n">
        <f aca="false">L981*Assumptions!$B$7+M981*Assumptions!$B$8+N981*Assumptions!$B$9+O981*Assumptions!$B$10+P981*Assumptions!$B$11</f>
        <v>61.08</v>
      </c>
      <c r="R981" s="11" t="str">
        <f aca="false">IF(Q981&lt;=33,"High Risk",IF(Q981&lt;=66,"Medium Risk","Low Risk"))</f>
        <v>Medium Risk</v>
      </c>
    </row>
    <row r="982" customFormat="false" ht="15" hidden="false" customHeight="true" outlineLevel="0" collapsed="false">
      <c r="A982" s="20" t="n">
        <f aca="false">'Raw Data'!A982</f>
        <v>981</v>
      </c>
      <c r="B982" s="20" t="n">
        <f aca="false">'Raw Data'!B982</f>
        <v>49</v>
      </c>
      <c r="C982" s="20" t="str">
        <f aca="false">'Raw Data'!C982</f>
        <v>male</v>
      </c>
      <c r="D982" s="20" t="n">
        <f aca="false">'Raw Data'!D982</f>
        <v>2</v>
      </c>
      <c r="E982" s="20" t="str">
        <f aca="false">'Raw Data'!E982</f>
        <v>own</v>
      </c>
      <c r="F982" s="20" t="str">
        <f aca="false">'Raw Data'!F982</f>
        <v>little</v>
      </c>
      <c r="G982" s="20" t="str">
        <f aca="false">'Raw Data'!G982</f>
        <v>moderate</v>
      </c>
      <c r="H982" s="20" t="n">
        <f aca="false">'Raw Data'!H982</f>
        <v>8386</v>
      </c>
      <c r="I982" s="20" t="n">
        <f aca="false">'Raw Data'!I982</f>
        <v>30</v>
      </c>
      <c r="J982" s="20" t="str">
        <f aca="false">'Raw Data'!J982</f>
        <v>furniture/equipment</v>
      </c>
      <c r="K982" s="21" t="n">
        <f aca="false">H982/I982</f>
        <v>279.533333333333</v>
      </c>
      <c r="L982" s="21" t="n">
        <f aca="false">100-MIN(K982/Assumptions!$B$14,1)*100</f>
        <v>30.1166666666667</v>
      </c>
      <c r="M982" s="21" t="n">
        <f aca="false">VLOOKUP(F982,Assumptions!$A$19:$B$23,2,0)</f>
        <v>25</v>
      </c>
      <c r="N982" s="21" t="n">
        <f aca="false">VLOOKUP(G982,Assumptions!$A$27:$B$30,2,0)</f>
        <v>60</v>
      </c>
      <c r="O982" s="21" t="n">
        <f aca="false">VLOOKUP(D982,Assumptions!$A$34:$B$37,2,0)</f>
        <v>66</v>
      </c>
      <c r="P982" s="21" t="n">
        <f aca="false">VLOOKUP(E982,Assumptions!$A$41:$B$43,2,0)</f>
        <v>100</v>
      </c>
      <c r="Q982" s="22" t="n">
        <f aca="false">L982*Assumptions!$B$7+M982*Assumptions!$B$8+N982*Assumptions!$B$9+O982*Assumptions!$B$10+P982*Assumptions!$B$11</f>
        <v>47.185</v>
      </c>
      <c r="R982" s="11" t="str">
        <f aca="false">IF(Q982&lt;=33,"High Risk",IF(Q982&lt;=66,"Medium Risk","Low Risk"))</f>
        <v>Medium Risk</v>
      </c>
    </row>
    <row r="983" customFormat="false" ht="15" hidden="false" customHeight="true" outlineLevel="0" collapsed="false">
      <c r="A983" s="20" t="n">
        <f aca="false">'Raw Data'!A983</f>
        <v>982</v>
      </c>
      <c r="B983" s="20" t="n">
        <f aca="false">'Raw Data'!B983</f>
        <v>33</v>
      </c>
      <c r="C983" s="20" t="str">
        <f aca="false">'Raw Data'!C983</f>
        <v>male</v>
      </c>
      <c r="D983" s="20" t="n">
        <f aca="false">'Raw Data'!D983</f>
        <v>3</v>
      </c>
      <c r="E983" s="20" t="str">
        <f aca="false">'Raw Data'!E983</f>
        <v>rent</v>
      </c>
      <c r="F983" s="20" t="str">
        <f aca="false">'Raw Data'!F983</f>
        <v>little</v>
      </c>
      <c r="G983" s="20" t="str">
        <f aca="false">'Raw Data'!G983</f>
        <v>none</v>
      </c>
      <c r="H983" s="20" t="n">
        <f aca="false">'Raw Data'!H983</f>
        <v>4844</v>
      </c>
      <c r="I983" s="20" t="n">
        <f aca="false">'Raw Data'!I983</f>
        <v>48</v>
      </c>
      <c r="J983" s="20" t="str">
        <f aca="false">'Raw Data'!J983</f>
        <v>business</v>
      </c>
      <c r="K983" s="21" t="n">
        <f aca="false">H983/I983</f>
        <v>100.916666666667</v>
      </c>
      <c r="L983" s="21" t="n">
        <f aca="false">100-MIN(K983/Assumptions!$B$14,1)*100</f>
        <v>74.7708333333333</v>
      </c>
      <c r="M983" s="21" t="n">
        <f aca="false">VLOOKUP(F983,Assumptions!$A$19:$B$23,2,0)</f>
        <v>25</v>
      </c>
      <c r="N983" s="21" t="n">
        <f aca="false">VLOOKUP(G983,Assumptions!$A$27:$B$30,2,0)</f>
        <v>50</v>
      </c>
      <c r="O983" s="21" t="n">
        <f aca="false">VLOOKUP(D983,Assumptions!$A$34:$B$37,2,0)</f>
        <v>100</v>
      </c>
      <c r="P983" s="21" t="n">
        <f aca="false">VLOOKUP(E983,Assumptions!$A$41:$B$43,2,0)</f>
        <v>30</v>
      </c>
      <c r="Q983" s="22" t="n">
        <f aca="false">L983*Assumptions!$B$7+M983*Assumptions!$B$8+N983*Assumptions!$B$9+O983*Assumptions!$B$10+P983*Assumptions!$B$11</f>
        <v>56.68125</v>
      </c>
      <c r="R983" s="11" t="str">
        <f aca="false">IF(Q983&lt;=33,"High Risk",IF(Q983&lt;=66,"Medium Risk","Low Risk"))</f>
        <v>Medium Risk</v>
      </c>
    </row>
    <row r="984" customFormat="false" ht="15" hidden="false" customHeight="true" outlineLevel="0" collapsed="false">
      <c r="A984" s="20" t="n">
        <f aca="false">'Raw Data'!A984</f>
        <v>983</v>
      </c>
      <c r="B984" s="20" t="n">
        <f aca="false">'Raw Data'!B984</f>
        <v>28</v>
      </c>
      <c r="C984" s="20" t="str">
        <f aca="false">'Raw Data'!C984</f>
        <v>female</v>
      </c>
      <c r="D984" s="20" t="n">
        <f aca="false">'Raw Data'!D984</f>
        <v>3</v>
      </c>
      <c r="E984" s="20" t="str">
        <f aca="false">'Raw Data'!E984</f>
        <v>own</v>
      </c>
      <c r="F984" s="20" t="str">
        <f aca="false">'Raw Data'!F984</f>
        <v>moderate</v>
      </c>
      <c r="G984" s="20" t="str">
        <f aca="false">'Raw Data'!G984</f>
        <v>rich</v>
      </c>
      <c r="H984" s="20" t="n">
        <f aca="false">'Raw Data'!H984</f>
        <v>2923</v>
      </c>
      <c r="I984" s="20" t="n">
        <f aca="false">'Raw Data'!I984</f>
        <v>21</v>
      </c>
      <c r="J984" s="20" t="str">
        <f aca="false">'Raw Data'!J984</f>
        <v>car</v>
      </c>
      <c r="K984" s="21" t="n">
        <f aca="false">H984/I984</f>
        <v>139.190476190476</v>
      </c>
      <c r="L984" s="21" t="n">
        <f aca="false">100-MIN(K984/Assumptions!$B$14,1)*100</f>
        <v>65.202380952381</v>
      </c>
      <c r="M984" s="21" t="n">
        <f aca="false">VLOOKUP(F984,Assumptions!$A$19:$B$23,2,0)</f>
        <v>50</v>
      </c>
      <c r="N984" s="21" t="n">
        <f aca="false">VLOOKUP(G984,Assumptions!$A$27:$B$30,2,0)</f>
        <v>100</v>
      </c>
      <c r="O984" s="21" t="n">
        <f aca="false">VLOOKUP(D984,Assumptions!$A$34:$B$37,2,0)</f>
        <v>100</v>
      </c>
      <c r="P984" s="21" t="n">
        <f aca="false">VLOOKUP(E984,Assumptions!$A$41:$B$43,2,0)</f>
        <v>100</v>
      </c>
      <c r="Q984" s="22" t="n">
        <f aca="false">L984*Assumptions!$B$7+M984*Assumptions!$B$8+N984*Assumptions!$B$9+O984*Assumptions!$B$10+P984*Assumptions!$B$11</f>
        <v>77.0607142857143</v>
      </c>
      <c r="R984" s="11" t="str">
        <f aca="false">IF(Q984&lt;=33,"High Risk",IF(Q984&lt;=66,"Medium Risk","Low Risk"))</f>
        <v>Low Risk</v>
      </c>
    </row>
    <row r="985" customFormat="false" ht="15" hidden="false" customHeight="true" outlineLevel="0" collapsed="false">
      <c r="A985" s="20" t="n">
        <f aca="false">'Raw Data'!A985</f>
        <v>984</v>
      </c>
      <c r="B985" s="20" t="n">
        <f aca="false">'Raw Data'!B985</f>
        <v>26</v>
      </c>
      <c r="C985" s="20" t="str">
        <f aca="false">'Raw Data'!C985</f>
        <v>male</v>
      </c>
      <c r="D985" s="20" t="n">
        <f aca="false">'Raw Data'!D985</f>
        <v>2</v>
      </c>
      <c r="E985" s="20" t="str">
        <f aca="false">'Raw Data'!E985</f>
        <v>own</v>
      </c>
      <c r="F985" s="20" t="str">
        <f aca="false">'Raw Data'!F985</f>
        <v>little</v>
      </c>
      <c r="G985" s="20" t="str">
        <f aca="false">'Raw Data'!G985</f>
        <v>little</v>
      </c>
      <c r="H985" s="20" t="n">
        <f aca="false">'Raw Data'!H985</f>
        <v>8229</v>
      </c>
      <c r="I985" s="20" t="n">
        <f aca="false">'Raw Data'!I985</f>
        <v>36</v>
      </c>
      <c r="J985" s="20" t="str">
        <f aca="false">'Raw Data'!J985</f>
        <v>car</v>
      </c>
      <c r="K985" s="21" t="n">
        <f aca="false">H985/I985</f>
        <v>228.583333333333</v>
      </c>
      <c r="L985" s="21" t="n">
        <f aca="false">100-MIN(K985/Assumptions!$B$14,1)*100</f>
        <v>42.8541666666667</v>
      </c>
      <c r="M985" s="21" t="n">
        <f aca="false">VLOOKUP(F985,Assumptions!$A$19:$B$23,2,0)</f>
        <v>25</v>
      </c>
      <c r="N985" s="21" t="n">
        <f aca="false">VLOOKUP(G985,Assumptions!$A$27:$B$30,2,0)</f>
        <v>25</v>
      </c>
      <c r="O985" s="21" t="n">
        <f aca="false">VLOOKUP(D985,Assumptions!$A$34:$B$37,2,0)</f>
        <v>66</v>
      </c>
      <c r="P985" s="21" t="n">
        <f aca="false">VLOOKUP(E985,Assumptions!$A$41:$B$43,2,0)</f>
        <v>100</v>
      </c>
      <c r="Q985" s="22" t="n">
        <f aca="false">L985*Assumptions!$B$7+M985*Assumptions!$B$8+N985*Assumptions!$B$9+O985*Assumptions!$B$10+P985*Assumptions!$B$11</f>
        <v>44.00625</v>
      </c>
      <c r="R985" s="11" t="str">
        <f aca="false">IF(Q985&lt;=33,"High Risk",IF(Q985&lt;=66,"Medium Risk","Low Risk"))</f>
        <v>Medium Risk</v>
      </c>
    </row>
    <row r="986" customFormat="false" ht="15" hidden="false" customHeight="true" outlineLevel="0" collapsed="false">
      <c r="A986" s="20" t="n">
        <f aca="false">'Raw Data'!A986</f>
        <v>985</v>
      </c>
      <c r="B986" s="20" t="n">
        <f aca="false">'Raw Data'!B986</f>
        <v>30</v>
      </c>
      <c r="C986" s="20" t="str">
        <f aca="false">'Raw Data'!C986</f>
        <v>male</v>
      </c>
      <c r="D986" s="20" t="n">
        <f aca="false">'Raw Data'!D986</f>
        <v>1</v>
      </c>
      <c r="E986" s="20" t="str">
        <f aca="false">'Raw Data'!E986</f>
        <v>own</v>
      </c>
      <c r="F986" s="20" t="str">
        <f aca="false">'Raw Data'!F986</f>
        <v>little</v>
      </c>
      <c r="G986" s="20" t="str">
        <f aca="false">'Raw Data'!G986</f>
        <v>none</v>
      </c>
      <c r="H986" s="20" t="n">
        <f aca="false">'Raw Data'!H986</f>
        <v>2028</v>
      </c>
      <c r="I986" s="20" t="n">
        <f aca="false">'Raw Data'!I986</f>
        <v>24</v>
      </c>
      <c r="J986" s="20" t="str">
        <f aca="false">'Raw Data'!J986</f>
        <v>furniture/equipment</v>
      </c>
      <c r="K986" s="21" t="n">
        <f aca="false">H986/I986</f>
        <v>84.5</v>
      </c>
      <c r="L986" s="21" t="n">
        <f aca="false">100-MIN(K986/Assumptions!$B$14,1)*100</f>
        <v>78.875</v>
      </c>
      <c r="M986" s="21" t="n">
        <f aca="false">VLOOKUP(F986,Assumptions!$A$19:$B$23,2,0)</f>
        <v>25</v>
      </c>
      <c r="N986" s="21" t="n">
        <f aca="false">VLOOKUP(G986,Assumptions!$A$27:$B$30,2,0)</f>
        <v>50</v>
      </c>
      <c r="O986" s="21" t="n">
        <f aca="false">VLOOKUP(D986,Assumptions!$A$34:$B$37,2,0)</f>
        <v>33</v>
      </c>
      <c r="P986" s="21" t="n">
        <f aca="false">VLOOKUP(E986,Assumptions!$A$41:$B$43,2,0)</f>
        <v>100</v>
      </c>
      <c r="Q986" s="22" t="n">
        <f aca="false">L986*Assumptions!$B$7+M986*Assumptions!$B$8+N986*Assumptions!$B$9+O986*Assumptions!$B$10+P986*Assumptions!$B$11</f>
        <v>54.8625</v>
      </c>
      <c r="R986" s="11" t="str">
        <f aca="false">IF(Q986&lt;=33,"High Risk",IF(Q986&lt;=66,"Medium Risk","Low Risk"))</f>
        <v>Medium Risk</v>
      </c>
    </row>
    <row r="987" customFormat="false" ht="15" hidden="false" customHeight="true" outlineLevel="0" collapsed="false">
      <c r="A987" s="20" t="n">
        <f aca="false">'Raw Data'!A987</f>
        <v>986</v>
      </c>
      <c r="B987" s="20" t="n">
        <f aca="false">'Raw Data'!B987</f>
        <v>25</v>
      </c>
      <c r="C987" s="20" t="str">
        <f aca="false">'Raw Data'!C987</f>
        <v>female</v>
      </c>
      <c r="D987" s="20" t="n">
        <f aca="false">'Raw Data'!D987</f>
        <v>2</v>
      </c>
      <c r="E987" s="20" t="str">
        <f aca="false">'Raw Data'!E987</f>
        <v>rent</v>
      </c>
      <c r="F987" s="20" t="str">
        <f aca="false">'Raw Data'!F987</f>
        <v>little</v>
      </c>
      <c r="G987" s="20" t="str">
        <f aca="false">'Raw Data'!G987</f>
        <v>little</v>
      </c>
      <c r="H987" s="20" t="n">
        <f aca="false">'Raw Data'!H987</f>
        <v>1433</v>
      </c>
      <c r="I987" s="20" t="n">
        <f aca="false">'Raw Data'!I987</f>
        <v>15</v>
      </c>
      <c r="J987" s="20" t="str">
        <f aca="false">'Raw Data'!J987</f>
        <v>furniture/equipment</v>
      </c>
      <c r="K987" s="21" t="n">
        <f aca="false">H987/I987</f>
        <v>95.5333333333333</v>
      </c>
      <c r="L987" s="21" t="n">
        <f aca="false">100-MIN(K987/Assumptions!$B$14,1)*100</f>
        <v>76.1166666666667</v>
      </c>
      <c r="M987" s="21" t="n">
        <f aca="false">VLOOKUP(F987,Assumptions!$A$19:$B$23,2,0)</f>
        <v>25</v>
      </c>
      <c r="N987" s="21" t="n">
        <f aca="false">VLOOKUP(G987,Assumptions!$A$27:$B$30,2,0)</f>
        <v>25</v>
      </c>
      <c r="O987" s="21" t="n">
        <f aca="false">VLOOKUP(D987,Assumptions!$A$34:$B$37,2,0)</f>
        <v>66</v>
      </c>
      <c r="P987" s="21" t="n">
        <f aca="false">VLOOKUP(E987,Assumptions!$A$41:$B$43,2,0)</f>
        <v>30</v>
      </c>
      <c r="Q987" s="22" t="n">
        <f aca="false">L987*Assumptions!$B$7+M987*Assumptions!$B$8+N987*Assumptions!$B$9+O987*Assumptions!$B$10+P987*Assumptions!$B$11</f>
        <v>46.985</v>
      </c>
      <c r="R987" s="11" t="str">
        <f aca="false">IF(Q987&lt;=33,"High Risk",IF(Q987&lt;=66,"Medium Risk","Low Risk"))</f>
        <v>Medium Risk</v>
      </c>
    </row>
    <row r="988" customFormat="false" ht="15" hidden="false" customHeight="true" outlineLevel="0" collapsed="false">
      <c r="A988" s="20" t="n">
        <f aca="false">'Raw Data'!A988</f>
        <v>987</v>
      </c>
      <c r="B988" s="20" t="n">
        <f aca="false">'Raw Data'!B988</f>
        <v>33</v>
      </c>
      <c r="C988" s="20" t="str">
        <f aca="false">'Raw Data'!C988</f>
        <v>male</v>
      </c>
      <c r="D988" s="20" t="n">
        <f aca="false">'Raw Data'!D988</f>
        <v>2</v>
      </c>
      <c r="E988" s="20" t="str">
        <f aca="false">'Raw Data'!E988</f>
        <v>own</v>
      </c>
      <c r="F988" s="20" t="str">
        <f aca="false">'Raw Data'!F988</f>
        <v>little</v>
      </c>
      <c r="G988" s="20" t="str">
        <f aca="false">'Raw Data'!G988</f>
        <v>rich</v>
      </c>
      <c r="H988" s="20" t="n">
        <f aca="false">'Raw Data'!H988</f>
        <v>6289</v>
      </c>
      <c r="I988" s="20" t="n">
        <f aca="false">'Raw Data'!I988</f>
        <v>42</v>
      </c>
      <c r="J988" s="20" t="str">
        <f aca="false">'Raw Data'!J988</f>
        <v>business</v>
      </c>
      <c r="K988" s="21" t="n">
        <f aca="false">H988/I988</f>
        <v>149.738095238095</v>
      </c>
      <c r="L988" s="21" t="n">
        <f aca="false">100-MIN(K988/Assumptions!$B$14,1)*100</f>
        <v>62.5654761904762</v>
      </c>
      <c r="M988" s="21" t="n">
        <f aca="false">VLOOKUP(F988,Assumptions!$A$19:$B$23,2,0)</f>
        <v>25</v>
      </c>
      <c r="N988" s="21" t="n">
        <f aca="false">VLOOKUP(G988,Assumptions!$A$27:$B$30,2,0)</f>
        <v>100</v>
      </c>
      <c r="O988" s="21" t="n">
        <f aca="false">VLOOKUP(D988,Assumptions!$A$34:$B$37,2,0)</f>
        <v>66</v>
      </c>
      <c r="P988" s="21" t="n">
        <f aca="false">VLOOKUP(E988,Assumptions!$A$41:$B$43,2,0)</f>
        <v>100</v>
      </c>
      <c r="Q988" s="22" t="n">
        <f aca="false">L988*Assumptions!$B$7+M988*Assumptions!$B$8+N988*Assumptions!$B$9+O988*Assumptions!$B$10+P988*Assumptions!$B$11</f>
        <v>64.9196428571429</v>
      </c>
      <c r="R988" s="11" t="str">
        <f aca="false">IF(Q988&lt;=33,"High Risk",IF(Q988&lt;=66,"Medium Risk","Low Risk"))</f>
        <v>Medium Risk</v>
      </c>
    </row>
    <row r="989" customFormat="false" ht="15" hidden="false" customHeight="true" outlineLevel="0" collapsed="false">
      <c r="A989" s="20" t="n">
        <f aca="false">'Raw Data'!A989</f>
        <v>988</v>
      </c>
      <c r="B989" s="20" t="n">
        <f aca="false">'Raw Data'!B989</f>
        <v>64</v>
      </c>
      <c r="C989" s="20" t="str">
        <f aca="false">'Raw Data'!C989</f>
        <v>female</v>
      </c>
      <c r="D989" s="20" t="n">
        <f aca="false">'Raw Data'!D989</f>
        <v>2</v>
      </c>
      <c r="E989" s="20" t="str">
        <f aca="false">'Raw Data'!E989</f>
        <v>own</v>
      </c>
      <c r="F989" s="20" t="str">
        <f aca="false">'Raw Data'!F989</f>
        <v>moderate</v>
      </c>
      <c r="G989" s="20" t="str">
        <f aca="false">'Raw Data'!G989</f>
        <v>none</v>
      </c>
      <c r="H989" s="20" t="n">
        <f aca="false">'Raw Data'!H989</f>
        <v>1409</v>
      </c>
      <c r="I989" s="20" t="n">
        <f aca="false">'Raw Data'!I989</f>
        <v>13</v>
      </c>
      <c r="J989" s="20" t="str">
        <f aca="false">'Raw Data'!J989</f>
        <v>radio/TV</v>
      </c>
      <c r="K989" s="21" t="n">
        <f aca="false">H989/I989</f>
        <v>108.384615384615</v>
      </c>
      <c r="L989" s="21" t="n">
        <f aca="false">100-MIN(K989/Assumptions!$B$14,1)*100</f>
        <v>72.9038461538462</v>
      </c>
      <c r="M989" s="21" t="n">
        <f aca="false">VLOOKUP(F989,Assumptions!$A$19:$B$23,2,0)</f>
        <v>50</v>
      </c>
      <c r="N989" s="21" t="n">
        <f aca="false">VLOOKUP(G989,Assumptions!$A$27:$B$30,2,0)</f>
        <v>50</v>
      </c>
      <c r="O989" s="21" t="n">
        <f aca="false">VLOOKUP(D989,Assumptions!$A$34:$B$37,2,0)</f>
        <v>66</v>
      </c>
      <c r="P989" s="21" t="n">
        <f aca="false">VLOOKUP(E989,Assumptions!$A$41:$B$43,2,0)</f>
        <v>100</v>
      </c>
      <c r="Q989" s="22" t="n">
        <f aca="false">L989*Assumptions!$B$7+M989*Assumptions!$B$8+N989*Assumptions!$B$9+O989*Assumptions!$B$10+P989*Assumptions!$B$11</f>
        <v>64.2711538461539</v>
      </c>
      <c r="R989" s="11" t="str">
        <f aca="false">IF(Q989&lt;=33,"High Risk",IF(Q989&lt;=66,"Medium Risk","Low Risk"))</f>
        <v>Medium Risk</v>
      </c>
    </row>
    <row r="990" customFormat="false" ht="15" hidden="false" customHeight="true" outlineLevel="0" collapsed="false">
      <c r="A990" s="20" t="n">
        <f aca="false">'Raw Data'!A990</f>
        <v>989</v>
      </c>
      <c r="B990" s="20" t="n">
        <f aca="false">'Raw Data'!B990</f>
        <v>29</v>
      </c>
      <c r="C990" s="20" t="str">
        <f aca="false">'Raw Data'!C990</f>
        <v>male</v>
      </c>
      <c r="D990" s="20" t="n">
        <f aca="false">'Raw Data'!D990</f>
        <v>3</v>
      </c>
      <c r="E990" s="20" t="str">
        <f aca="false">'Raw Data'!E990</f>
        <v>free</v>
      </c>
      <c r="F990" s="20" t="str">
        <f aca="false">'Raw Data'!F990</f>
        <v>little</v>
      </c>
      <c r="G990" s="20" t="str">
        <f aca="false">'Raw Data'!G990</f>
        <v>little</v>
      </c>
      <c r="H990" s="20" t="n">
        <f aca="false">'Raw Data'!H990</f>
        <v>6579</v>
      </c>
      <c r="I990" s="20" t="n">
        <f aca="false">'Raw Data'!I990</f>
        <v>24</v>
      </c>
      <c r="J990" s="20" t="str">
        <f aca="false">'Raw Data'!J990</f>
        <v>car</v>
      </c>
      <c r="K990" s="21" t="n">
        <f aca="false">H990/I990</f>
        <v>274.125</v>
      </c>
      <c r="L990" s="21" t="n">
        <f aca="false">100-MIN(K990/Assumptions!$B$14,1)*100</f>
        <v>31.46875</v>
      </c>
      <c r="M990" s="21" t="n">
        <f aca="false">VLOOKUP(F990,Assumptions!$A$19:$B$23,2,0)</f>
        <v>25</v>
      </c>
      <c r="N990" s="21" t="n">
        <f aca="false">VLOOKUP(G990,Assumptions!$A$27:$B$30,2,0)</f>
        <v>25</v>
      </c>
      <c r="O990" s="21" t="n">
        <f aca="false">VLOOKUP(D990,Assumptions!$A$34:$B$37,2,0)</f>
        <v>100</v>
      </c>
      <c r="P990" s="21" t="n">
        <f aca="false">VLOOKUP(E990,Assumptions!$A$41:$B$43,2,0)</f>
        <v>60</v>
      </c>
      <c r="Q990" s="22" t="n">
        <f aca="false">L990*Assumptions!$B$7+M990*Assumptions!$B$8+N990*Assumptions!$B$9+O990*Assumptions!$B$10+P990*Assumptions!$B$11</f>
        <v>41.690625</v>
      </c>
      <c r="R990" s="11" t="str">
        <f aca="false">IF(Q990&lt;=33,"High Risk",IF(Q990&lt;=66,"Medium Risk","Low Risk"))</f>
        <v>Medium Risk</v>
      </c>
    </row>
    <row r="991" customFormat="false" ht="15" hidden="false" customHeight="true" outlineLevel="0" collapsed="false">
      <c r="A991" s="20" t="n">
        <f aca="false">'Raw Data'!A991</f>
        <v>990</v>
      </c>
      <c r="B991" s="20" t="n">
        <f aca="false">'Raw Data'!B991</f>
        <v>48</v>
      </c>
      <c r="C991" s="20" t="str">
        <f aca="false">'Raw Data'!C991</f>
        <v>male</v>
      </c>
      <c r="D991" s="20" t="n">
        <f aca="false">'Raw Data'!D991</f>
        <v>1</v>
      </c>
      <c r="E991" s="20" t="str">
        <f aca="false">'Raw Data'!E991</f>
        <v>own</v>
      </c>
      <c r="F991" s="20" t="str">
        <f aca="false">'Raw Data'!F991</f>
        <v>little</v>
      </c>
      <c r="G991" s="20" t="str">
        <f aca="false">'Raw Data'!G991</f>
        <v>moderate</v>
      </c>
      <c r="H991" s="20" t="n">
        <f aca="false">'Raw Data'!H991</f>
        <v>1743</v>
      </c>
      <c r="I991" s="20" t="n">
        <f aca="false">'Raw Data'!I991</f>
        <v>24</v>
      </c>
      <c r="J991" s="20" t="str">
        <f aca="false">'Raw Data'!J991</f>
        <v>radio/TV</v>
      </c>
      <c r="K991" s="21" t="n">
        <f aca="false">H991/I991</f>
        <v>72.625</v>
      </c>
      <c r="L991" s="21" t="n">
        <f aca="false">100-MIN(K991/Assumptions!$B$14,1)*100</f>
        <v>81.84375</v>
      </c>
      <c r="M991" s="21" t="n">
        <f aca="false">VLOOKUP(F991,Assumptions!$A$19:$B$23,2,0)</f>
        <v>25</v>
      </c>
      <c r="N991" s="21" t="n">
        <f aca="false">VLOOKUP(G991,Assumptions!$A$27:$B$30,2,0)</f>
        <v>60</v>
      </c>
      <c r="O991" s="21" t="n">
        <f aca="false">VLOOKUP(D991,Assumptions!$A$34:$B$37,2,0)</f>
        <v>33</v>
      </c>
      <c r="P991" s="21" t="n">
        <f aca="false">VLOOKUP(E991,Assumptions!$A$41:$B$43,2,0)</f>
        <v>100</v>
      </c>
      <c r="Q991" s="22" t="n">
        <f aca="false">L991*Assumptions!$B$7+M991*Assumptions!$B$8+N991*Assumptions!$B$9+O991*Assumptions!$B$10+P991*Assumptions!$B$11</f>
        <v>57.753125</v>
      </c>
      <c r="R991" s="11" t="str">
        <f aca="false">IF(Q991&lt;=33,"High Risk",IF(Q991&lt;=66,"Medium Risk","Low Risk"))</f>
        <v>Medium Risk</v>
      </c>
    </row>
    <row r="992" customFormat="false" ht="15" hidden="false" customHeight="true" outlineLevel="0" collapsed="false">
      <c r="A992" s="20" t="n">
        <f aca="false">'Raw Data'!A992</f>
        <v>991</v>
      </c>
      <c r="B992" s="20" t="n">
        <f aca="false">'Raw Data'!B992</f>
        <v>37</v>
      </c>
      <c r="C992" s="20" t="str">
        <f aca="false">'Raw Data'!C992</f>
        <v>male</v>
      </c>
      <c r="D992" s="20" t="n">
        <f aca="false">'Raw Data'!D992</f>
        <v>1</v>
      </c>
      <c r="E992" s="20" t="str">
        <f aca="false">'Raw Data'!E992</f>
        <v>own</v>
      </c>
      <c r="F992" s="20" t="str">
        <f aca="false">'Raw Data'!F992</f>
        <v>none</v>
      </c>
      <c r="G992" s="20" t="str">
        <f aca="false">'Raw Data'!G992</f>
        <v>none</v>
      </c>
      <c r="H992" s="20" t="n">
        <f aca="false">'Raw Data'!H992</f>
        <v>3565</v>
      </c>
      <c r="I992" s="20" t="n">
        <f aca="false">'Raw Data'!I992</f>
        <v>12</v>
      </c>
      <c r="J992" s="20" t="str">
        <f aca="false">'Raw Data'!J992</f>
        <v>education</v>
      </c>
      <c r="K992" s="21" t="n">
        <f aca="false">H992/I992</f>
        <v>297.083333333333</v>
      </c>
      <c r="L992" s="21" t="n">
        <f aca="false">100-MIN(K992/Assumptions!$B$14,1)*100</f>
        <v>25.7291666666667</v>
      </c>
      <c r="M992" s="21" t="n">
        <f aca="false">VLOOKUP(F992,Assumptions!$A$19:$B$23,2,0)</f>
        <v>40</v>
      </c>
      <c r="N992" s="21" t="n">
        <f aca="false">VLOOKUP(G992,Assumptions!$A$27:$B$30,2,0)</f>
        <v>50</v>
      </c>
      <c r="O992" s="21" t="n">
        <f aca="false">VLOOKUP(D992,Assumptions!$A$34:$B$37,2,0)</f>
        <v>33</v>
      </c>
      <c r="P992" s="21" t="n">
        <f aca="false">VLOOKUP(E992,Assumptions!$A$41:$B$43,2,0)</f>
        <v>100</v>
      </c>
      <c r="Q992" s="22" t="n">
        <f aca="false">L992*Assumptions!$B$7+M992*Assumptions!$B$8+N992*Assumptions!$B$9+O992*Assumptions!$B$10+P992*Assumptions!$B$11</f>
        <v>42.66875</v>
      </c>
      <c r="R992" s="11" t="str">
        <f aca="false">IF(Q992&lt;=33,"High Risk",IF(Q992&lt;=66,"Medium Risk","Low Risk"))</f>
        <v>Medium Risk</v>
      </c>
    </row>
    <row r="993" customFormat="false" ht="15" hidden="false" customHeight="true" outlineLevel="0" collapsed="false">
      <c r="A993" s="20" t="n">
        <f aca="false">'Raw Data'!A993</f>
        <v>992</v>
      </c>
      <c r="B993" s="20" t="n">
        <f aca="false">'Raw Data'!B993</f>
        <v>34</v>
      </c>
      <c r="C993" s="20" t="str">
        <f aca="false">'Raw Data'!C993</f>
        <v>male</v>
      </c>
      <c r="D993" s="20" t="n">
        <f aca="false">'Raw Data'!D993</f>
        <v>1</v>
      </c>
      <c r="E993" s="20" t="str">
        <f aca="false">'Raw Data'!E993</f>
        <v>own</v>
      </c>
      <c r="F993" s="20" t="str">
        <f aca="false">'Raw Data'!F993</f>
        <v>moderate</v>
      </c>
      <c r="G993" s="20" t="str">
        <f aca="false">'Raw Data'!G993</f>
        <v>none</v>
      </c>
      <c r="H993" s="20" t="n">
        <f aca="false">'Raw Data'!H993</f>
        <v>1569</v>
      </c>
      <c r="I993" s="20" t="n">
        <f aca="false">'Raw Data'!I993</f>
        <v>15</v>
      </c>
      <c r="J993" s="20" t="str">
        <f aca="false">'Raw Data'!J993</f>
        <v>radio/TV</v>
      </c>
      <c r="K993" s="21" t="n">
        <f aca="false">H993/I993</f>
        <v>104.6</v>
      </c>
      <c r="L993" s="21" t="n">
        <f aca="false">100-MIN(K993/Assumptions!$B$14,1)*100</f>
        <v>73.85</v>
      </c>
      <c r="M993" s="21" t="n">
        <f aca="false">VLOOKUP(F993,Assumptions!$A$19:$B$23,2,0)</f>
        <v>50</v>
      </c>
      <c r="N993" s="21" t="n">
        <f aca="false">VLOOKUP(G993,Assumptions!$A$27:$B$30,2,0)</f>
        <v>50</v>
      </c>
      <c r="O993" s="21" t="n">
        <f aca="false">VLOOKUP(D993,Assumptions!$A$34:$B$37,2,0)</f>
        <v>33</v>
      </c>
      <c r="P993" s="21" t="n">
        <f aca="false">VLOOKUP(E993,Assumptions!$A$41:$B$43,2,0)</f>
        <v>100</v>
      </c>
      <c r="Q993" s="22" t="n">
        <f aca="false">L993*Assumptions!$B$7+M993*Assumptions!$B$8+N993*Assumptions!$B$9+O993*Assumptions!$B$10+P993*Assumptions!$B$11</f>
        <v>59.605</v>
      </c>
      <c r="R993" s="11" t="str">
        <f aca="false">IF(Q993&lt;=33,"High Risk",IF(Q993&lt;=66,"Medium Risk","Low Risk"))</f>
        <v>Medium Risk</v>
      </c>
    </row>
    <row r="994" customFormat="false" ht="15" hidden="false" customHeight="true" outlineLevel="0" collapsed="false">
      <c r="A994" s="20" t="n">
        <f aca="false">'Raw Data'!A994</f>
        <v>993</v>
      </c>
      <c r="B994" s="20" t="n">
        <f aca="false">'Raw Data'!B994</f>
        <v>23</v>
      </c>
      <c r="C994" s="20" t="str">
        <f aca="false">'Raw Data'!C994</f>
        <v>male</v>
      </c>
      <c r="D994" s="20" t="n">
        <f aca="false">'Raw Data'!D994</f>
        <v>1</v>
      </c>
      <c r="E994" s="20" t="str">
        <f aca="false">'Raw Data'!E994</f>
        <v>rent</v>
      </c>
      <c r="F994" s="20" t="str">
        <f aca="false">'Raw Data'!F994</f>
        <v>none</v>
      </c>
      <c r="G994" s="20" t="str">
        <f aca="false">'Raw Data'!G994</f>
        <v>little</v>
      </c>
      <c r="H994" s="20" t="n">
        <f aca="false">'Raw Data'!H994</f>
        <v>1936</v>
      </c>
      <c r="I994" s="20" t="n">
        <f aca="false">'Raw Data'!I994</f>
        <v>18</v>
      </c>
      <c r="J994" s="20" t="str">
        <f aca="false">'Raw Data'!J994</f>
        <v>radio/TV</v>
      </c>
      <c r="K994" s="21" t="n">
        <f aca="false">H994/I994</f>
        <v>107.555555555556</v>
      </c>
      <c r="L994" s="21" t="n">
        <f aca="false">100-MIN(K994/Assumptions!$B$14,1)*100</f>
        <v>73.1111111111111</v>
      </c>
      <c r="M994" s="21" t="n">
        <f aca="false">VLOOKUP(F994,Assumptions!$A$19:$B$23,2,0)</f>
        <v>40</v>
      </c>
      <c r="N994" s="21" t="n">
        <f aca="false">VLOOKUP(G994,Assumptions!$A$27:$B$30,2,0)</f>
        <v>25</v>
      </c>
      <c r="O994" s="21" t="n">
        <f aca="false">VLOOKUP(D994,Assumptions!$A$34:$B$37,2,0)</f>
        <v>33</v>
      </c>
      <c r="P994" s="21" t="n">
        <f aca="false">VLOOKUP(E994,Assumptions!$A$41:$B$43,2,0)</f>
        <v>30</v>
      </c>
      <c r="Q994" s="22" t="n">
        <f aca="false">L994*Assumptions!$B$7+M994*Assumptions!$B$8+N994*Assumptions!$B$9+O994*Assumptions!$B$10+P994*Assumptions!$B$11</f>
        <v>44.8833333333333</v>
      </c>
      <c r="R994" s="11" t="str">
        <f aca="false">IF(Q994&lt;=33,"High Risk",IF(Q994&lt;=66,"Medium Risk","Low Risk"))</f>
        <v>Medium Risk</v>
      </c>
    </row>
    <row r="995" customFormat="false" ht="15" hidden="false" customHeight="true" outlineLevel="0" collapsed="false">
      <c r="A995" s="20" t="n">
        <f aca="false">'Raw Data'!A995</f>
        <v>994</v>
      </c>
      <c r="B995" s="20" t="n">
        <f aca="false">'Raw Data'!B995</f>
        <v>30</v>
      </c>
      <c r="C995" s="20" t="str">
        <f aca="false">'Raw Data'!C995</f>
        <v>male</v>
      </c>
      <c r="D995" s="20" t="n">
        <f aca="false">'Raw Data'!D995</f>
        <v>3</v>
      </c>
      <c r="E995" s="20" t="str">
        <f aca="false">'Raw Data'!E995</f>
        <v>own</v>
      </c>
      <c r="F995" s="20" t="str">
        <f aca="false">'Raw Data'!F995</f>
        <v>little</v>
      </c>
      <c r="G995" s="20" t="str">
        <f aca="false">'Raw Data'!G995</f>
        <v>little</v>
      </c>
      <c r="H995" s="20" t="n">
        <f aca="false">'Raw Data'!H995</f>
        <v>3959</v>
      </c>
      <c r="I995" s="20" t="n">
        <f aca="false">'Raw Data'!I995</f>
        <v>36</v>
      </c>
      <c r="J995" s="20" t="str">
        <f aca="false">'Raw Data'!J995</f>
        <v>furniture/equipment</v>
      </c>
      <c r="K995" s="21" t="n">
        <f aca="false">H995/I995</f>
        <v>109.972222222222</v>
      </c>
      <c r="L995" s="21" t="n">
        <f aca="false">100-MIN(K995/Assumptions!$B$14,1)*100</f>
        <v>72.5069444444444</v>
      </c>
      <c r="M995" s="21" t="n">
        <f aca="false">VLOOKUP(F995,Assumptions!$A$19:$B$23,2,0)</f>
        <v>25</v>
      </c>
      <c r="N995" s="21" t="n">
        <f aca="false">VLOOKUP(G995,Assumptions!$A$27:$B$30,2,0)</f>
        <v>25</v>
      </c>
      <c r="O995" s="21" t="n">
        <f aca="false">VLOOKUP(D995,Assumptions!$A$34:$B$37,2,0)</f>
        <v>100</v>
      </c>
      <c r="P995" s="21" t="n">
        <f aca="false">VLOOKUP(E995,Assumptions!$A$41:$B$43,2,0)</f>
        <v>100</v>
      </c>
      <c r="Q995" s="22" t="n">
        <f aca="false">L995*Assumptions!$B$7+M995*Assumptions!$B$8+N995*Assumptions!$B$9+O995*Assumptions!$B$10+P995*Assumptions!$B$11</f>
        <v>58.0020833333333</v>
      </c>
      <c r="R995" s="11" t="str">
        <f aca="false">IF(Q995&lt;=33,"High Risk",IF(Q995&lt;=66,"Medium Risk","Low Risk"))</f>
        <v>Medium Risk</v>
      </c>
    </row>
    <row r="996" customFormat="false" ht="15" hidden="false" customHeight="true" outlineLevel="0" collapsed="false">
      <c r="A996" s="20" t="n">
        <f aca="false">'Raw Data'!A996</f>
        <v>995</v>
      </c>
      <c r="B996" s="20" t="n">
        <f aca="false">'Raw Data'!B996</f>
        <v>50</v>
      </c>
      <c r="C996" s="20" t="str">
        <f aca="false">'Raw Data'!C996</f>
        <v>male</v>
      </c>
      <c r="D996" s="20" t="n">
        <f aca="false">'Raw Data'!D996</f>
        <v>2</v>
      </c>
      <c r="E996" s="20" t="str">
        <f aca="false">'Raw Data'!E996</f>
        <v>own</v>
      </c>
      <c r="F996" s="20" t="str">
        <f aca="false">'Raw Data'!F996</f>
        <v>none</v>
      </c>
      <c r="G996" s="20" t="str">
        <f aca="false">'Raw Data'!G996</f>
        <v>none</v>
      </c>
      <c r="H996" s="20" t="n">
        <f aca="false">'Raw Data'!H996</f>
        <v>2390</v>
      </c>
      <c r="I996" s="20" t="n">
        <f aca="false">'Raw Data'!I996</f>
        <v>12</v>
      </c>
      <c r="J996" s="20" t="str">
        <f aca="false">'Raw Data'!J996</f>
        <v>car</v>
      </c>
      <c r="K996" s="21" t="n">
        <f aca="false">H996/I996</f>
        <v>199.166666666667</v>
      </c>
      <c r="L996" s="21" t="n">
        <f aca="false">100-MIN(K996/Assumptions!$B$14,1)*100</f>
        <v>50.2083333333333</v>
      </c>
      <c r="M996" s="21" t="n">
        <f aca="false">VLOOKUP(F996,Assumptions!$A$19:$B$23,2,0)</f>
        <v>40</v>
      </c>
      <c r="N996" s="21" t="n">
        <f aca="false">VLOOKUP(G996,Assumptions!$A$27:$B$30,2,0)</f>
        <v>50</v>
      </c>
      <c r="O996" s="21" t="n">
        <f aca="false">VLOOKUP(D996,Assumptions!$A$34:$B$37,2,0)</f>
        <v>66</v>
      </c>
      <c r="P996" s="21" t="n">
        <f aca="false">VLOOKUP(E996,Assumptions!$A$41:$B$43,2,0)</f>
        <v>100</v>
      </c>
      <c r="Q996" s="22" t="n">
        <f aca="false">L996*Assumptions!$B$7+M996*Assumptions!$B$8+N996*Assumptions!$B$9+O996*Assumptions!$B$10+P996*Assumptions!$B$11</f>
        <v>54.9625</v>
      </c>
      <c r="R996" s="11" t="str">
        <f aca="false">IF(Q996&lt;=33,"High Risk",IF(Q996&lt;=66,"Medium Risk","Low Risk"))</f>
        <v>Medium Risk</v>
      </c>
    </row>
    <row r="997" customFormat="false" ht="15" hidden="false" customHeight="true" outlineLevel="0" collapsed="false">
      <c r="A997" s="20" t="n">
        <f aca="false">'Raw Data'!A997</f>
        <v>996</v>
      </c>
      <c r="B997" s="20" t="n">
        <f aca="false">'Raw Data'!B997</f>
        <v>31</v>
      </c>
      <c r="C997" s="20" t="str">
        <f aca="false">'Raw Data'!C997</f>
        <v>female</v>
      </c>
      <c r="D997" s="20" t="n">
        <f aca="false">'Raw Data'!D997</f>
        <v>1</v>
      </c>
      <c r="E997" s="20" t="str">
        <f aca="false">'Raw Data'!E997</f>
        <v>own</v>
      </c>
      <c r="F997" s="20" t="str">
        <f aca="false">'Raw Data'!F997</f>
        <v>little</v>
      </c>
      <c r="G997" s="20" t="str">
        <f aca="false">'Raw Data'!G997</f>
        <v>none</v>
      </c>
      <c r="H997" s="20" t="n">
        <f aca="false">'Raw Data'!H997</f>
        <v>1736</v>
      </c>
      <c r="I997" s="20" t="n">
        <f aca="false">'Raw Data'!I997</f>
        <v>12</v>
      </c>
      <c r="J997" s="20" t="str">
        <f aca="false">'Raw Data'!J997</f>
        <v>furniture/equipment</v>
      </c>
      <c r="K997" s="21" t="n">
        <f aca="false">H997/I997</f>
        <v>144.666666666667</v>
      </c>
      <c r="L997" s="21" t="n">
        <f aca="false">100-MIN(K997/Assumptions!$B$14,1)*100</f>
        <v>63.8333333333333</v>
      </c>
      <c r="M997" s="21" t="n">
        <f aca="false">VLOOKUP(F997,Assumptions!$A$19:$B$23,2,0)</f>
        <v>25</v>
      </c>
      <c r="N997" s="21" t="n">
        <f aca="false">VLOOKUP(G997,Assumptions!$A$27:$B$30,2,0)</f>
        <v>50</v>
      </c>
      <c r="O997" s="21" t="n">
        <f aca="false">VLOOKUP(D997,Assumptions!$A$34:$B$37,2,0)</f>
        <v>33</v>
      </c>
      <c r="P997" s="21" t="n">
        <f aca="false">VLOOKUP(E997,Assumptions!$A$41:$B$43,2,0)</f>
        <v>100</v>
      </c>
      <c r="Q997" s="22" t="n">
        <f aca="false">L997*Assumptions!$B$7+M997*Assumptions!$B$8+N997*Assumptions!$B$9+O997*Assumptions!$B$10+P997*Assumptions!$B$11</f>
        <v>50.35</v>
      </c>
      <c r="R997" s="11" t="str">
        <f aca="false">IF(Q997&lt;=33,"High Risk",IF(Q997&lt;=66,"Medium Risk","Low Risk"))</f>
        <v>Medium Risk</v>
      </c>
    </row>
    <row r="998" customFormat="false" ht="15" hidden="false" customHeight="true" outlineLevel="0" collapsed="false">
      <c r="A998" s="20" t="n">
        <f aca="false">'Raw Data'!A998</f>
        <v>997</v>
      </c>
      <c r="B998" s="20" t="n">
        <f aca="false">'Raw Data'!B998</f>
        <v>40</v>
      </c>
      <c r="C998" s="20" t="str">
        <f aca="false">'Raw Data'!C998</f>
        <v>male</v>
      </c>
      <c r="D998" s="20" t="n">
        <f aca="false">'Raw Data'!D998</f>
        <v>3</v>
      </c>
      <c r="E998" s="20" t="str">
        <f aca="false">'Raw Data'!E998</f>
        <v>own</v>
      </c>
      <c r="F998" s="20" t="str">
        <f aca="false">'Raw Data'!F998</f>
        <v>little</v>
      </c>
      <c r="G998" s="20" t="str">
        <f aca="false">'Raw Data'!G998</f>
        <v>little</v>
      </c>
      <c r="H998" s="20" t="n">
        <f aca="false">'Raw Data'!H998</f>
        <v>3857</v>
      </c>
      <c r="I998" s="20" t="n">
        <f aca="false">'Raw Data'!I998</f>
        <v>30</v>
      </c>
      <c r="J998" s="20" t="str">
        <f aca="false">'Raw Data'!J998</f>
        <v>car</v>
      </c>
      <c r="K998" s="21" t="n">
        <f aca="false">H998/I998</f>
        <v>128.566666666667</v>
      </c>
      <c r="L998" s="21" t="n">
        <f aca="false">100-MIN(K998/Assumptions!$B$14,1)*100</f>
        <v>67.8583333333333</v>
      </c>
      <c r="M998" s="21" t="n">
        <f aca="false">VLOOKUP(F998,Assumptions!$A$19:$B$23,2,0)</f>
        <v>25</v>
      </c>
      <c r="N998" s="21" t="n">
        <f aca="false">VLOOKUP(G998,Assumptions!$A$27:$B$30,2,0)</f>
        <v>25</v>
      </c>
      <c r="O998" s="21" t="n">
        <f aca="false">VLOOKUP(D998,Assumptions!$A$34:$B$37,2,0)</f>
        <v>100</v>
      </c>
      <c r="P998" s="21" t="n">
        <f aca="false">VLOOKUP(E998,Assumptions!$A$41:$B$43,2,0)</f>
        <v>100</v>
      </c>
      <c r="Q998" s="22" t="n">
        <f aca="false">L998*Assumptions!$B$7+M998*Assumptions!$B$8+N998*Assumptions!$B$9+O998*Assumptions!$B$10+P998*Assumptions!$B$11</f>
        <v>56.6075</v>
      </c>
      <c r="R998" s="11" t="str">
        <f aca="false">IF(Q998&lt;=33,"High Risk",IF(Q998&lt;=66,"Medium Risk","Low Risk"))</f>
        <v>Medium Risk</v>
      </c>
    </row>
    <row r="999" customFormat="false" ht="15" hidden="false" customHeight="true" outlineLevel="0" collapsed="false">
      <c r="A999" s="20" t="n">
        <f aca="false">'Raw Data'!A999</f>
        <v>998</v>
      </c>
      <c r="B999" s="20" t="n">
        <f aca="false">'Raw Data'!B999</f>
        <v>38</v>
      </c>
      <c r="C999" s="20" t="str">
        <f aca="false">'Raw Data'!C999</f>
        <v>male</v>
      </c>
      <c r="D999" s="20" t="n">
        <f aca="false">'Raw Data'!D999</f>
        <v>2</v>
      </c>
      <c r="E999" s="20" t="str">
        <f aca="false">'Raw Data'!E999</f>
        <v>own</v>
      </c>
      <c r="F999" s="20" t="str">
        <f aca="false">'Raw Data'!F999</f>
        <v>little</v>
      </c>
      <c r="G999" s="20" t="str">
        <f aca="false">'Raw Data'!G999</f>
        <v>none</v>
      </c>
      <c r="H999" s="20" t="n">
        <f aca="false">'Raw Data'!H999</f>
        <v>804</v>
      </c>
      <c r="I999" s="20" t="n">
        <f aca="false">'Raw Data'!I999</f>
        <v>12</v>
      </c>
      <c r="J999" s="20" t="str">
        <f aca="false">'Raw Data'!J999</f>
        <v>radio/TV</v>
      </c>
      <c r="K999" s="21" t="n">
        <f aca="false">H999/I999</f>
        <v>67</v>
      </c>
      <c r="L999" s="21" t="n">
        <f aca="false">100-MIN(K999/Assumptions!$B$14,1)*100</f>
        <v>83.25</v>
      </c>
      <c r="M999" s="21" t="n">
        <f aca="false">VLOOKUP(F999,Assumptions!$A$19:$B$23,2,0)</f>
        <v>25</v>
      </c>
      <c r="N999" s="21" t="n">
        <f aca="false">VLOOKUP(G999,Assumptions!$A$27:$B$30,2,0)</f>
        <v>50</v>
      </c>
      <c r="O999" s="21" t="n">
        <f aca="false">VLOOKUP(D999,Assumptions!$A$34:$B$37,2,0)</f>
        <v>66</v>
      </c>
      <c r="P999" s="21" t="n">
        <f aca="false">VLOOKUP(E999,Assumptions!$A$41:$B$43,2,0)</f>
        <v>100</v>
      </c>
      <c r="Q999" s="22" t="n">
        <f aca="false">L999*Assumptions!$B$7+M999*Assumptions!$B$8+N999*Assumptions!$B$9+O999*Assumptions!$B$10+P999*Assumptions!$B$11</f>
        <v>61.125</v>
      </c>
      <c r="R999" s="11" t="str">
        <f aca="false">IF(Q999&lt;=33,"High Risk",IF(Q999&lt;=66,"Medium Risk","Low Risk"))</f>
        <v>Medium Risk</v>
      </c>
    </row>
    <row r="1000" customFormat="false" ht="15" hidden="false" customHeight="true" outlineLevel="0" collapsed="false">
      <c r="A1000" s="20" t="n">
        <f aca="false">'Raw Data'!A1000</f>
        <v>999</v>
      </c>
      <c r="B1000" s="20" t="n">
        <f aca="false">'Raw Data'!B1000</f>
        <v>23</v>
      </c>
      <c r="C1000" s="20" t="str">
        <f aca="false">'Raw Data'!C1000</f>
        <v>male</v>
      </c>
      <c r="D1000" s="20" t="n">
        <f aca="false">'Raw Data'!D1000</f>
        <v>2</v>
      </c>
      <c r="E1000" s="20" t="str">
        <f aca="false">'Raw Data'!E1000</f>
        <v>free</v>
      </c>
      <c r="F1000" s="20" t="str">
        <f aca="false">'Raw Data'!F1000</f>
        <v>little</v>
      </c>
      <c r="G1000" s="20" t="str">
        <f aca="false">'Raw Data'!G1000</f>
        <v>little</v>
      </c>
      <c r="H1000" s="20" t="n">
        <f aca="false">'Raw Data'!H1000</f>
        <v>1845</v>
      </c>
      <c r="I1000" s="20" t="n">
        <f aca="false">'Raw Data'!I1000</f>
        <v>45</v>
      </c>
      <c r="J1000" s="20" t="str">
        <f aca="false">'Raw Data'!J1000</f>
        <v>radio/TV</v>
      </c>
      <c r="K1000" s="21" t="n">
        <f aca="false">H1000/I1000</f>
        <v>41</v>
      </c>
      <c r="L1000" s="21" t="n">
        <f aca="false">100-MIN(K1000/Assumptions!$B$14,1)*100</f>
        <v>89.75</v>
      </c>
      <c r="M1000" s="21" t="n">
        <f aca="false">VLOOKUP(F1000,Assumptions!$A$19:$B$23,2,0)</f>
        <v>25</v>
      </c>
      <c r="N1000" s="21" t="n">
        <f aca="false">VLOOKUP(G1000,Assumptions!$A$27:$B$30,2,0)</f>
        <v>25</v>
      </c>
      <c r="O1000" s="21" t="n">
        <f aca="false">VLOOKUP(D1000,Assumptions!$A$34:$B$37,2,0)</f>
        <v>66</v>
      </c>
      <c r="P1000" s="21" t="n">
        <f aca="false">VLOOKUP(E1000,Assumptions!$A$41:$B$43,2,0)</f>
        <v>60</v>
      </c>
      <c r="Q1000" s="22" t="n">
        <f aca="false">L1000*Assumptions!$B$7+M1000*Assumptions!$B$8+N1000*Assumptions!$B$9+O1000*Assumptions!$B$10+P1000*Assumptions!$B$11</f>
        <v>54.075</v>
      </c>
      <c r="R1000" s="11" t="str">
        <f aca="false">IF(Q1000&lt;=33,"High Risk",IF(Q1000&lt;=66,"Medium Risk","Low Risk"))</f>
        <v>Medium Risk</v>
      </c>
    </row>
    <row r="1001" customFormat="false" ht="15" hidden="false" customHeight="true" outlineLevel="0" collapsed="false">
      <c r="A1001" s="20" t="n">
        <f aca="false">'Raw Data'!A1001</f>
        <v>1000</v>
      </c>
      <c r="B1001" s="20" t="n">
        <f aca="false">'Raw Data'!B1001</f>
        <v>27</v>
      </c>
      <c r="C1001" s="20" t="str">
        <f aca="false">'Raw Data'!C1001</f>
        <v>male</v>
      </c>
      <c r="D1001" s="20" t="n">
        <f aca="false">'Raw Data'!D1001</f>
        <v>2</v>
      </c>
      <c r="E1001" s="20" t="str">
        <f aca="false">'Raw Data'!E1001</f>
        <v>own</v>
      </c>
      <c r="F1001" s="20" t="str">
        <f aca="false">'Raw Data'!F1001</f>
        <v>moderate</v>
      </c>
      <c r="G1001" s="20" t="str">
        <f aca="false">'Raw Data'!G1001</f>
        <v>moderate</v>
      </c>
      <c r="H1001" s="20" t="n">
        <f aca="false">'Raw Data'!H1001</f>
        <v>4576</v>
      </c>
      <c r="I1001" s="20" t="n">
        <f aca="false">'Raw Data'!I1001</f>
        <v>45</v>
      </c>
      <c r="J1001" s="20" t="str">
        <f aca="false">'Raw Data'!J1001</f>
        <v>car</v>
      </c>
      <c r="K1001" s="21" t="n">
        <f aca="false">H1001/I1001</f>
        <v>101.688888888889</v>
      </c>
      <c r="L1001" s="21" t="n">
        <f aca="false">100-MIN(K1001/Assumptions!$B$14,1)*100</f>
        <v>74.5777777777778</v>
      </c>
      <c r="M1001" s="21" t="n">
        <f aca="false">VLOOKUP(F1001,Assumptions!$A$19:$B$23,2,0)</f>
        <v>50</v>
      </c>
      <c r="N1001" s="21" t="n">
        <f aca="false">VLOOKUP(G1001,Assumptions!$A$27:$B$30,2,0)</f>
        <v>60</v>
      </c>
      <c r="O1001" s="21" t="n">
        <f aca="false">VLOOKUP(D1001,Assumptions!$A$34:$B$37,2,0)</f>
        <v>66</v>
      </c>
      <c r="P1001" s="21" t="n">
        <f aca="false">VLOOKUP(E1001,Assumptions!$A$41:$B$43,2,0)</f>
        <v>100</v>
      </c>
      <c r="Q1001" s="22" t="n">
        <f aca="false">L1001*Assumptions!$B$7+M1001*Assumptions!$B$8+N1001*Assumptions!$B$9+O1001*Assumptions!$B$10+P1001*Assumptions!$B$11</f>
        <v>66.7733333333333</v>
      </c>
      <c r="R1001" s="11" t="str">
        <f aca="false">IF(Q1001&lt;=33,"High Risk",IF(Q1001&lt;=66,"Medium Risk","Low Risk"))</f>
        <v>Low Risk</v>
      </c>
    </row>
  </sheetData>
  <conditionalFormatting sqref="R2:R1001">
    <cfRule type="cellIs" priority="2" operator="equal" aboveAverage="0" equalAverage="0" bottom="0" percent="0" rank="0" text="" dxfId="0">
      <formula>"High Risk"</formula>
    </cfRule>
    <cfRule type="cellIs" priority="3" operator="equal" aboveAverage="0" equalAverage="0" bottom="0" percent="0" rank="0" text="" dxfId="1">
      <formula>"Medium Risk"</formula>
    </cfRule>
    <cfRule type="cellIs" priority="4" operator="equal" aboveAverage="0" equalAverage="0" bottom="0" percent="0" rank="0" text="" dxfId="2">
      <formula>"Low Risk"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2026-07-02T07:24:12Z</dcterms:created>
  <dc:creator>openpyxl</dc:creator>
  <dc:description/>
  <dc:language>en-US</dc:language>
  <cp:lastModifiedBy/>
  <dcterms:modified xsi:type="dcterms:W3CDTF">2026-07-02T07:25:43Z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